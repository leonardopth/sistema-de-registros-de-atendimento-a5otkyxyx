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vcbrasil-my.sharepoint.com/personal/leonardo_thereziano_cvccorp_com_br/Documents/"/>
    </mc:Choice>
  </mc:AlternateContent>
  <xr:revisionPtr revIDLastSave="8874" documentId="120_{E99C435D-AF4A-46FD-AE8F-30928B2F5E14}" xr6:coauthVersionLast="47" xr6:coauthVersionMax="47" xr10:uidLastSave="{098F4D47-E239-439C-9587-0E23394DB9A8}"/>
  <bookViews>
    <workbookView xWindow="-110" yWindow="-110" windowWidth="19420" windowHeight="10300" xr2:uid="{6411C339-54F6-4B3E-81F4-63814B4DDBFE}"/>
  </bookViews>
  <sheets>
    <sheet name="Verba AF" sheetId="1" r:id="rId1"/>
    <sheet name="Verba KL" sheetId="4" r:id="rId2"/>
    <sheet name="Regras" sheetId="6" r:id="rId3"/>
  </sheet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21" i="1" l="1" a="1"/>
  <c r="J921" i="1"/>
  <c r="T921" i="1"/>
  <c r="V921" i="1"/>
  <c r="J920" i="1" a="1"/>
  <c r="J920" i="1"/>
  <c r="T920" i="1"/>
  <c r="V920" i="1"/>
  <c r="J919" i="1" a="1"/>
  <c r="J919" i="1"/>
  <c r="T919" i="1"/>
  <c r="V919" i="1"/>
  <c r="J918" i="1" a="1"/>
  <c r="J918" i="1"/>
  <c r="T918" i="1"/>
  <c r="V918" i="1"/>
  <c r="J436" i="4" a="1"/>
  <c r="J436" i="4"/>
  <c r="T436" i="4"/>
  <c r="V436" i="4"/>
  <c r="J435" i="4" a="1"/>
  <c r="J435" i="4"/>
  <c r="T435" i="4"/>
  <c r="V435" i="4"/>
  <c r="J434" i="4" a="1"/>
  <c r="J434" i="4"/>
  <c r="T434" i="4"/>
  <c r="V434" i="4"/>
  <c r="J917" i="1" a="1"/>
  <c r="J917" i="1"/>
  <c r="T917" i="1"/>
  <c r="V917" i="1"/>
  <c r="J916" i="1" a="1"/>
  <c r="J916" i="1"/>
  <c r="T916" i="1"/>
  <c r="V916" i="1"/>
  <c r="J915" i="1" a="1"/>
  <c r="J915" i="1"/>
  <c r="T915" i="1"/>
  <c r="V915" i="1"/>
  <c r="V914" i="1"/>
  <c r="T914" i="1"/>
  <c r="J914" i="1" a="1"/>
  <c r="J914" i="1"/>
  <c r="V913" i="1"/>
  <c r="T913" i="1"/>
  <c r="J913" i="1" a="1"/>
  <c r="J913" i="1"/>
  <c r="V912" i="1"/>
  <c r="T912" i="1"/>
  <c r="J912" i="1" a="1"/>
  <c r="J912" i="1"/>
  <c r="J911" i="1" a="1"/>
  <c r="J911" i="1"/>
  <c r="T911" i="1"/>
  <c r="V911" i="1"/>
  <c r="J910" i="1" a="1"/>
  <c r="J910" i="1"/>
  <c r="T910" i="1"/>
  <c r="V910" i="1"/>
  <c r="J909" i="1" a="1"/>
  <c r="J909" i="1"/>
  <c r="T909" i="1"/>
  <c r="V909" i="1"/>
  <c r="J908" i="1" a="1"/>
  <c r="J908" i="1"/>
  <c r="T908" i="1"/>
  <c r="V908" i="1"/>
  <c r="J907" i="1" a="1"/>
  <c r="J907" i="1"/>
  <c r="T907" i="1"/>
  <c r="V907" i="1"/>
  <c r="J906" i="1" a="1"/>
  <c r="J906" i="1"/>
  <c r="T906" i="1"/>
  <c r="V906" i="1"/>
  <c r="J905" i="1" a="1"/>
  <c r="J905" i="1"/>
  <c r="T905" i="1"/>
  <c r="V905" i="1"/>
  <c r="J904" i="1" a="1"/>
  <c r="J904" i="1"/>
  <c r="T904" i="1"/>
  <c r="V904" i="1"/>
  <c r="J903" i="1" a="1"/>
  <c r="J903" i="1"/>
  <c r="T903" i="1"/>
  <c r="V903" i="1"/>
  <c r="J902" i="1" a="1"/>
  <c r="J902" i="1"/>
  <c r="T902" i="1"/>
  <c r="V902" i="1"/>
  <c r="J433" i="4" a="1"/>
  <c r="J433" i="4"/>
  <c r="T433" i="4"/>
  <c r="V433" i="4"/>
  <c r="J901" i="1" a="1"/>
  <c r="J901" i="1"/>
  <c r="T901" i="1"/>
  <c r="V901" i="1"/>
  <c r="J900" i="1" a="1"/>
  <c r="J900" i="1"/>
  <c r="T900" i="1"/>
  <c r="V900" i="1"/>
  <c r="J899" i="1" a="1"/>
  <c r="J899" i="1"/>
  <c r="T899" i="1"/>
  <c r="V899" i="1"/>
  <c r="J898" i="1" a="1"/>
  <c r="J898" i="1"/>
  <c r="T898" i="1"/>
  <c r="V898" i="1"/>
  <c r="J432" i="4" a="1"/>
  <c r="J432" i="4"/>
  <c r="T432" i="4"/>
  <c r="V432" i="4"/>
  <c r="J897" i="1" a="1"/>
  <c r="J897" i="1"/>
  <c r="T897" i="1"/>
  <c r="V897" i="1"/>
  <c r="J896" i="1" a="1"/>
  <c r="J896" i="1"/>
  <c r="T896" i="1"/>
  <c r="V896" i="1"/>
  <c r="J895" i="1" a="1"/>
  <c r="J895" i="1"/>
  <c r="T895" i="1"/>
  <c r="V895" i="1"/>
  <c r="J894" i="1" a="1"/>
  <c r="J894" i="1"/>
  <c r="T894" i="1"/>
  <c r="V894" i="1"/>
  <c r="J893" i="1" a="1"/>
  <c r="J893" i="1"/>
  <c r="T893" i="1"/>
  <c r="V893" i="1"/>
  <c r="J892" i="1" a="1"/>
  <c r="J892" i="1"/>
  <c r="T892" i="1"/>
  <c r="V892" i="1"/>
  <c r="J891" i="1" a="1"/>
  <c r="J891" i="1"/>
  <c r="T891" i="1"/>
  <c r="V891" i="1"/>
  <c r="J890" i="1" a="1"/>
  <c r="J890" i="1"/>
  <c r="T890" i="1"/>
  <c r="V890" i="1"/>
  <c r="J889" i="1" a="1"/>
  <c r="J889" i="1"/>
  <c r="T889" i="1"/>
  <c r="V889" i="1"/>
  <c r="J888" i="1" a="1"/>
  <c r="J888" i="1"/>
  <c r="T888" i="1"/>
  <c r="V888" i="1"/>
  <c r="J887" i="1" a="1"/>
  <c r="J887" i="1"/>
  <c r="T887" i="1"/>
  <c r="V887" i="1"/>
  <c r="J886" i="1" a="1"/>
  <c r="J886" i="1"/>
  <c r="T886" i="1"/>
  <c r="V886" i="1"/>
  <c r="J885" i="1" a="1"/>
  <c r="J885" i="1"/>
  <c r="T885" i="1"/>
  <c r="V885" i="1"/>
  <c r="J431" i="4" a="1"/>
  <c r="J431" i="4"/>
  <c r="T431" i="4"/>
  <c r="V431" i="4"/>
  <c r="J430" i="4" a="1"/>
  <c r="J430" i="4"/>
  <c r="T430" i="4"/>
  <c r="V430" i="4"/>
  <c r="J884" i="1" a="1"/>
  <c r="J884" i="1"/>
  <c r="T884" i="1"/>
  <c r="V884" i="1"/>
  <c r="J883" i="1" a="1"/>
  <c r="J883" i="1"/>
  <c r="T883" i="1"/>
  <c r="V883" i="1"/>
  <c r="J429" i="4" a="1"/>
  <c r="J429" i="4"/>
  <c r="T429" i="4"/>
  <c r="V429" i="4"/>
  <c r="J428" i="4" a="1"/>
  <c r="J428" i="4"/>
  <c r="T428" i="4"/>
  <c r="V428" i="4"/>
  <c r="J427" i="4" a="1"/>
  <c r="J427" i="4"/>
  <c r="T427" i="4"/>
  <c r="V427" i="4"/>
  <c r="J882" i="1" a="1"/>
  <c r="J882" i="1"/>
  <c r="T882" i="1"/>
  <c r="V882" i="1"/>
  <c r="J881" i="1" a="1"/>
  <c r="J881" i="1"/>
  <c r="T881" i="1"/>
  <c r="V881" i="1"/>
  <c r="J880" i="1" a="1"/>
  <c r="J880" i="1"/>
  <c r="T880" i="1"/>
  <c r="V880" i="1"/>
  <c r="J879" i="1" a="1"/>
  <c r="J879" i="1"/>
  <c r="T879" i="1"/>
  <c r="V879" i="1"/>
  <c r="J878" i="1" a="1"/>
  <c r="J878" i="1"/>
  <c r="T878" i="1"/>
  <c r="V878" i="1"/>
  <c r="J877" i="1" a="1"/>
  <c r="J877" i="1"/>
  <c r="T877" i="1"/>
  <c r="V877" i="1"/>
  <c r="J876" i="1" a="1"/>
  <c r="J876" i="1"/>
  <c r="T876" i="1"/>
  <c r="V876" i="1"/>
  <c r="J875" i="1" a="1"/>
  <c r="J875" i="1"/>
  <c r="T875" i="1"/>
  <c r="V875" i="1"/>
  <c r="J874" i="1" a="1"/>
  <c r="J874" i="1"/>
  <c r="T874" i="1"/>
  <c r="V874" i="1"/>
  <c r="J873" i="1" a="1"/>
  <c r="J873" i="1"/>
  <c r="T873" i="1"/>
  <c r="V873" i="1"/>
  <c r="J426" i="4" a="1"/>
  <c r="J426" i="4"/>
  <c r="T426" i="4"/>
  <c r="V426" i="4"/>
  <c r="J872" i="1" a="1"/>
  <c r="J872" i="1"/>
  <c r="T872" i="1"/>
  <c r="V872" i="1"/>
  <c r="J871" i="1" a="1"/>
  <c r="J871" i="1"/>
  <c r="T871" i="1"/>
  <c r="V871" i="1"/>
  <c r="J870" i="1" a="1"/>
  <c r="J870" i="1"/>
  <c r="T870" i="1"/>
  <c r="V870" i="1"/>
  <c r="J869" i="1" a="1"/>
  <c r="J869" i="1"/>
  <c r="T869" i="1"/>
  <c r="V869" i="1"/>
  <c r="J868" i="1" a="1"/>
  <c r="J868" i="1"/>
  <c r="T868" i="1"/>
  <c r="V868" i="1"/>
  <c r="J867" i="1" a="1"/>
  <c r="J867" i="1"/>
  <c r="T867" i="1"/>
  <c r="V867" i="1"/>
  <c r="J866" i="1" a="1"/>
  <c r="J866" i="1"/>
  <c r="T866" i="1"/>
  <c r="V866" i="1"/>
  <c r="J865" i="1" a="1"/>
  <c r="J865" i="1"/>
  <c r="T865" i="1"/>
  <c r="V865" i="1"/>
  <c r="J864" i="1" a="1"/>
  <c r="J864" i="1"/>
  <c r="T864" i="1"/>
  <c r="V864" i="1"/>
  <c r="J425" i="4" a="1"/>
  <c r="J425" i="4"/>
  <c r="T425" i="4"/>
  <c r="V425" i="4"/>
  <c r="J424" i="4" a="1"/>
  <c r="J424" i="4"/>
  <c r="T424" i="4"/>
  <c r="V424" i="4"/>
  <c r="J423" i="4" a="1"/>
  <c r="J423" i="4"/>
  <c r="T423" i="4"/>
  <c r="V423" i="4"/>
  <c r="J863" i="1" a="1"/>
  <c r="J863" i="1"/>
  <c r="T863" i="1"/>
  <c r="V863" i="1"/>
  <c r="J862" i="1" a="1"/>
  <c r="J862" i="1"/>
  <c r="T862" i="1"/>
  <c r="V862" i="1"/>
  <c r="J861" i="1" a="1"/>
  <c r="J861" i="1"/>
  <c r="T861" i="1"/>
  <c r="V861" i="1"/>
  <c r="J860" i="1" a="1"/>
  <c r="J860" i="1"/>
  <c r="T860" i="1"/>
  <c r="V860" i="1"/>
  <c r="J422" i="4" a="1"/>
  <c r="J422" i="4"/>
  <c r="T422" i="4"/>
  <c r="V422" i="4"/>
  <c r="J421" i="4" a="1"/>
  <c r="J421" i="4"/>
  <c r="T421" i="4"/>
  <c r="V421" i="4"/>
  <c r="J420" i="4" a="1"/>
  <c r="J420" i="4"/>
  <c r="T420" i="4"/>
  <c r="V420" i="4"/>
  <c r="J419" i="4" a="1"/>
  <c r="J419" i="4"/>
  <c r="T419" i="4"/>
  <c r="V419" i="4"/>
  <c r="J418" i="4" a="1"/>
  <c r="J418" i="4"/>
  <c r="T418" i="4"/>
  <c r="V418" i="4"/>
  <c r="J859" i="1" a="1"/>
  <c r="J859" i="1"/>
  <c r="T859" i="1"/>
  <c r="V859" i="1"/>
  <c r="V858" i="1"/>
  <c r="T858" i="1"/>
  <c r="J858" i="1" a="1"/>
  <c r="J858" i="1"/>
  <c r="J857" i="1" a="1"/>
  <c r="J857" i="1"/>
  <c r="T857" i="1"/>
  <c r="V857" i="1"/>
  <c r="J856" i="1" a="1"/>
  <c r="J856" i="1"/>
  <c r="T856" i="1"/>
  <c r="V856" i="1"/>
  <c r="J855" i="1" a="1"/>
  <c r="J855" i="1"/>
  <c r="T855" i="1"/>
  <c r="V855" i="1"/>
  <c r="J854" i="1" a="1"/>
  <c r="J854" i="1"/>
  <c r="V854" i="1"/>
  <c r="J417" i="4" a="1"/>
  <c r="J417" i="4"/>
  <c r="T417" i="4"/>
  <c r="V417" i="4"/>
  <c r="J853" i="1" a="1"/>
  <c r="J853" i="1"/>
  <c r="T853" i="1"/>
  <c r="V853" i="1"/>
  <c r="J416" i="4" a="1"/>
  <c r="J416" i="4"/>
  <c r="T416" i="4"/>
  <c r="V416" i="4"/>
  <c r="J415" i="4" a="1"/>
  <c r="J415" i="4"/>
  <c r="T415" i="4"/>
  <c r="V415" i="4"/>
  <c r="J414" i="4" a="1"/>
  <c r="J414" i="4"/>
  <c r="T414" i="4"/>
  <c r="V414" i="4"/>
  <c r="J852" i="1" a="1"/>
  <c r="J852" i="1"/>
  <c r="T852" i="1"/>
  <c r="V852" i="1"/>
  <c r="J851" i="1" a="1"/>
  <c r="J851" i="1"/>
  <c r="T851" i="1"/>
  <c r="V851" i="1"/>
  <c r="J850" i="1" a="1"/>
  <c r="J850" i="1"/>
  <c r="T850" i="1"/>
  <c r="V850" i="1"/>
  <c r="J849" i="1" a="1"/>
  <c r="J849" i="1"/>
  <c r="T849" i="1"/>
  <c r="V849" i="1"/>
  <c r="J848" i="1" a="1"/>
  <c r="J848" i="1"/>
  <c r="T848" i="1"/>
  <c r="V848" i="1"/>
  <c r="J847" i="1" a="1"/>
  <c r="J847" i="1"/>
  <c r="T847" i="1"/>
  <c r="V847" i="1"/>
  <c r="J846" i="1" a="1"/>
  <c r="J846" i="1"/>
  <c r="T846" i="1"/>
  <c r="V846" i="1"/>
  <c r="J845" i="1" a="1"/>
  <c r="J845" i="1"/>
  <c r="T845" i="1"/>
  <c r="V845" i="1"/>
  <c r="V844" i="1"/>
  <c r="T844" i="1"/>
  <c r="J844" i="1" a="1"/>
  <c r="J844" i="1"/>
  <c r="J843" i="1" a="1"/>
  <c r="J843" i="1"/>
  <c r="T843" i="1"/>
  <c r="V843" i="1"/>
  <c r="J842" i="1" a="1"/>
  <c r="J842" i="1"/>
  <c r="T842" i="1"/>
  <c r="V842" i="1"/>
  <c r="J841" i="1" a="1"/>
  <c r="J841" i="1"/>
  <c r="T841" i="1"/>
  <c r="V841" i="1"/>
  <c r="J840" i="1" a="1"/>
  <c r="J840" i="1"/>
  <c r="T840" i="1"/>
  <c r="V840" i="1"/>
  <c r="J839" i="1" a="1"/>
  <c r="J839" i="1"/>
  <c r="T839" i="1"/>
  <c r="V839" i="1"/>
  <c r="J838" i="1" a="1"/>
  <c r="J838" i="1"/>
  <c r="T838" i="1"/>
  <c r="V838" i="1"/>
  <c r="J413" i="4" a="1"/>
  <c r="J413" i="4"/>
  <c r="T413" i="4"/>
  <c r="V413" i="4"/>
  <c r="J412" i="4" a="1"/>
  <c r="J412" i="4"/>
  <c r="T412" i="4"/>
  <c r="V412" i="4"/>
  <c r="J837" i="1" a="1"/>
  <c r="J837" i="1"/>
  <c r="T837" i="1"/>
  <c r="V837" i="1"/>
  <c r="J836" i="1" a="1"/>
  <c r="J836" i="1"/>
  <c r="T836" i="1"/>
  <c r="V836" i="1"/>
  <c r="J835" i="1" a="1"/>
  <c r="J835" i="1"/>
  <c r="T835" i="1"/>
  <c r="V835" i="1"/>
  <c r="J834" i="1" a="1"/>
  <c r="J834" i="1"/>
  <c r="T834" i="1"/>
  <c r="V834" i="1"/>
  <c r="V833" i="1"/>
  <c r="T833" i="1"/>
  <c r="J833" i="1" a="1"/>
  <c r="J833" i="1"/>
  <c r="J832" i="1" a="1"/>
  <c r="J832" i="1"/>
  <c r="T832" i="1"/>
  <c r="V832" i="1"/>
  <c r="J411" i="4" a="1"/>
  <c r="J411" i="4"/>
  <c r="T411" i="4"/>
  <c r="V411" i="4"/>
  <c r="T410" i="4"/>
  <c r="V831" i="1"/>
  <c r="T831" i="1"/>
  <c r="J831" i="1" a="1"/>
  <c r="J831" i="1"/>
  <c r="V830" i="1"/>
  <c r="T830" i="1"/>
  <c r="J830" i="1" a="1"/>
  <c r="J830" i="1"/>
  <c r="J410" i="4" a="1"/>
  <c r="J410" i="4"/>
  <c r="V410" i="4"/>
  <c r="J829" i="1" a="1"/>
  <c r="J829" i="1"/>
  <c r="T829" i="1"/>
  <c r="V829" i="1"/>
  <c r="J828" i="1" a="1"/>
  <c r="J828" i="1"/>
  <c r="T828" i="1"/>
  <c r="V828" i="1"/>
  <c r="J827" i="1" a="1"/>
  <c r="J827" i="1"/>
  <c r="T827" i="1"/>
  <c r="V827" i="1"/>
  <c r="J826" i="1" a="1"/>
  <c r="J826" i="1"/>
  <c r="T826" i="1"/>
  <c r="V826" i="1"/>
  <c r="J825" i="1" a="1"/>
  <c r="J825" i="1"/>
  <c r="T825" i="1"/>
  <c r="V825" i="1"/>
  <c r="J824" i="1" a="1"/>
  <c r="J824" i="1"/>
  <c r="T824" i="1"/>
  <c r="V824" i="1"/>
  <c r="J823" i="1" a="1"/>
  <c r="J823" i="1"/>
  <c r="T823" i="1"/>
  <c r="V823" i="1"/>
  <c r="J822" i="1" a="1"/>
  <c r="J822" i="1"/>
  <c r="T822" i="1"/>
  <c r="V822" i="1"/>
  <c r="J821" i="1" a="1"/>
  <c r="J821" i="1"/>
  <c r="T821" i="1"/>
  <c r="V821" i="1"/>
  <c r="J820" i="1" a="1"/>
  <c r="J820" i="1"/>
  <c r="T820" i="1"/>
  <c r="V820" i="1"/>
  <c r="J819" i="1" a="1"/>
  <c r="J819" i="1"/>
  <c r="T819" i="1"/>
  <c r="V819" i="1"/>
  <c r="J818" i="1" a="1"/>
  <c r="J818" i="1"/>
  <c r="T818" i="1"/>
  <c r="V818" i="1"/>
  <c r="J817" i="1" a="1"/>
  <c r="J817" i="1"/>
  <c r="T817" i="1"/>
  <c r="V817" i="1"/>
  <c r="J816" i="1" a="1"/>
  <c r="J816" i="1"/>
  <c r="T816" i="1"/>
  <c r="V816" i="1"/>
  <c r="J815" i="1" a="1"/>
  <c r="J815" i="1"/>
  <c r="T815" i="1"/>
  <c r="V815" i="1"/>
  <c r="J814" i="1" a="1"/>
  <c r="J814" i="1"/>
  <c r="T814" i="1"/>
  <c r="V814" i="1"/>
  <c r="J813" i="1" a="1"/>
  <c r="J813" i="1"/>
  <c r="T813" i="1"/>
  <c r="V813" i="1"/>
  <c r="J812" i="1" a="1"/>
  <c r="J812" i="1"/>
  <c r="T812" i="1"/>
  <c r="V812" i="1"/>
  <c r="J811" i="1" a="1"/>
  <c r="J811" i="1"/>
  <c r="T811" i="1"/>
  <c r="V811" i="1"/>
  <c r="J810" i="1" a="1"/>
  <c r="J810" i="1"/>
  <c r="T810" i="1"/>
  <c r="V810" i="1"/>
  <c r="J409" i="4" a="1"/>
  <c r="J409" i="4"/>
  <c r="T409" i="4"/>
  <c r="V409" i="4"/>
  <c r="J809" i="1" a="1"/>
  <c r="J809" i="1"/>
  <c r="T809" i="1"/>
  <c r="V809" i="1"/>
  <c r="J808" i="1" a="1"/>
  <c r="J808" i="1"/>
  <c r="T808" i="1"/>
  <c r="V808" i="1"/>
  <c r="J807" i="1" a="1"/>
  <c r="J807" i="1"/>
  <c r="T807" i="1"/>
  <c r="V807" i="1"/>
  <c r="J806" i="1" a="1"/>
  <c r="J806" i="1"/>
  <c r="T806" i="1"/>
  <c r="V806" i="1"/>
  <c r="J805" i="1" a="1"/>
  <c r="J805" i="1"/>
  <c r="T805" i="1"/>
  <c r="V805" i="1"/>
  <c r="J804" i="1" a="1"/>
  <c r="J804" i="1"/>
  <c r="T804" i="1"/>
  <c r="V804" i="1"/>
  <c r="J803" i="1" a="1"/>
  <c r="J803" i="1"/>
  <c r="T803" i="1"/>
  <c r="V803" i="1"/>
  <c r="V802" i="1"/>
  <c r="T802" i="1"/>
  <c r="J802" i="1" a="1"/>
  <c r="J802" i="1"/>
  <c r="J801" i="1" a="1"/>
  <c r="J801" i="1"/>
  <c r="T801" i="1"/>
  <c r="V801" i="1"/>
  <c r="J800" i="1" a="1"/>
  <c r="J800" i="1"/>
  <c r="T800" i="1"/>
  <c r="V800" i="1"/>
  <c r="J799" i="1" a="1"/>
  <c r="J799" i="1"/>
  <c r="T799" i="1"/>
  <c r="V799" i="1"/>
  <c r="J798" i="1" a="1"/>
  <c r="J798" i="1"/>
  <c r="T798" i="1"/>
  <c r="V798" i="1"/>
  <c r="J797" i="1" a="1"/>
  <c r="J797" i="1"/>
  <c r="T797" i="1"/>
  <c r="V797" i="1"/>
  <c r="J796" i="1" a="1"/>
  <c r="J796" i="1"/>
  <c r="T796" i="1"/>
  <c r="V796" i="1"/>
  <c r="J795" i="1" a="1"/>
  <c r="J795" i="1"/>
  <c r="T795" i="1"/>
  <c r="V795" i="1"/>
  <c r="J794" i="1" a="1"/>
  <c r="J794" i="1"/>
  <c r="T794" i="1"/>
  <c r="V794" i="1"/>
  <c r="J408" i="4" a="1"/>
  <c r="J408" i="4"/>
  <c r="T408" i="4"/>
  <c r="V408" i="4"/>
  <c r="J407" i="4" a="1"/>
  <c r="J407" i="4"/>
  <c r="T407" i="4"/>
  <c r="V407" i="4"/>
  <c r="J793" i="1" a="1"/>
  <c r="J793" i="1"/>
  <c r="T793" i="1"/>
  <c r="V406" i="4"/>
  <c r="T406" i="4"/>
  <c r="J406" i="4" a="1"/>
  <c r="J406" i="4"/>
  <c r="J792" i="1" a="1"/>
  <c r="J792" i="1"/>
  <c r="T792" i="1"/>
  <c r="V792" i="1"/>
  <c r="J791" i="1" a="1"/>
  <c r="J791" i="1"/>
  <c r="T791" i="1"/>
  <c r="V791" i="1"/>
  <c r="J790" i="1" a="1"/>
  <c r="J790" i="1"/>
  <c r="T790" i="1"/>
  <c r="V790" i="1"/>
  <c r="J405" i="4" a="1"/>
  <c r="J405" i="4"/>
  <c r="T405" i="4"/>
  <c r="V405" i="4"/>
  <c r="V789" i="1"/>
  <c r="T789" i="1"/>
  <c r="J789" i="1" a="1"/>
  <c r="J789" i="1"/>
  <c r="V788" i="1"/>
  <c r="T788" i="1"/>
  <c r="J788" i="1" a="1"/>
  <c r="J788" i="1"/>
  <c r="J787" i="1" a="1"/>
  <c r="J787" i="1"/>
  <c r="T787" i="1"/>
  <c r="V787" i="1"/>
  <c r="J786" i="1" a="1"/>
  <c r="J786" i="1"/>
  <c r="T786" i="1"/>
  <c r="V786" i="1"/>
  <c r="J785" i="1" a="1"/>
  <c r="J785" i="1"/>
  <c r="T785" i="1"/>
  <c r="V785" i="1"/>
  <c r="J784" i="1" a="1"/>
  <c r="J784" i="1"/>
  <c r="T784" i="1"/>
  <c r="V784" i="1"/>
  <c r="J783" i="1" a="1"/>
  <c r="J783" i="1"/>
  <c r="T783" i="1"/>
  <c r="V783" i="1"/>
  <c r="J782" i="1" a="1"/>
  <c r="J782" i="1"/>
  <c r="T782" i="1"/>
  <c r="V782" i="1"/>
  <c r="V781" i="1"/>
  <c r="T781" i="1"/>
  <c r="J781" i="1" a="1"/>
  <c r="J781" i="1"/>
  <c r="J780" i="1" a="1"/>
  <c r="J780" i="1"/>
  <c r="T780" i="1"/>
  <c r="V780" i="1"/>
  <c r="J779" i="1" a="1"/>
  <c r="J779" i="1"/>
  <c r="T779" i="1"/>
  <c r="V779" i="1"/>
  <c r="J778" i="1" a="1"/>
  <c r="J778" i="1"/>
  <c r="T778" i="1"/>
  <c r="V778" i="1"/>
  <c r="J777" i="1" a="1"/>
  <c r="J777" i="1"/>
  <c r="T777" i="1"/>
  <c r="V777" i="1"/>
  <c r="J776" i="1" a="1"/>
  <c r="J776" i="1"/>
  <c r="T776" i="1"/>
  <c r="V776" i="1"/>
  <c r="J775" i="1" a="1"/>
  <c r="J775" i="1"/>
  <c r="T775" i="1"/>
  <c r="V775" i="1"/>
  <c r="J774" i="1" a="1"/>
  <c r="J774" i="1"/>
  <c r="T774" i="1"/>
  <c r="V774" i="1"/>
  <c r="J773" i="1" a="1"/>
  <c r="J773" i="1"/>
  <c r="T773" i="1"/>
  <c r="V773" i="1"/>
  <c r="V772" i="1"/>
  <c r="T772" i="1"/>
  <c r="J772" i="1" a="1"/>
  <c r="J772" i="1"/>
  <c r="V771" i="1"/>
  <c r="T771" i="1"/>
  <c r="J771" i="1" a="1"/>
  <c r="J771" i="1"/>
  <c r="V770" i="1"/>
  <c r="T770" i="1"/>
  <c r="J770" i="1" a="1"/>
  <c r="J770" i="1"/>
  <c r="V769" i="1"/>
  <c r="T769" i="1"/>
  <c r="J769" i="1" a="1"/>
  <c r="J769" i="1"/>
  <c r="J768" i="1" a="1"/>
  <c r="J768" i="1"/>
  <c r="T768" i="1"/>
  <c r="V768" i="1"/>
  <c r="V767" i="1"/>
  <c r="T767" i="1"/>
  <c r="J767" i="1" a="1"/>
  <c r="J767" i="1"/>
  <c r="V766" i="1"/>
  <c r="T766" i="1"/>
  <c r="J766" i="1" a="1"/>
  <c r="J766" i="1"/>
  <c r="V765" i="1"/>
  <c r="T765" i="1"/>
  <c r="J765" i="1" a="1"/>
  <c r="J765" i="1"/>
  <c r="J764" i="1" a="1"/>
  <c r="J764" i="1"/>
  <c r="T764" i="1"/>
  <c r="V764" i="1"/>
  <c r="J763" i="1" a="1"/>
  <c r="J763" i="1"/>
  <c r="T763" i="1"/>
  <c r="V763" i="1"/>
  <c r="J762" i="1" a="1"/>
  <c r="J762" i="1"/>
  <c r="T762" i="1"/>
  <c r="V762" i="1"/>
  <c r="J761" i="1" a="1"/>
  <c r="J761" i="1"/>
  <c r="T761" i="1"/>
  <c r="V761" i="1"/>
  <c r="J760" i="1" a="1"/>
  <c r="J760" i="1"/>
  <c r="T760" i="1"/>
  <c r="V760" i="1"/>
  <c r="J759" i="1" a="1"/>
  <c r="J759" i="1"/>
  <c r="T759" i="1"/>
  <c r="V759" i="1"/>
  <c r="J758" i="1" a="1"/>
  <c r="J758" i="1"/>
  <c r="T758" i="1"/>
  <c r="V758" i="1"/>
  <c r="J757" i="1" a="1"/>
  <c r="J757" i="1"/>
  <c r="T757" i="1"/>
  <c r="V757" i="1"/>
  <c r="J756" i="1" a="1"/>
  <c r="J756" i="1"/>
  <c r="T756" i="1"/>
  <c r="V756" i="1"/>
  <c r="J755" i="1" a="1"/>
  <c r="J755" i="1"/>
  <c r="T755" i="1"/>
  <c r="V755" i="1"/>
  <c r="J754" i="1" a="1"/>
  <c r="J754" i="1"/>
  <c r="T754" i="1"/>
  <c r="V754" i="1"/>
  <c r="J753" i="1" a="1"/>
  <c r="J753" i="1"/>
  <c r="T753" i="1"/>
  <c r="V753" i="1"/>
  <c r="J404" i="4" a="1"/>
  <c r="J404" i="4"/>
  <c r="T404" i="4"/>
  <c r="V404" i="4"/>
  <c r="J403" i="4" a="1"/>
  <c r="J403" i="4"/>
  <c r="T403" i="4"/>
  <c r="V403" i="4"/>
  <c r="J402" i="4" a="1"/>
  <c r="J402" i="4"/>
  <c r="T402" i="4"/>
  <c r="V402" i="4"/>
  <c r="V752" i="1"/>
  <c r="T752" i="1"/>
  <c r="J752" i="1" a="1"/>
  <c r="J752" i="1"/>
  <c r="V401" i="4"/>
  <c r="T401" i="4"/>
  <c r="J401" i="4" a="1"/>
  <c r="J401" i="4"/>
  <c r="V400" i="4"/>
  <c r="T400" i="4"/>
  <c r="J400" i="4" a="1"/>
  <c r="J400" i="4"/>
  <c r="V399" i="4"/>
  <c r="T399" i="4"/>
  <c r="J399" i="4" a="1"/>
  <c r="J399" i="4"/>
  <c r="T395" i="4"/>
  <c r="T396" i="4"/>
  <c r="T397" i="4"/>
  <c r="T398" i="4"/>
  <c r="V395" i="4"/>
  <c r="V396" i="4"/>
  <c r="V397" i="4"/>
  <c r="V398" i="4"/>
  <c r="J398" i="4" a="1"/>
  <c r="J398" i="4" s="1"/>
  <c r="J397" i="4" a="1"/>
  <c r="J397" i="4" s="1"/>
  <c r="J396" i="4" a="1"/>
  <c r="J396" i="4" s="1"/>
  <c r="J395" i="4" a="1"/>
  <c r="J395" i="4" s="1"/>
  <c r="J394" i="4" a="1"/>
  <c r="J394" i="4"/>
  <c r="T394" i="4"/>
  <c r="V394" i="4"/>
  <c r="J751" i="1" a="1"/>
  <c r="J751" i="1" s="1"/>
  <c r="T751" i="1"/>
  <c r="V751" i="1"/>
  <c r="J750" i="1" a="1"/>
  <c r="J750" i="1" s="1"/>
  <c r="T750" i="1"/>
  <c r="V750" i="1"/>
  <c r="J749" i="1" a="1"/>
  <c r="J749" i="1" s="1"/>
  <c r="T749" i="1"/>
  <c r="V749" i="1"/>
  <c r="J748" i="1" a="1"/>
  <c r="J748" i="1" s="1"/>
  <c r="T748" i="1"/>
  <c r="V748" i="1"/>
  <c r="J747" i="1" a="1"/>
  <c r="J747" i="1" s="1"/>
  <c r="T747" i="1"/>
  <c r="V747" i="1"/>
  <c r="J746" i="1" a="1"/>
  <c r="J746" i="1" s="1"/>
  <c r="T746" i="1"/>
  <c r="V746" i="1"/>
  <c r="J745" i="1" a="1"/>
  <c r="J745" i="1" s="1"/>
  <c r="C6" i="1" s="1"/>
  <c r="D6" i="1" s="1"/>
  <c r="T745" i="1"/>
  <c r="V745" i="1"/>
  <c r="J393" i="4" a="1"/>
  <c r="J393" i="4"/>
  <c r="T393" i="4"/>
  <c r="V393" i="4"/>
  <c r="J744" i="1" a="1"/>
  <c r="J744" i="1" s="1"/>
  <c r="T744" i="1"/>
  <c r="V744" i="1"/>
  <c r="J743" i="1" a="1"/>
  <c r="J743" i="1" s="1"/>
  <c r="T743" i="1"/>
  <c r="V743" i="1"/>
  <c r="J742" i="1" a="1"/>
  <c r="J742" i="1" s="1"/>
  <c r="T742" i="1"/>
  <c r="V742" i="1"/>
  <c r="J741" i="1" a="1"/>
  <c r="J741" i="1" s="1"/>
  <c r="T741" i="1"/>
  <c r="V741" i="1"/>
  <c r="J740" i="1" a="1"/>
  <c r="J740" i="1" s="1"/>
  <c r="T740" i="1"/>
  <c r="V740" i="1"/>
  <c r="J739" i="1" a="1"/>
  <c r="J739" i="1" s="1"/>
  <c r="T739" i="1"/>
  <c r="V739" i="1"/>
  <c r="J738" i="1" a="1"/>
  <c r="J738" i="1" s="1"/>
  <c r="T738" i="1"/>
  <c r="V738" i="1"/>
  <c r="J392" i="4" a="1"/>
  <c r="J392" i="4"/>
  <c r="T392" i="4"/>
  <c r="V392" i="4"/>
  <c r="J391" i="4" a="1"/>
  <c r="J391" i="4"/>
  <c r="T391" i="4"/>
  <c r="V391" i="4"/>
  <c r="J390" i="4" a="1"/>
  <c r="J390" i="4"/>
  <c r="T390" i="4"/>
  <c r="V390" i="4"/>
  <c r="J389" i="4" a="1"/>
  <c r="J389" i="4"/>
  <c r="T389" i="4"/>
  <c r="V389" i="4"/>
  <c r="J388" i="4" a="1"/>
  <c r="J388" i="4"/>
  <c r="T388" i="4"/>
  <c r="V388" i="4"/>
  <c r="J387" i="4" a="1"/>
  <c r="J387" i="4"/>
  <c r="T387" i="4"/>
  <c r="V387" i="4"/>
  <c r="J386" i="4" a="1"/>
  <c r="J386" i="4"/>
  <c r="T386" i="4"/>
  <c r="V386" i="4"/>
  <c r="J385" i="4" a="1"/>
  <c r="J385" i="4"/>
  <c r="T385" i="4"/>
  <c r="V385" i="4"/>
  <c r="J384" i="4" a="1"/>
  <c r="J384" i="4"/>
  <c r="T384" i="4"/>
  <c r="V384" i="4"/>
  <c r="J383" i="4" a="1"/>
  <c r="J383" i="4"/>
  <c r="T383" i="4"/>
  <c r="V383" i="4"/>
  <c r="J737" i="1" a="1"/>
  <c r="J737" i="1" s="1"/>
  <c r="T737" i="1"/>
  <c r="V737" i="1"/>
  <c r="J736" i="1" a="1"/>
  <c r="J736" i="1" s="1"/>
  <c r="T736" i="1"/>
  <c r="V736" i="1"/>
  <c r="J735" i="1" a="1"/>
  <c r="J735" i="1" s="1"/>
  <c r="T735" i="1"/>
  <c r="V735" i="1"/>
  <c r="J734" i="1" a="1"/>
  <c r="J734" i="1" s="1"/>
  <c r="T734" i="1"/>
  <c r="V734" i="1"/>
  <c r="J733" i="1" a="1"/>
  <c r="J733" i="1" s="1"/>
  <c r="T733" i="1"/>
  <c r="V733" i="1"/>
  <c r="J382" i="4" a="1"/>
  <c r="J382" i="4"/>
  <c r="T382" i="4"/>
  <c r="V382" i="4"/>
  <c r="J381" i="4" a="1"/>
  <c r="J381" i="4"/>
  <c r="T381" i="4"/>
  <c r="V381" i="4"/>
  <c r="J732" i="1" a="1"/>
  <c r="J732" i="1" s="1"/>
  <c r="T732" i="1"/>
  <c r="V732" i="1"/>
  <c r="J731" i="1" a="1"/>
  <c r="J731" i="1" s="1"/>
  <c r="T731" i="1"/>
  <c r="V731" i="1"/>
  <c r="V730" i="1"/>
  <c r="T730" i="1"/>
  <c r="J730" i="1" a="1"/>
  <c r="J730" i="1" s="1"/>
  <c r="V729" i="1"/>
  <c r="T729" i="1"/>
  <c r="J729" i="1" a="1"/>
  <c r="J729" i="1"/>
  <c r="J728" i="1" a="1"/>
  <c r="J728" i="1" s="1"/>
  <c r="T728" i="1"/>
  <c r="V728" i="1"/>
  <c r="J727" i="1" a="1"/>
  <c r="J727" i="1" s="1"/>
  <c r="T727" i="1"/>
  <c r="V727" i="1"/>
  <c r="J726" i="1" a="1"/>
  <c r="J726" i="1" s="1"/>
  <c r="T726" i="1"/>
  <c r="V726" i="1"/>
  <c r="J380" i="4" a="1"/>
  <c r="J380" i="4"/>
  <c r="T380" i="4"/>
  <c r="V380" i="4"/>
  <c r="J379" i="4" a="1"/>
  <c r="J379" i="4"/>
  <c r="T379" i="4"/>
  <c r="V379" i="4"/>
  <c r="J725" i="1" a="1"/>
  <c r="J725" i="1" s="1"/>
  <c r="T725" i="1"/>
  <c r="V725" i="1"/>
  <c r="J378" i="4" a="1"/>
  <c r="J378" i="4"/>
  <c r="T378" i="4"/>
  <c r="V378" i="4"/>
  <c r="J377" i="4" a="1"/>
  <c r="J377" i="4"/>
  <c r="T377" i="4"/>
  <c r="V377" i="4"/>
  <c r="J724" i="1" a="1"/>
  <c r="J724" i="1" s="1"/>
  <c r="T724" i="1"/>
  <c r="V724" i="1"/>
  <c r="J723" i="1" a="1"/>
  <c r="J723" i="1" s="1"/>
  <c r="T723" i="1"/>
  <c r="V723" i="1"/>
  <c r="J376" i="4" a="1"/>
  <c r="J376" i="4"/>
  <c r="T376" i="4"/>
  <c r="V376" i="4"/>
  <c r="V722" i="1"/>
  <c r="T722" i="1"/>
  <c r="J722" i="1" a="1"/>
  <c r="J722" i="1" s="1"/>
  <c r="V721" i="1"/>
  <c r="T721" i="1"/>
  <c r="J721" i="1" a="1"/>
  <c r="J721" i="1" s="1"/>
  <c r="V375" i="4"/>
  <c r="T375" i="4"/>
  <c r="J375" i="4" a="1"/>
  <c r="J375" i="4"/>
  <c r="J373" i="4" a="1"/>
  <c r="J373" i="4"/>
  <c r="T373" i="4"/>
  <c r="V373" i="4"/>
  <c r="J374" i="4" a="1"/>
  <c r="J374" i="4"/>
  <c r="T374" i="4"/>
  <c r="V374" i="4"/>
  <c r="J720" i="1" a="1"/>
  <c r="J720" i="1" s="1"/>
  <c r="T720" i="1"/>
  <c r="V720" i="1"/>
  <c r="J372" i="4" a="1"/>
  <c r="J372" i="4"/>
  <c r="T372" i="4"/>
  <c r="V372" i="4"/>
  <c r="C2" i="4"/>
  <c r="C4" i="4"/>
  <c r="C5" i="4"/>
  <c r="C6" i="4"/>
  <c r="C7" i="4"/>
  <c r="C8" i="4"/>
  <c r="C9" i="4"/>
  <c r="C10" i="4"/>
  <c r="C11" i="4"/>
  <c r="C12" i="4"/>
  <c r="C13" i="4"/>
  <c r="C2" i="1"/>
  <c r="D2" i="1" s="1"/>
  <c r="C7" i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D7" i="1"/>
  <c r="T370" i="4"/>
  <c r="J371" i="4" a="1"/>
  <c r="J371" i="4"/>
  <c r="T371" i="4"/>
  <c r="V371" i="4"/>
  <c r="V719" i="1"/>
  <c r="T719" i="1"/>
  <c r="J719" i="1" a="1"/>
  <c r="J719" i="1" s="1"/>
  <c r="J718" i="1" a="1"/>
  <c r="J718" i="1"/>
  <c r="T718" i="1"/>
  <c r="V718" i="1"/>
  <c r="J717" i="1" a="1"/>
  <c r="J717" i="1" s="1"/>
  <c r="T717" i="1"/>
  <c r="V717" i="1"/>
  <c r="J716" i="1" a="1"/>
  <c r="J716" i="1"/>
  <c r="T716" i="1"/>
  <c r="V716" i="1"/>
  <c r="J715" i="1" a="1"/>
  <c r="J715" i="1" s="1"/>
  <c r="T715" i="1"/>
  <c r="V715" i="1"/>
  <c r="J714" i="1" a="1"/>
  <c r="J714" i="1"/>
  <c r="T714" i="1"/>
  <c r="V714" i="1"/>
  <c r="J370" i="4" a="1"/>
  <c r="J370" i="4"/>
  <c r="V370" i="4"/>
  <c r="J369" i="4" a="1"/>
  <c r="J369" i="4"/>
  <c r="T369" i="4"/>
  <c r="V369" i="4"/>
  <c r="J368" i="4" a="1"/>
  <c r="J368" i="4"/>
  <c r="C3" i="4" s="1"/>
  <c r="T368" i="4"/>
  <c r="V368" i="4"/>
  <c r="J713" i="1" a="1"/>
  <c r="J713" i="1"/>
  <c r="C3" i="1" s="1"/>
  <c r="D3" i="1" s="1"/>
  <c r="T713" i="1"/>
  <c r="V713" i="1"/>
  <c r="I3" i="1"/>
  <c r="I4" i="1"/>
  <c r="I5" i="1"/>
  <c r="I6" i="1"/>
  <c r="I7" i="1"/>
  <c r="I8" i="1"/>
  <c r="I9" i="1"/>
  <c r="I10" i="1"/>
  <c r="J367" i="4" a="1"/>
  <c r="J367" i="4"/>
  <c r="T367" i="4"/>
  <c r="V367" i="4"/>
  <c r="J366" i="4" a="1"/>
  <c r="J366" i="4"/>
  <c r="T366" i="4"/>
  <c r="V366" i="4"/>
  <c r="V365" i="4"/>
  <c r="T365" i="4"/>
  <c r="J365" i="4" a="1"/>
  <c r="J365" i="4"/>
  <c r="J364" i="4" a="1"/>
  <c r="J364" i="4"/>
  <c r="T364" i="4"/>
  <c r="V364" i="4"/>
  <c r="J712" i="1" a="1"/>
  <c r="J712" i="1" s="1"/>
  <c r="T712" i="1"/>
  <c r="V712" i="1"/>
  <c r="J363" i="4" a="1"/>
  <c r="J363" i="4"/>
  <c r="T363" i="4"/>
  <c r="V363" i="4"/>
  <c r="V362" i="4"/>
  <c r="T362" i="4"/>
  <c r="J362" i="4" a="1"/>
  <c r="J362" i="4"/>
  <c r="V361" i="4"/>
  <c r="T361" i="4"/>
  <c r="J361" i="4" a="1"/>
  <c r="J361" i="4"/>
  <c r="J360" i="4" a="1"/>
  <c r="J360" i="4"/>
  <c r="T360" i="4"/>
  <c r="V360" i="4"/>
  <c r="J359" i="4" a="1"/>
  <c r="J359" i="4"/>
  <c r="T359" i="4"/>
  <c r="V359" i="4"/>
  <c r="J711" i="1" a="1"/>
  <c r="J711" i="1" s="1"/>
  <c r="T711" i="1"/>
  <c r="V711" i="1"/>
  <c r="J710" i="1" a="1"/>
  <c r="J710" i="1"/>
  <c r="T710" i="1"/>
  <c r="V710" i="1"/>
  <c r="V709" i="1"/>
  <c r="T709" i="1"/>
  <c r="J709" i="1" a="1"/>
  <c r="J709" i="1" s="1"/>
  <c r="J358" i="4" a="1"/>
  <c r="J358" i="4"/>
  <c r="T358" i="4"/>
  <c r="V358" i="4"/>
  <c r="J357" i="4" a="1"/>
  <c r="J357" i="4"/>
  <c r="T357" i="4"/>
  <c r="V357" i="4"/>
  <c r="J356" i="4" a="1"/>
  <c r="J356" i="4"/>
  <c r="T356" i="4"/>
  <c r="V356" i="4"/>
  <c r="J355" i="4" a="1"/>
  <c r="J355" i="4"/>
  <c r="T355" i="4"/>
  <c r="V355" i="4"/>
  <c r="J354" i="4" a="1"/>
  <c r="J354" i="4"/>
  <c r="T354" i="4"/>
  <c r="V354" i="4"/>
  <c r="V353" i="4"/>
  <c r="T353" i="4"/>
  <c r="J353" i="4" a="1"/>
  <c r="J353" i="4"/>
  <c r="V352" i="4"/>
  <c r="T352" i="4"/>
  <c r="J352" i="4" a="1"/>
  <c r="J352" i="4"/>
  <c r="J708" i="1" a="1"/>
  <c r="J708" i="1" s="1"/>
  <c r="T708" i="1"/>
  <c r="V708" i="1"/>
  <c r="J707" i="1" a="1"/>
  <c r="J707" i="1" s="1"/>
  <c r="T707" i="1"/>
  <c r="V707" i="1"/>
  <c r="J706" i="1" a="1"/>
  <c r="J706" i="1" s="1"/>
  <c r="T706" i="1"/>
  <c r="V706" i="1"/>
  <c r="J705" i="1" a="1"/>
  <c r="J705" i="1" s="1"/>
  <c r="T705" i="1"/>
  <c r="V705" i="1"/>
  <c r="J351" i="4" a="1"/>
  <c r="J351" i="4"/>
  <c r="T351" i="4"/>
  <c r="V351" i="4"/>
  <c r="J704" i="1" a="1"/>
  <c r="J704" i="1" s="1"/>
  <c r="T704" i="1"/>
  <c r="V704" i="1"/>
  <c r="J703" i="1" a="1"/>
  <c r="J703" i="1" s="1"/>
  <c r="T703" i="1"/>
  <c r="V703" i="1"/>
  <c r="J702" i="1" a="1"/>
  <c r="J702" i="1" s="1"/>
  <c r="T702" i="1"/>
  <c r="V702" i="1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4" i="4"/>
  <c r="T75" i="4"/>
  <c r="T76" i="4"/>
  <c r="T70" i="4"/>
  <c r="T71" i="4"/>
  <c r="T72" i="4"/>
  <c r="T73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2" i="4"/>
  <c r="T131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16" i="1"/>
  <c r="J701" i="1" a="1"/>
  <c r="J701" i="1" s="1"/>
  <c r="V701" i="1"/>
  <c r="J700" i="1" a="1"/>
  <c r="J700" i="1" s="1"/>
  <c r="V700" i="1"/>
  <c r="J350" i="4" a="1"/>
  <c r="J350" i="4"/>
  <c r="V350" i="4"/>
  <c r="J349" i="4" a="1"/>
  <c r="J349" i="4"/>
  <c r="V349" i="4"/>
  <c r="J699" i="1" a="1"/>
  <c r="J699" i="1"/>
  <c r="V699" i="1"/>
  <c r="J698" i="1" a="1"/>
  <c r="J698" i="1" s="1"/>
  <c r="V698" i="1"/>
  <c r="J697" i="1" a="1"/>
  <c r="J697" i="1" s="1"/>
  <c r="V697" i="1"/>
  <c r="J696" i="1" a="1"/>
  <c r="J696" i="1" s="1"/>
  <c r="V696" i="1"/>
  <c r="J695" i="1" a="1"/>
  <c r="J695" i="1"/>
  <c r="V695" i="1"/>
  <c r="J694" i="1" a="1"/>
  <c r="J694" i="1" s="1"/>
  <c r="V694" i="1"/>
  <c r="J693" i="1" a="1"/>
  <c r="J693" i="1"/>
  <c r="V693" i="1"/>
  <c r="J692" i="1" a="1"/>
  <c r="J692" i="1" s="1"/>
  <c r="V692" i="1"/>
  <c r="V691" i="1"/>
  <c r="J691" i="1" a="1"/>
  <c r="J691" i="1" s="1"/>
  <c r="V690" i="1"/>
  <c r="J690" i="1" a="1"/>
  <c r="J690" i="1" s="1"/>
  <c r="V689" i="1"/>
  <c r="J689" i="1" a="1"/>
  <c r="J689" i="1" s="1"/>
  <c r="V688" i="1"/>
  <c r="J688" i="1" a="1"/>
  <c r="J688" i="1"/>
  <c r="J687" i="1" a="1"/>
  <c r="J687" i="1" s="1"/>
  <c r="V687" i="1"/>
  <c r="V686" i="1"/>
  <c r="J686" i="1" a="1"/>
  <c r="J686" i="1" s="1"/>
  <c r="V348" i="4"/>
  <c r="J348" i="4" a="1"/>
  <c r="J348" i="4"/>
  <c r="V685" i="1"/>
  <c r="J685" i="1" a="1"/>
  <c r="J685" i="1" s="1"/>
  <c r="V684" i="1"/>
  <c r="J684" i="1" a="1"/>
  <c r="J684" i="1" s="1"/>
  <c r="J683" i="1" a="1"/>
  <c r="J683" i="1" s="1"/>
  <c r="V683" i="1"/>
  <c r="J682" i="1" a="1"/>
  <c r="J682" i="1" s="1"/>
  <c r="V682" i="1"/>
  <c r="J681" i="1" a="1"/>
  <c r="J681" i="1" s="1"/>
  <c r="V681" i="1"/>
  <c r="V347" i="4"/>
  <c r="J347" i="4" a="1"/>
  <c r="J347" i="4"/>
  <c r="V680" i="1"/>
  <c r="J680" i="1" a="1"/>
  <c r="J680" i="1"/>
  <c r="V679" i="1"/>
  <c r="J679" i="1" a="1"/>
  <c r="J679" i="1" s="1"/>
  <c r="V678" i="1"/>
  <c r="J678" i="1" a="1"/>
  <c r="J678" i="1" s="1"/>
  <c r="V677" i="1"/>
  <c r="J677" i="1" a="1"/>
  <c r="J677" i="1" s="1"/>
  <c r="V676" i="1"/>
  <c r="J676" i="1" a="1"/>
  <c r="J676" i="1" s="1"/>
  <c r="V675" i="1"/>
  <c r="J675" i="1" a="1"/>
  <c r="J675" i="1"/>
  <c r="V674" i="1"/>
  <c r="J674" i="1" a="1"/>
  <c r="J674" i="1" s="1"/>
  <c r="V673" i="1"/>
  <c r="J673" i="1" a="1"/>
  <c r="J673" i="1" s="1"/>
  <c r="V346" i="4"/>
  <c r="J346" i="4" a="1"/>
  <c r="J346" i="4"/>
  <c r="V345" i="4"/>
  <c r="J345" i="4" a="1"/>
  <c r="J345" i="4"/>
  <c r="V344" i="4"/>
  <c r="J344" i="4" a="1"/>
  <c r="J344" i="4"/>
  <c r="J343" i="4" a="1"/>
  <c r="J343" i="4"/>
  <c r="V343" i="4"/>
  <c r="J672" i="1" a="1"/>
  <c r="J672" i="1" s="1"/>
  <c r="V672" i="1"/>
  <c r="J671" i="1" a="1"/>
  <c r="J671" i="1" s="1"/>
  <c r="V671" i="1"/>
  <c r="J342" i="4" a="1"/>
  <c r="J342" i="4"/>
  <c r="V342" i="4"/>
  <c r="V670" i="1"/>
  <c r="J670" i="1" a="1"/>
  <c r="J670" i="1"/>
  <c r="V669" i="1"/>
  <c r="J669" i="1" a="1"/>
  <c r="J669" i="1"/>
  <c r="J668" i="1" a="1"/>
  <c r="J668" i="1" s="1"/>
  <c r="V668" i="1"/>
  <c r="J341" i="4" a="1"/>
  <c r="J341" i="4"/>
  <c r="V341" i="4"/>
  <c r="J340" i="4" a="1"/>
  <c r="J340" i="4"/>
  <c r="V340" i="4"/>
  <c r="V667" i="1"/>
  <c r="J667" i="1" a="1"/>
  <c r="J667" i="1" s="1"/>
  <c r="V666" i="1"/>
  <c r="J666" i="1" a="1"/>
  <c r="J666" i="1" s="1"/>
  <c r="V665" i="1"/>
  <c r="J665" i="1" a="1"/>
  <c r="J665" i="1" s="1"/>
  <c r="J664" i="1" a="1"/>
  <c r="J664" i="1" s="1"/>
  <c r="V664" i="1"/>
  <c r="V663" i="1"/>
  <c r="J663" i="1" a="1"/>
  <c r="J663" i="1" s="1"/>
  <c r="J16" i="1" a="1"/>
  <c r="J16" i="1" s="1"/>
  <c r="J17" i="1" a="1"/>
  <c r="J17" i="1" s="1"/>
  <c r="J18" i="1" a="1"/>
  <c r="J18" i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/>
  <c r="J25" i="1" a="1"/>
  <c r="J25" i="1" s="1"/>
  <c r="J26" i="1" a="1"/>
  <c r="J26" i="1" s="1"/>
  <c r="J27" i="1" a="1"/>
  <c r="J27" i="1" s="1"/>
  <c r="J28" i="1" a="1"/>
  <c r="J28" i="1"/>
  <c r="J29" i="1" a="1"/>
  <c r="J29" i="1" s="1"/>
  <c r="J30" i="1" a="1"/>
  <c r="J30" i="1" s="1"/>
  <c r="J31" i="1" a="1"/>
  <c r="J31" i="1" s="1"/>
  <c r="J32" i="1" a="1"/>
  <c r="J32" i="1"/>
  <c r="J33" i="1" a="1"/>
  <c r="J33" i="1" s="1"/>
  <c r="J34" i="1" a="1"/>
  <c r="J34" i="1"/>
  <c r="J35" i="1" a="1"/>
  <c r="J35" i="1" s="1"/>
  <c r="J36" i="1" a="1"/>
  <c r="J36" i="1" s="1"/>
  <c r="J37" i="1" a="1"/>
  <c r="J37" i="1" s="1"/>
  <c r="J38" i="1" a="1"/>
  <c r="J38" i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/>
  <c r="J57" i="1" a="1"/>
  <c r="J57" i="1" s="1"/>
  <c r="J58" i="1" a="1"/>
  <c r="J58" i="1" s="1"/>
  <c r="J59" i="1" a="1"/>
  <c r="J59" i="1" s="1"/>
  <c r="J60" i="1" a="1"/>
  <c r="J60" i="1"/>
  <c r="J61" i="1" a="1"/>
  <c r="J61" i="1" s="1"/>
  <c r="J62" i="1" a="1"/>
  <c r="J62" i="1" s="1"/>
  <c r="J63" i="1" a="1"/>
  <c r="J63" i="1" s="1"/>
  <c r="J64" i="1" a="1"/>
  <c r="J64" i="1"/>
  <c r="J65" i="1" a="1"/>
  <c r="J65" i="1" s="1"/>
  <c r="J66" i="1" a="1"/>
  <c r="J66" i="1"/>
  <c r="J67" i="1" a="1"/>
  <c r="J67" i="1" s="1"/>
  <c r="J68" i="1" a="1"/>
  <c r="J68" i="1" s="1"/>
  <c r="J69" i="1" a="1"/>
  <c r="J69" i="1" s="1"/>
  <c r="J70" i="1" a="1"/>
  <c r="J70" i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/>
  <c r="J89" i="1" a="1"/>
  <c r="J89" i="1" s="1"/>
  <c r="J90" i="1" a="1"/>
  <c r="J90" i="1" s="1"/>
  <c r="J91" i="1" a="1"/>
  <c r="J91" i="1" s="1"/>
  <c r="J92" i="1" a="1"/>
  <c r="J92" i="1"/>
  <c r="J93" i="1" a="1"/>
  <c r="J93" i="1" s="1"/>
  <c r="J94" i="1" a="1"/>
  <c r="J94" i="1" s="1"/>
  <c r="J95" i="1" a="1"/>
  <c r="J95" i="1" s="1"/>
  <c r="J96" i="1" a="1"/>
  <c r="J96" i="1"/>
  <c r="J97" i="1" a="1"/>
  <c r="J97" i="1" s="1"/>
  <c r="J98" i="1" a="1"/>
  <c r="J98" i="1"/>
  <c r="J99" i="1" a="1"/>
  <c r="J99" i="1" s="1"/>
  <c r="J100" i="1" a="1"/>
  <c r="J100" i="1" s="1"/>
  <c r="J101" i="1" a="1"/>
  <c r="J101" i="1" s="1"/>
  <c r="J102" i="1" a="1"/>
  <c r="J102" i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/>
  <c r="J121" i="1" a="1"/>
  <c r="J121" i="1" s="1"/>
  <c r="J122" i="1" a="1"/>
  <c r="J122" i="1" s="1"/>
  <c r="J123" i="1" a="1"/>
  <c r="J123" i="1" s="1"/>
  <c r="J124" i="1" a="1"/>
  <c r="J124" i="1"/>
  <c r="J125" i="1" a="1"/>
  <c r="J125" i="1" s="1"/>
  <c r="J126" i="1" a="1"/>
  <c r="J126" i="1" s="1"/>
  <c r="J127" i="1" a="1"/>
  <c r="J127" i="1" s="1"/>
  <c r="J128" i="1" a="1"/>
  <c r="J128" i="1"/>
  <c r="J129" i="1" a="1"/>
  <c r="J129" i="1" s="1"/>
  <c r="J130" i="1" a="1"/>
  <c r="J130" i="1"/>
  <c r="J131" i="1" a="1"/>
  <c r="J131" i="1" s="1"/>
  <c r="J132" i="1" a="1"/>
  <c r="J132" i="1" s="1"/>
  <c r="J133" i="1" a="1"/>
  <c r="J133" i="1" s="1"/>
  <c r="J134" i="1" a="1"/>
  <c r="J134" i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/>
  <c r="J153" i="1" a="1"/>
  <c r="J153" i="1" s="1"/>
  <c r="J154" i="1" a="1"/>
  <c r="J154" i="1" s="1"/>
  <c r="J155" i="1" a="1"/>
  <c r="J155" i="1" s="1"/>
  <c r="J156" i="1" a="1"/>
  <c r="J156" i="1"/>
  <c r="J157" i="1" a="1"/>
  <c r="J157" i="1" s="1"/>
  <c r="J158" i="1" a="1"/>
  <c r="J158" i="1" s="1"/>
  <c r="J159" i="1" a="1"/>
  <c r="J159" i="1" s="1"/>
  <c r="J160" i="1" a="1"/>
  <c r="J160" i="1"/>
  <c r="J161" i="1" a="1"/>
  <c r="J161" i="1" s="1"/>
  <c r="J162" i="1" a="1"/>
  <c r="J162" i="1"/>
  <c r="J163" i="1" a="1"/>
  <c r="J163" i="1" s="1"/>
  <c r="J164" i="1" a="1"/>
  <c r="J164" i="1" s="1"/>
  <c r="J165" i="1" a="1"/>
  <c r="J165" i="1" s="1"/>
  <c r="J166" i="1" a="1"/>
  <c r="J166" i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/>
  <c r="J185" i="1" a="1"/>
  <c r="J185" i="1" s="1"/>
  <c r="J186" i="1" a="1"/>
  <c r="J186" i="1" s="1"/>
  <c r="J187" i="1" a="1"/>
  <c r="J187" i="1" s="1"/>
  <c r="J188" i="1" a="1"/>
  <c r="J188" i="1"/>
  <c r="J189" i="1" a="1"/>
  <c r="J189" i="1" s="1"/>
  <c r="J190" i="1" a="1"/>
  <c r="J190" i="1" s="1"/>
  <c r="J191" i="1" a="1"/>
  <c r="J191" i="1" s="1"/>
  <c r="J192" i="1" a="1"/>
  <c r="J192" i="1"/>
  <c r="J193" i="1" a="1"/>
  <c r="J193" i="1" s="1"/>
  <c r="J194" i="1" a="1"/>
  <c r="J194" i="1"/>
  <c r="J195" i="1" a="1"/>
  <c r="J195" i="1" s="1"/>
  <c r="J196" i="1" a="1"/>
  <c r="J196" i="1" s="1"/>
  <c r="J197" i="1" a="1"/>
  <c r="J197" i="1" s="1"/>
  <c r="J198" i="1" a="1"/>
  <c r="J198" i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  <c r="J210" i="1" a="1"/>
  <c r="J210" i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/>
  <c r="J217" i="1" a="1"/>
  <c r="J217" i="1" s="1"/>
  <c r="J218" i="1" a="1"/>
  <c r="J218" i="1" s="1"/>
  <c r="J219" i="1" a="1"/>
  <c r="J219" i="1" s="1"/>
  <c r="J220" i="1" a="1"/>
  <c r="J220" i="1"/>
  <c r="J221" i="1" a="1"/>
  <c r="J221" i="1" s="1"/>
  <c r="J222" i="1" a="1"/>
  <c r="J222" i="1" s="1"/>
  <c r="J223" i="1" a="1"/>
  <c r="J223" i="1" s="1"/>
  <c r="J224" i="1" a="1"/>
  <c r="J224" i="1"/>
  <c r="J225" i="1" a="1"/>
  <c r="J225" i="1" s="1"/>
  <c r="J226" i="1" a="1"/>
  <c r="J226" i="1"/>
  <c r="J227" i="1" a="1"/>
  <c r="J227" i="1" s="1"/>
  <c r="J228" i="1" a="1"/>
  <c r="J228" i="1" s="1"/>
  <c r="J229" i="1" a="1"/>
  <c r="J229" i="1" s="1"/>
  <c r="J230" i="1" a="1"/>
  <c r="J230" i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6" i="1" a="1"/>
  <c r="J236" i="1"/>
  <c r="J237" i="1" a="1"/>
  <c r="J237" i="1" s="1"/>
  <c r="J238" i="1" a="1"/>
  <c r="J238" i="1" s="1"/>
  <c r="J239" i="1" a="1"/>
  <c r="J239" i="1" s="1"/>
  <c r="J240" i="1" a="1"/>
  <c r="J240" i="1" s="1"/>
  <c r="J241" i="1" a="1"/>
  <c r="J241" i="1" s="1"/>
  <c r="J242" i="1" a="1"/>
  <c r="J242" i="1"/>
  <c r="J243" i="1" a="1"/>
  <c r="J243" i="1" s="1"/>
  <c r="J244" i="1" a="1"/>
  <c r="J244" i="1" s="1"/>
  <c r="J245" i="1" a="1"/>
  <c r="J245" i="1" s="1"/>
  <c r="J246" i="1" a="1"/>
  <c r="J246" i="1" s="1"/>
  <c r="J247" i="1" a="1"/>
  <c r="J247" i="1" s="1"/>
  <c r="J248" i="1" a="1"/>
  <c r="J248" i="1"/>
  <c r="J249" i="1" a="1"/>
  <c r="J249" i="1" s="1"/>
  <c r="J250" i="1" a="1"/>
  <c r="J250" i="1" s="1"/>
  <c r="J251" i="1" a="1"/>
  <c r="J251" i="1" s="1"/>
  <c r="J252" i="1" a="1"/>
  <c r="J252" i="1"/>
  <c r="J253" i="1" a="1"/>
  <c r="J253" i="1" s="1"/>
  <c r="J254" i="1" a="1"/>
  <c r="J254" i="1" s="1"/>
  <c r="J255" i="1" a="1"/>
  <c r="J255" i="1" s="1"/>
  <c r="J256" i="1" a="1"/>
  <c r="J256" i="1"/>
  <c r="J257" i="1" a="1"/>
  <c r="J257" i="1" s="1"/>
  <c r="J258" i="1" a="1"/>
  <c r="J258" i="1"/>
  <c r="J259" i="1" a="1"/>
  <c r="J259" i="1" s="1"/>
  <c r="J260" i="1" a="1"/>
  <c r="J260" i="1" s="1"/>
  <c r="J261" i="1" a="1"/>
  <c r="J261" i="1" s="1"/>
  <c r="J262" i="1" a="1"/>
  <c r="J262" i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 s="1"/>
  <c r="J275" i="1" a="1"/>
  <c r="J275" i="1" s="1"/>
  <c r="J276" i="1" a="1"/>
  <c r="J276" i="1" s="1"/>
  <c r="J277" i="1" a="1"/>
  <c r="J277" i="1" s="1"/>
  <c r="J278" i="1" a="1"/>
  <c r="J278" i="1" s="1"/>
  <c r="J279" i="1" a="1"/>
  <c r="J279" i="1"/>
  <c r="J280" i="1" a="1"/>
  <c r="J280" i="1" s="1"/>
  <c r="J281" i="1" a="1"/>
  <c r="J281" i="1" s="1"/>
  <c r="J282" i="1" a="1"/>
  <c r="J282" i="1" s="1"/>
  <c r="J283" i="1" a="1"/>
  <c r="J283" i="1" s="1"/>
  <c r="J284" i="1" a="1"/>
  <c r="J284" i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/>
  <c r="J296" i="1" a="1"/>
  <c r="J296" i="1" s="1"/>
  <c r="J297" i="1" a="1"/>
  <c r="J297" i="1" s="1"/>
  <c r="J298" i="1" a="1"/>
  <c r="J298" i="1" s="1"/>
  <c r="J299" i="1" a="1"/>
  <c r="J299" i="1" s="1"/>
  <c r="J300" i="1" a="1"/>
  <c r="J300" i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/>
  <c r="J312" i="1" a="1"/>
  <c r="J312" i="1" s="1"/>
  <c r="J313" i="1" a="1"/>
  <c r="J313" i="1" s="1"/>
  <c r="J314" i="1" a="1"/>
  <c r="J314" i="1" s="1"/>
  <c r="J315" i="1" a="1"/>
  <c r="J315" i="1" s="1"/>
  <c r="J316" i="1" a="1"/>
  <c r="J316" i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/>
  <c r="J328" i="1" a="1"/>
  <c r="J328" i="1" s="1"/>
  <c r="J329" i="1" a="1"/>
  <c r="J329" i="1" s="1"/>
  <c r="J330" i="1" a="1"/>
  <c r="J330" i="1" s="1"/>
  <c r="J331" i="1" a="1"/>
  <c r="J331" i="1" s="1"/>
  <c r="J332" i="1" a="1"/>
  <c r="J332" i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/>
  <c r="J344" i="1" a="1"/>
  <c r="J344" i="1" s="1"/>
  <c r="J345" i="1" a="1"/>
  <c r="J345" i="1" s="1"/>
  <c r="J346" i="1" a="1"/>
  <c r="J346" i="1" s="1"/>
  <c r="J347" i="1" a="1"/>
  <c r="J347" i="1" s="1"/>
  <c r="J348" i="1" a="1"/>
  <c r="J348" i="1"/>
  <c r="J349" i="1" a="1"/>
  <c r="J349" i="1" s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/>
  <c r="J360" i="1" a="1"/>
  <c r="J360" i="1" s="1"/>
  <c r="J361" i="1" a="1"/>
  <c r="J361" i="1" s="1"/>
  <c r="J362" i="1" a="1"/>
  <c r="J362" i="1" s="1"/>
  <c r="J363" i="1" a="1"/>
  <c r="J363" i="1" s="1"/>
  <c r="J364" i="1" a="1"/>
  <c r="J364" i="1"/>
  <c r="J365" i="1" a="1"/>
  <c r="J365" i="1" s="1"/>
  <c r="J366" i="1" a="1"/>
  <c r="J366" i="1" s="1"/>
  <c r="J367" i="1" a="1"/>
  <c r="J367" i="1" s="1"/>
  <c r="J368" i="1" a="1"/>
  <c r="J368" i="1" s="1"/>
  <c r="J369" i="1" a="1"/>
  <c r="J369" i="1"/>
  <c r="J370" i="1" a="1"/>
  <c r="J370" i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/>
  <c r="J378" i="1" a="1"/>
  <c r="J378" i="1" s="1"/>
  <c r="J379" i="1" a="1"/>
  <c r="J379" i="1"/>
  <c r="J380" i="1" a="1"/>
  <c r="J380" i="1" s="1"/>
  <c r="J381" i="1" a="1"/>
  <c r="J381" i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/>
  <c r="J394" i="1" a="1"/>
  <c r="J394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/>
  <c r="J400" i="1" a="1"/>
  <c r="J400" i="1" s="1"/>
  <c r="J401" i="1" a="1"/>
  <c r="J401" i="1" s="1"/>
  <c r="J402" i="1" a="1"/>
  <c r="J402" i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/>
  <c r="J410" i="1" a="1"/>
  <c r="J410" i="1"/>
  <c r="J411" i="1" a="1"/>
  <c r="J411" i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/>
  <c r="J423" i="1" a="1"/>
  <c r="J423" i="1" s="1"/>
  <c r="J424" i="1" a="1"/>
  <c r="J424" i="1" s="1"/>
  <c r="J425" i="1" a="1"/>
  <c r="J425" i="1" s="1"/>
  <c r="J426" i="1" a="1"/>
  <c r="J426" i="1" s="1"/>
  <c r="J427" i="1" a="1"/>
  <c r="J427" i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/>
  <c r="J434" i="1" a="1"/>
  <c r="J434" i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/>
  <c r="J442" i="1" a="1"/>
  <c r="J442" i="1" s="1"/>
  <c r="J443" i="1" a="1"/>
  <c r="J443" i="1"/>
  <c r="J444" i="1" a="1"/>
  <c r="J444" i="1" s="1"/>
  <c r="J445" i="1" a="1"/>
  <c r="J445" i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/>
  <c r="J464" i="1" a="1"/>
  <c r="J464" i="1" s="1"/>
  <c r="J465" i="1" a="1"/>
  <c r="J465" i="1" s="1"/>
  <c r="J466" i="1" a="1"/>
  <c r="J466" i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/>
  <c r="J474" i="1" a="1"/>
  <c r="J474" i="1"/>
  <c r="J475" i="1" a="1"/>
  <c r="J475" i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 s="1"/>
  <c r="J484" i="1" a="1"/>
  <c r="J484" i="1" s="1"/>
  <c r="J485" i="1" a="1"/>
  <c r="J485" i="1" s="1"/>
  <c r="J486" i="1" a="1"/>
  <c r="J486" i="1"/>
  <c r="J487" i="1" a="1"/>
  <c r="J487" i="1" s="1"/>
  <c r="J488" i="1" a="1"/>
  <c r="J488" i="1" s="1"/>
  <c r="J489" i="1" a="1"/>
  <c r="J489" i="1" s="1"/>
  <c r="J490" i="1" a="1"/>
  <c r="J490" i="1" s="1"/>
  <c r="J491" i="1" a="1"/>
  <c r="J491" i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/>
  <c r="J498" i="1" a="1"/>
  <c r="J498" i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/>
  <c r="J506" i="1" a="1"/>
  <c r="J506" i="1" s="1"/>
  <c r="J507" i="1" a="1"/>
  <c r="J507" i="1"/>
  <c r="J508" i="1" a="1"/>
  <c r="J508" i="1" s="1"/>
  <c r="J509" i="1" a="1"/>
  <c r="J509" i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/>
  <c r="J516" i="1" a="1"/>
  <c r="J516" i="1" s="1"/>
  <c r="J517" i="1" a="1"/>
  <c r="J517" i="1" s="1"/>
  <c r="J518" i="1" a="1"/>
  <c r="J518" i="1" s="1"/>
  <c r="J519" i="1" a="1"/>
  <c r="J519" i="1" s="1"/>
  <c r="J520" i="1" a="1"/>
  <c r="J520" i="1" s="1"/>
  <c r="J521" i="1" a="1"/>
  <c r="J521" i="1"/>
  <c r="J522" i="1" a="1"/>
  <c r="J522" i="1" s="1"/>
  <c r="J523" i="1" a="1"/>
  <c r="J523" i="1" s="1"/>
  <c r="J524" i="1" a="1"/>
  <c r="J524" i="1" s="1"/>
  <c r="J525" i="1" a="1"/>
  <c r="J525" i="1" s="1"/>
  <c r="J526" i="1" a="1"/>
  <c r="J526" i="1" s="1"/>
  <c r="J527" i="1" a="1"/>
  <c r="J527" i="1"/>
  <c r="J528" i="1" a="1"/>
  <c r="J528" i="1" s="1"/>
  <c r="J529" i="1" a="1"/>
  <c r="J529" i="1" s="1"/>
  <c r="J530" i="1" a="1"/>
  <c r="J530" i="1"/>
  <c r="J531" i="1" a="1"/>
  <c r="J531" i="1" s="1"/>
  <c r="J532" i="1" a="1"/>
  <c r="J532" i="1" s="1"/>
  <c r="J533" i="1" a="1"/>
  <c r="J533" i="1" s="1"/>
  <c r="J534" i="1" a="1"/>
  <c r="J534" i="1" s="1"/>
  <c r="J535" i="1" a="1"/>
  <c r="J535" i="1" s="1"/>
  <c r="J536" i="1" a="1"/>
  <c r="J536" i="1" s="1"/>
  <c r="J537" i="1" a="1"/>
  <c r="J537" i="1"/>
  <c r="J538" i="1" a="1"/>
  <c r="J538" i="1"/>
  <c r="J539" i="1" a="1"/>
  <c r="J539" i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/>
  <c r="J551" i="1" a="1"/>
  <c r="J551" i="1" s="1"/>
  <c r="J552" i="1" a="1"/>
  <c r="J552" i="1" s="1"/>
  <c r="J553" i="1" a="1"/>
  <c r="J553" i="1" s="1"/>
  <c r="J554" i="1" a="1"/>
  <c r="J554" i="1" s="1"/>
  <c r="J555" i="1" a="1"/>
  <c r="J555" i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/>
  <c r="J562" i="1" a="1"/>
  <c r="J562" i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68" i="1" a="1"/>
  <c r="J568" i="1" s="1"/>
  <c r="J569" i="1" a="1"/>
  <c r="J569" i="1"/>
  <c r="J570" i="1" a="1"/>
  <c r="J570" i="1" s="1"/>
  <c r="J571" i="1" a="1"/>
  <c r="J571" i="1"/>
  <c r="J572" i="1" a="1"/>
  <c r="J572" i="1" s="1"/>
  <c r="J573" i="1" a="1"/>
  <c r="J573" i="1"/>
  <c r="J574" i="1" a="1"/>
  <c r="J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/>
  <c r="J580" i="1" a="1"/>
  <c r="J580" i="1" s="1"/>
  <c r="J581" i="1" a="1"/>
  <c r="J581" i="1" s="1"/>
  <c r="J582" i="1" a="1"/>
  <c r="J582" i="1" s="1"/>
  <c r="J583" i="1" a="1"/>
  <c r="J583" i="1" s="1"/>
  <c r="J584" i="1" a="1"/>
  <c r="J584" i="1" s="1"/>
  <c r="J585" i="1" a="1"/>
  <c r="J585" i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/>
  <c r="J592" i="1" a="1"/>
  <c r="J592" i="1" s="1"/>
  <c r="J593" i="1" a="1"/>
  <c r="J593" i="1" s="1"/>
  <c r="J594" i="1" a="1"/>
  <c r="J594" i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/>
  <c r="J602" i="1" a="1"/>
  <c r="J602" i="1"/>
  <c r="J603" i="1" a="1"/>
  <c r="J603" i="1"/>
  <c r="J604" i="1" a="1"/>
  <c r="J604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 s="1"/>
  <c r="J612" i="1" a="1"/>
  <c r="J612" i="1" s="1"/>
  <c r="J613" i="1" a="1"/>
  <c r="J613" i="1" s="1"/>
  <c r="J614" i="1" a="1"/>
  <c r="J614" i="1"/>
  <c r="J615" i="1" a="1"/>
  <c r="J615" i="1" s="1"/>
  <c r="J616" i="1" a="1"/>
  <c r="J616" i="1" s="1"/>
  <c r="J617" i="1" a="1"/>
  <c r="J617" i="1" s="1"/>
  <c r="J618" i="1" a="1"/>
  <c r="J618" i="1" s="1"/>
  <c r="J619" i="1" a="1"/>
  <c r="J619" i="1"/>
  <c r="J620" i="1" a="1"/>
  <c r="J620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/>
  <c r="J626" i="1" a="1"/>
  <c r="J626" i="1"/>
  <c r="J627" i="1" a="1"/>
  <c r="J627" i="1" s="1"/>
  <c r="J628" i="1" a="1"/>
  <c r="J628" i="1" s="1"/>
  <c r="J629" i="1" a="1"/>
  <c r="J629" i="1" s="1"/>
  <c r="J630" i="1" a="1"/>
  <c r="J630" i="1" s="1"/>
  <c r="J631" i="1" a="1"/>
  <c r="J631" i="1" s="1"/>
  <c r="J632" i="1" a="1"/>
  <c r="J632" i="1" s="1"/>
  <c r="J633" i="1" a="1"/>
  <c r="J633" i="1"/>
  <c r="J634" i="1" a="1"/>
  <c r="J634" i="1" s="1"/>
  <c r="J635" i="1" a="1"/>
  <c r="J635" i="1"/>
  <c r="J636" i="1" a="1"/>
  <c r="J636" i="1" s="1"/>
  <c r="J637" i="1" a="1"/>
  <c r="J637" i="1"/>
  <c r="J638" i="1" a="1"/>
  <c r="J638" i="1" s="1"/>
  <c r="J639" i="1" a="1"/>
  <c r="J639" i="1" s="1"/>
  <c r="J640" i="1" a="1"/>
  <c r="J640" i="1" s="1"/>
  <c r="J641" i="1" a="1"/>
  <c r="J641" i="1" s="1"/>
  <c r="J642" i="1" a="1"/>
  <c r="J642" i="1" s="1"/>
  <c r="J643" i="1" a="1"/>
  <c r="J643" i="1"/>
  <c r="J644" i="1" a="1"/>
  <c r="J644" i="1" s="1"/>
  <c r="J645" i="1" a="1"/>
  <c r="J645" i="1" s="1"/>
  <c r="J646" i="1" a="1"/>
  <c r="J646" i="1" s="1"/>
  <c r="J647" i="1" a="1"/>
  <c r="J647" i="1" s="1"/>
  <c r="J648" i="1" a="1"/>
  <c r="J648" i="1" s="1"/>
  <c r="J649" i="1" a="1"/>
  <c r="J649" i="1"/>
  <c r="J650" i="1" a="1"/>
  <c r="J650" i="1" s="1"/>
  <c r="J651" i="1" a="1"/>
  <c r="J651" i="1" s="1"/>
  <c r="J652" i="1" a="1"/>
  <c r="J652" i="1" s="1"/>
  <c r="J653" i="1" a="1"/>
  <c r="J653" i="1" s="1"/>
  <c r="J654" i="1" a="1"/>
  <c r="J654" i="1" s="1"/>
  <c r="J655" i="1" a="1"/>
  <c r="J655" i="1"/>
  <c r="J656" i="1" a="1"/>
  <c r="J656" i="1" s="1"/>
  <c r="J657" i="1" a="1"/>
  <c r="J657" i="1" s="1"/>
  <c r="J658" i="1" a="1"/>
  <c r="J658" i="1"/>
  <c r="J659" i="1" a="1"/>
  <c r="J659" i="1" s="1"/>
  <c r="J660" i="1" a="1"/>
  <c r="J660" i="1" s="1"/>
  <c r="J661" i="1" a="1"/>
  <c r="J661" i="1" s="1"/>
  <c r="J662" i="1" a="1"/>
  <c r="J662" i="1" s="1"/>
  <c r="V662" i="1"/>
  <c r="V661" i="1"/>
  <c r="V660" i="1"/>
  <c r="V659" i="1"/>
  <c r="V658" i="1"/>
  <c r="V657" i="1"/>
  <c r="J339" i="4" a="1"/>
  <c r="J339" i="4"/>
  <c r="V339" i="4"/>
  <c r="V656" i="1"/>
  <c r="V655" i="1"/>
  <c r="V654" i="1"/>
  <c r="J338" i="4" a="1"/>
  <c r="J338" i="4"/>
  <c r="V338" i="4"/>
  <c r="J337" i="4" a="1"/>
  <c r="J337" i="4"/>
  <c r="V337" i="4"/>
  <c r="V653" i="1"/>
  <c r="V652" i="1"/>
  <c r="V651" i="1"/>
  <c r="V650" i="1"/>
  <c r="V649" i="1"/>
  <c r="V648" i="1"/>
  <c r="V647" i="1"/>
  <c r="V336" i="4"/>
  <c r="J336" i="4" a="1"/>
  <c r="J336" i="4"/>
  <c r="V335" i="4"/>
  <c r="J335" i="4" a="1"/>
  <c r="J335" i="4"/>
  <c r="J334" i="4" a="1"/>
  <c r="J334" i="4"/>
  <c r="V334" i="4"/>
  <c r="J333" i="4" a="1"/>
  <c r="J333" i="4"/>
  <c r="V333" i="4"/>
  <c r="V332" i="4"/>
  <c r="J332" i="4" a="1"/>
  <c r="J332" i="4" s="1"/>
  <c r="V331" i="4"/>
  <c r="J331" i="4" a="1"/>
  <c r="J331" i="4" s="1"/>
  <c r="V330" i="4"/>
  <c r="J330" i="4" a="1"/>
  <c r="J330" i="4" s="1"/>
  <c r="V646" i="1"/>
  <c r="V645" i="1"/>
  <c r="V644" i="1"/>
  <c r="J329" i="4" a="1"/>
  <c r="J329" i="4"/>
  <c r="V329" i="4"/>
  <c r="J328" i="4" a="1"/>
  <c r="J328" i="4"/>
  <c r="V328" i="4"/>
  <c r="J327" i="4" a="1"/>
  <c r="J327" i="4"/>
  <c r="V327" i="4"/>
  <c r="J326" i="4" a="1"/>
  <c r="J326" i="4"/>
  <c r="V326" i="4"/>
  <c r="V643" i="1"/>
  <c r="V642" i="1"/>
  <c r="V641" i="1"/>
  <c r="V640" i="1"/>
  <c r="V639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V638" i="1"/>
  <c r="V637" i="1"/>
  <c r="V636" i="1"/>
  <c r="V635" i="1"/>
  <c r="V634" i="1"/>
  <c r="J325" i="4" a="1"/>
  <c r="J325" i="4"/>
  <c r="V325" i="4"/>
  <c r="J324" i="4" a="1"/>
  <c r="J324" i="4"/>
  <c r="V324" i="4"/>
  <c r="V633" i="1"/>
  <c r="V632" i="1"/>
  <c r="V631" i="1"/>
  <c r="V630" i="1"/>
  <c r="V629" i="1"/>
  <c r="V628" i="1"/>
  <c r="V627" i="1"/>
  <c r="V323" i="4"/>
  <c r="J323" i="4" a="1"/>
  <c r="J323" i="4"/>
  <c r="V322" i="4"/>
  <c r="J322" i="4" a="1"/>
  <c r="J322" i="4"/>
  <c r="J321" i="4" a="1"/>
  <c r="J321" i="4"/>
  <c r="V321" i="4"/>
  <c r="J320" i="4" a="1"/>
  <c r="J320" i="4"/>
  <c r="V320" i="4"/>
  <c r="J319" i="4" a="1"/>
  <c r="J319" i="4"/>
  <c r="V319" i="4"/>
  <c r="J318" i="4" a="1"/>
  <c r="J318" i="4"/>
  <c r="V318" i="4"/>
  <c r="J317" i="4" a="1"/>
  <c r="J317" i="4"/>
  <c r="V317" i="4"/>
  <c r="J316" i="4" a="1"/>
  <c r="J316" i="4"/>
  <c r="V316" i="4"/>
  <c r="J315" i="4" a="1"/>
  <c r="J315" i="4"/>
  <c r="V315" i="4"/>
  <c r="J314" i="4" a="1"/>
  <c r="J314" i="4"/>
  <c r="V314" i="4"/>
  <c r="V626" i="1"/>
  <c r="V625" i="1"/>
  <c r="C5" i="1" l="1"/>
  <c r="D5" i="1" s="1"/>
  <c r="C4" i="1"/>
  <c r="D4" i="1" s="1"/>
  <c r="F5" i="1"/>
  <c r="J313" i="4" a="1"/>
  <c r="J313" i="4" s="1"/>
  <c r="V313" i="4"/>
  <c r="J312" i="4" a="1"/>
  <c r="J312" i="4" s="1"/>
  <c r="V312" i="4"/>
  <c r="J311" i="4" a="1"/>
  <c r="J311" i="4" s="1"/>
  <c r="V311" i="4"/>
  <c r="V624" i="1"/>
  <c r="V623" i="1"/>
  <c r="V622" i="1"/>
  <c r="V621" i="1"/>
  <c r="V620" i="1"/>
  <c r="J310" i="4" a="1"/>
  <c r="J310" i="4" s="1"/>
  <c r="V310" i="4"/>
  <c r="J309" i="4" a="1"/>
  <c r="J309" i="4" s="1"/>
  <c r="V309" i="4"/>
  <c r="V619" i="1"/>
  <c r="V618" i="1"/>
  <c r="V617" i="1"/>
  <c r="V616" i="1"/>
  <c r="V615" i="1"/>
  <c r="V614" i="1"/>
  <c r="V613" i="1"/>
  <c r="V612" i="1"/>
  <c r="V611" i="1"/>
  <c r="V610" i="1"/>
  <c r="V609" i="1"/>
  <c r="V608" i="1"/>
  <c r="G9" i="4"/>
  <c r="I9" i="4"/>
  <c r="G10" i="4"/>
  <c r="I10" i="4"/>
  <c r="J308" i="4" a="1"/>
  <c r="J308" i="4" s="1"/>
  <c r="V308" i="4"/>
  <c r="J307" i="4" a="1"/>
  <c r="J307" i="4" s="1"/>
  <c r="V307" i="4"/>
  <c r="J306" i="4" a="1"/>
  <c r="J306" i="4" s="1"/>
  <c r="V306" i="4"/>
  <c r="J305" i="4" a="1"/>
  <c r="J305" i="4" s="1"/>
  <c r="V305" i="4"/>
  <c r="J304" i="4" a="1"/>
  <c r="J304" i="4" s="1"/>
  <c r="V304" i="4"/>
  <c r="V607" i="1"/>
  <c r="J303" i="4" a="1"/>
  <c r="J303" i="4" s="1"/>
  <c r="V303" i="4"/>
  <c r="J302" i="4" a="1"/>
  <c r="J302" i="4"/>
  <c r="V302" i="4"/>
  <c r="V606" i="1"/>
  <c r="V605" i="1"/>
  <c r="V604" i="1"/>
  <c r="V603" i="1"/>
  <c r="V602" i="1"/>
  <c r="V601" i="1"/>
  <c r="V600" i="1"/>
  <c r="V599" i="1"/>
  <c r="V598" i="1"/>
  <c r="V597" i="1"/>
  <c r="J301" i="4" a="1"/>
  <c r="J301" i="4"/>
  <c r="V301" i="4"/>
  <c r="J300" i="4" a="1"/>
  <c r="J300" i="4" s="1"/>
  <c r="V300" i="4"/>
  <c r="J299" i="4" a="1"/>
  <c r="J299" i="4" s="1"/>
  <c r="V299" i="4"/>
  <c r="J298" i="4" a="1"/>
  <c r="J298" i="4" s="1"/>
  <c r="V298" i="4"/>
  <c r="V596" i="1"/>
  <c r="J297" i="4" a="1"/>
  <c r="J297" i="4" s="1"/>
  <c r="V297" i="4"/>
  <c r="J296" i="4" a="1"/>
  <c r="J296" i="4" s="1"/>
  <c r="V296" i="4"/>
  <c r="J295" i="4" a="1"/>
  <c r="J295" i="4" s="1"/>
  <c r="V295" i="4"/>
  <c r="J294" i="4" a="1"/>
  <c r="J294" i="4" s="1"/>
  <c r="V294" i="4"/>
  <c r="J293" i="4" a="1"/>
  <c r="J293" i="4" s="1"/>
  <c r="V293" i="4"/>
  <c r="J292" i="4" a="1"/>
  <c r="J292" i="4" s="1"/>
  <c r="V292" i="4"/>
  <c r="J291" i="4" a="1"/>
  <c r="J291" i="4" s="1"/>
  <c r="V291" i="4"/>
  <c r="J289" i="4" a="1"/>
  <c r="J289" i="4" s="1"/>
  <c r="J290" i="4" a="1"/>
  <c r="J290" i="4" s="1"/>
  <c r="V289" i="4"/>
  <c r="V290" i="4"/>
  <c r="V595" i="1"/>
  <c r="V594" i="1"/>
  <c r="J288" i="4" a="1"/>
  <c r="J288" i="4" s="1"/>
  <c r="V288" i="4"/>
  <c r="J287" i="4" a="1"/>
  <c r="J287" i="4" s="1"/>
  <c r="V287" i="4"/>
  <c r="J286" i="4" a="1"/>
  <c r="J286" i="4" s="1"/>
  <c r="V286" i="4"/>
  <c r="V593" i="1"/>
  <c r="V592" i="1"/>
  <c r="G10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J285" i="4" a="1"/>
  <c r="J285" i="4" s="1"/>
  <c r="V285" i="4"/>
  <c r="J284" i="4" a="1"/>
  <c r="J284" i="4" s="1"/>
  <c r="V284" i="4"/>
  <c r="J283" i="4" a="1"/>
  <c r="J283" i="4" s="1"/>
  <c r="V283" i="4"/>
  <c r="V575" i="1"/>
  <c r="V574" i="1"/>
  <c r="V573" i="1"/>
  <c r="J282" i="4" a="1"/>
  <c r="J282" i="4"/>
  <c r="V282" i="4"/>
  <c r="J281" i="4" a="1"/>
  <c r="J281" i="4"/>
  <c r="V281" i="4"/>
  <c r="V572" i="1"/>
  <c r="J280" i="4" a="1"/>
  <c r="J280" i="4" s="1"/>
  <c r="V280" i="4"/>
  <c r="J279" i="4" a="1"/>
  <c r="J279" i="4" s="1"/>
  <c r="V279" i="4"/>
  <c r="V571" i="1"/>
  <c r="V570" i="1"/>
  <c r="V278" i="4"/>
  <c r="J278" i="4" a="1"/>
  <c r="J278" i="4"/>
  <c r="V277" i="4"/>
  <c r="J277" i="4" a="1"/>
  <c r="J277" i="4"/>
  <c r="V276" i="4"/>
  <c r="J276" i="4" a="1"/>
  <c r="J276" i="4"/>
  <c r="V275" i="4"/>
  <c r="J275" i="4" a="1"/>
  <c r="J275" i="4" s="1"/>
  <c r="V569" i="1"/>
  <c r="V274" i="4"/>
  <c r="J274" i="4" a="1"/>
  <c r="J274" i="4" s="1"/>
  <c r="V568" i="1"/>
  <c r="V567" i="1"/>
  <c r="V566" i="1"/>
  <c r="V565" i="1"/>
  <c r="V273" i="4"/>
  <c r="J273" i="4" a="1"/>
  <c r="J273" i="4" s="1"/>
  <c r="V560" i="1"/>
  <c r="G9" i="1" l="1"/>
  <c r="V564" i="1"/>
  <c r="V563" i="1"/>
  <c r="V562" i="1"/>
  <c r="V561" i="1"/>
  <c r="V559" i="1"/>
  <c r="V558" i="1"/>
  <c r="V557" i="1"/>
  <c r="V556" i="1"/>
  <c r="V555" i="1"/>
  <c r="V554" i="1"/>
  <c r="V553" i="1"/>
  <c r="V552" i="1"/>
  <c r="V551" i="1"/>
  <c r="V550" i="1"/>
  <c r="V549" i="1"/>
  <c r="J272" i="4" a="1"/>
  <c r="J272" i="4" s="1"/>
  <c r="V272" i="4"/>
  <c r="J271" i="4" a="1"/>
  <c r="J271" i="4" s="1"/>
  <c r="V271" i="4"/>
  <c r="J270" i="4" a="1"/>
  <c r="J270" i="4" s="1"/>
  <c r="V270" i="4"/>
  <c r="J269" i="4" a="1"/>
  <c r="J269" i="4" s="1"/>
  <c r="V269" i="4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J268" i="4" a="1"/>
  <c r="J268" i="4" s="1"/>
  <c r="V268" i="4"/>
  <c r="J267" i="4" a="1"/>
  <c r="J267" i="4" s="1"/>
  <c r="V267" i="4"/>
  <c r="J266" i="4" a="1"/>
  <c r="J266" i="4" s="1"/>
  <c r="V266" i="4"/>
  <c r="J265" i="4" a="1"/>
  <c r="J265" i="4" s="1"/>
  <c r="V265" i="4"/>
  <c r="J264" i="4" a="1"/>
  <c r="J264" i="4" s="1"/>
  <c r="V264" i="4"/>
  <c r="J263" i="4" a="1"/>
  <c r="J263" i="4" s="1"/>
  <c r="V263" i="4"/>
  <c r="J262" i="4" a="1"/>
  <c r="J262" i="4" s="1"/>
  <c r="V262" i="4"/>
  <c r="V530" i="1"/>
  <c r="V529" i="1"/>
  <c r="V528" i="1"/>
  <c r="V527" i="1"/>
  <c r="V526" i="1"/>
  <c r="V525" i="1"/>
  <c r="V524" i="1"/>
  <c r="J261" i="4" a="1"/>
  <c r="J261" i="4" s="1"/>
  <c r="V261" i="4"/>
  <c r="J260" i="4" a="1"/>
  <c r="J260" i="4" s="1"/>
  <c r="V260" i="4"/>
  <c r="V523" i="1"/>
  <c r="V522" i="1"/>
  <c r="V521" i="1"/>
  <c r="V520" i="1"/>
  <c r="V519" i="1"/>
  <c r="V518" i="1"/>
  <c r="V517" i="1"/>
  <c r="V516" i="1"/>
  <c r="J259" i="4" a="1"/>
  <c r="J259" i="4" s="1"/>
  <c r="V259" i="4"/>
  <c r="J258" i="4" a="1"/>
  <c r="J258" i="4" s="1"/>
  <c r="V258" i="4"/>
  <c r="J257" i="4" a="1"/>
  <c r="J257" i="4" s="1"/>
  <c r="V257" i="4"/>
  <c r="J256" i="4" a="1"/>
  <c r="J256" i="4" s="1"/>
  <c r="V256" i="4"/>
  <c r="V515" i="1"/>
  <c r="V514" i="1"/>
  <c r="V513" i="1"/>
  <c r="J255" i="4" a="1"/>
  <c r="J255" i="4" s="1"/>
  <c r="V255" i="4"/>
  <c r="J254" i="4" a="1"/>
  <c r="J254" i="4" s="1"/>
  <c r="V254" i="4"/>
  <c r="V512" i="1"/>
  <c r="V511" i="1"/>
  <c r="J253" i="4" a="1"/>
  <c r="J253" i="4" s="1"/>
  <c r="V253" i="4"/>
  <c r="J252" i="4" a="1"/>
  <c r="J252" i="4" s="1"/>
  <c r="V252" i="4"/>
  <c r="V510" i="1"/>
  <c r="V251" i="4"/>
  <c r="J251" i="4" a="1"/>
  <c r="J251" i="4" s="1"/>
  <c r="V250" i="4"/>
  <c r="J250" i="4" a="1"/>
  <c r="J250" i="4" s="1"/>
  <c r="V249" i="4"/>
  <c r="J249" i="4" a="1"/>
  <c r="J249" i="4" s="1"/>
  <c r="V509" i="1"/>
  <c r="V508" i="1"/>
  <c r="V507" i="1"/>
  <c r="V506" i="1"/>
  <c r="V505" i="1"/>
  <c r="V504" i="1"/>
  <c r="V503" i="1"/>
  <c r="V502" i="1"/>
  <c r="V501" i="1"/>
  <c r="V500" i="1"/>
  <c r="V499" i="1"/>
  <c r="V498" i="1"/>
  <c r="J247" i="4" a="1"/>
  <c r="J247" i="4" s="1"/>
  <c r="V497" i="1"/>
  <c r="J248" i="4" a="1"/>
  <c r="J248" i="4" s="1"/>
  <c r="V248" i="4"/>
  <c r="V496" i="1"/>
  <c r="V495" i="1"/>
  <c r="V494" i="1"/>
  <c r="V247" i="4"/>
  <c r="V493" i="1"/>
  <c r="V492" i="1"/>
  <c r="V491" i="1"/>
  <c r="V490" i="1"/>
  <c r="V489" i="1"/>
  <c r="J246" i="4" a="1"/>
  <c r="J246" i="4" s="1"/>
  <c r="V246" i="4"/>
  <c r="J245" i="4" a="1"/>
  <c r="J245" i="4" s="1"/>
  <c r="V245" i="4"/>
  <c r="V488" i="1"/>
  <c r="V487" i="1"/>
  <c r="V486" i="1"/>
  <c r="V485" i="1"/>
  <c r="V484" i="1"/>
  <c r="V483" i="1"/>
  <c r="J244" i="4" l="1" a="1"/>
  <c r="J244" i="4" s="1"/>
  <c r="V244" i="4"/>
  <c r="V482" i="1"/>
  <c r="V481" i="1"/>
  <c r="V480" i="1"/>
  <c r="V479" i="1"/>
  <c r="V478" i="1"/>
  <c r="V477" i="1"/>
  <c r="V243" i="4"/>
  <c r="J243" i="4" a="1"/>
  <c r="J243" i="4" s="1"/>
  <c r="V476" i="1"/>
  <c r="V475" i="1"/>
  <c r="V474" i="1"/>
  <c r="V473" i="1"/>
  <c r="V472" i="1"/>
  <c r="J242" i="4" a="1"/>
  <c r="J242" i="4" s="1"/>
  <c r="V242" i="4"/>
  <c r="J241" i="4" a="1"/>
  <c r="J241" i="4" s="1"/>
  <c r="V241" i="4"/>
  <c r="J240" i="4" a="1"/>
  <c r="J240" i="4" s="1"/>
  <c r="V240" i="4"/>
  <c r="V471" i="1"/>
  <c r="V470" i="1"/>
  <c r="V469" i="1"/>
  <c r="V468" i="1"/>
  <c r="V467" i="1"/>
  <c r="V466" i="1"/>
  <c r="V465" i="1"/>
  <c r="V464" i="1"/>
  <c r="V239" i="4"/>
  <c r="J239" i="4" a="1"/>
  <c r="J239" i="4" s="1"/>
  <c r="V463" i="1"/>
  <c r="V238" i="4"/>
  <c r="J238" i="4" a="1"/>
  <c r="J238" i="4" s="1"/>
  <c r="V462" i="1"/>
  <c r="V461" i="1"/>
  <c r="V460" i="1"/>
  <c r="V459" i="1"/>
  <c r="V458" i="1"/>
  <c r="V457" i="1"/>
  <c r="J237" i="4" l="1" a="1"/>
  <c r="J237" i="4" s="1"/>
  <c r="V237" i="4"/>
  <c r="J236" i="4" a="1"/>
  <c r="J236" i="4" s="1"/>
  <c r="V236" i="4"/>
  <c r="J235" i="4" a="1"/>
  <c r="J235" i="4" s="1"/>
  <c r="V235" i="4"/>
  <c r="V456" i="1"/>
  <c r="V455" i="1"/>
  <c r="J234" i="4" a="1"/>
  <c r="J234" i="4" s="1"/>
  <c r="V234" i="4"/>
  <c r="J233" i="4" a="1"/>
  <c r="J233" i="4" s="1"/>
  <c r="V233" i="4"/>
  <c r="J232" i="4" a="1"/>
  <c r="J232" i="4" s="1"/>
  <c r="V232" i="4"/>
  <c r="J231" i="4" a="1"/>
  <c r="J231" i="4" s="1"/>
  <c r="V231" i="4"/>
  <c r="J230" i="4" a="1"/>
  <c r="J230" i="4" s="1"/>
  <c r="V230" i="4"/>
  <c r="J229" i="4" a="1"/>
  <c r="J229" i="4" s="1"/>
  <c r="V229" i="4"/>
  <c r="V454" i="1"/>
  <c r="V453" i="1" l="1"/>
  <c r="V452" i="1"/>
  <c r="V451" i="1"/>
  <c r="V450" i="1"/>
  <c r="V228" i="4" l="1"/>
  <c r="J228" i="4" a="1"/>
  <c r="J228" i="4" s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227" i="4"/>
  <c r="J227" i="4" a="1"/>
  <c r="J227" i="4" s="1"/>
  <c r="V226" i="4"/>
  <c r="J226" i="4" a="1"/>
  <c r="J226" i="4" s="1"/>
  <c r="V225" i="4"/>
  <c r="J225" i="4" a="1"/>
  <c r="J225" i="4" s="1"/>
  <c r="J224" i="4" a="1"/>
  <c r="J224" i="4" s="1"/>
  <c r="V224" i="4"/>
  <c r="J223" i="4" a="1"/>
  <c r="J223" i="4" s="1"/>
  <c r="V223" i="4"/>
  <c r="V437" i="1"/>
  <c r="V436" i="1"/>
  <c r="V435" i="1"/>
  <c r="V434" i="1"/>
  <c r="V433" i="1"/>
  <c r="V432" i="1"/>
  <c r="V431" i="1"/>
  <c r="V430" i="1"/>
  <c r="V429" i="1"/>
  <c r="J222" i="4" a="1"/>
  <c r="J222" i="4" s="1"/>
  <c r="V222" i="4"/>
  <c r="J221" i="4" a="1"/>
  <c r="J221" i="4" s="1"/>
  <c r="V221" i="4"/>
  <c r="J220" i="4" a="1"/>
  <c r="J220" i="4" s="1"/>
  <c r="V220" i="4"/>
  <c r="V428" i="1"/>
  <c r="V427" i="1"/>
  <c r="V426" i="1"/>
  <c r="V425" i="1"/>
  <c r="V424" i="1"/>
  <c r="V423" i="1"/>
  <c r="V422" i="1"/>
  <c r="V421" i="1"/>
  <c r="V420" i="1"/>
  <c r="J219" i="4" a="1"/>
  <c r="J219" i="4" s="1"/>
  <c r="V219" i="4"/>
  <c r="V419" i="1"/>
  <c r="V418" i="1"/>
  <c r="V417" i="1"/>
  <c r="J218" i="4" a="1"/>
  <c r="J218" i="4" s="1"/>
  <c r="V218" i="4"/>
  <c r="V416" i="1"/>
  <c r="V415" i="1" l="1"/>
  <c r="V414" i="1"/>
  <c r="V413" i="1" l="1"/>
  <c r="V412" i="1"/>
  <c r="V411" i="1"/>
  <c r="V410" i="1"/>
  <c r="V409" i="1"/>
  <c r="J217" i="4" a="1"/>
  <c r="J217" i="4" s="1"/>
  <c r="V217" i="4"/>
  <c r="V408" i="1"/>
  <c r="V407" i="1"/>
  <c r="V406" i="1"/>
  <c r="V405" i="1"/>
  <c r="J216" i="4" a="1"/>
  <c r="J216" i="4" s="1"/>
  <c r="V216" i="4"/>
  <c r="J215" i="4" a="1"/>
  <c r="J215" i="4" s="1"/>
  <c r="V215" i="4"/>
  <c r="V404" i="1"/>
  <c r="V403" i="1"/>
  <c r="V402" i="1"/>
  <c r="V401" i="1"/>
  <c r="J214" i="4" a="1"/>
  <c r="J214" i="4" s="1"/>
  <c r="V214" i="4"/>
  <c r="V400" i="1"/>
  <c r="J213" i="4" a="1"/>
  <c r="J213" i="4"/>
  <c r="V213" i="4"/>
  <c r="J212" i="4" a="1"/>
  <c r="J212" i="4" s="1"/>
  <c r="V212" i="4"/>
  <c r="J211" i="4" a="1"/>
  <c r="J211" i="4" s="1"/>
  <c r="V211" i="4"/>
  <c r="J210" i="4" a="1"/>
  <c r="J210" i="4" s="1"/>
  <c r="V210" i="4"/>
  <c r="J209" i="4" a="1"/>
  <c r="J209" i="4" s="1"/>
  <c r="V209" i="4"/>
  <c r="J208" i="4" a="1"/>
  <c r="J208" i="4" s="1"/>
  <c r="V208" i="4"/>
  <c r="V399" i="1"/>
  <c r="V398" i="1"/>
  <c r="V397" i="1"/>
  <c r="V396" i="1"/>
  <c r="V395" i="1"/>
  <c r="J207" i="4" a="1"/>
  <c r="J207" i="4" s="1"/>
  <c r="V207" i="4"/>
  <c r="J206" i="4" a="1"/>
  <c r="J206" i="4" s="1"/>
  <c r="V206" i="4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 l="1"/>
  <c r="V381" i="1"/>
  <c r="V380" i="1"/>
  <c r="V379" i="1"/>
  <c r="V205" i="4"/>
  <c r="J205" i="4" a="1"/>
  <c r="J205" i="4" s="1"/>
  <c r="V204" i="4"/>
  <c r="J204" i="4" a="1"/>
  <c r="J204" i="4" s="1"/>
  <c r="V203" i="4"/>
  <c r="J203" i="4" a="1"/>
  <c r="J203" i="4" s="1"/>
  <c r="V202" i="4"/>
  <c r="J202" i="4" a="1"/>
  <c r="J202" i="4" s="1"/>
  <c r="V201" i="4"/>
  <c r="J201" i="4" a="1"/>
  <c r="J201" i="4" s="1"/>
  <c r="V200" i="4"/>
  <c r="J200" i="4" a="1"/>
  <c r="J200" i="4" s="1"/>
  <c r="V378" i="1"/>
  <c r="J199" i="4" a="1"/>
  <c r="J199" i="4" s="1"/>
  <c r="V199" i="4"/>
  <c r="J198" i="4" a="1"/>
  <c r="J198" i="4" s="1"/>
  <c r="V198" i="4"/>
  <c r="J197" i="4" a="1"/>
  <c r="J197" i="4" s="1"/>
  <c r="V197" i="4"/>
  <c r="V377" i="1"/>
  <c r="V376" i="1"/>
  <c r="V375" i="1"/>
  <c r="V196" i="4"/>
  <c r="J196" i="4" a="1"/>
  <c r="J196" i="4" s="1"/>
  <c r="V374" i="1"/>
  <c r="V373" i="1"/>
  <c r="V372" i="1"/>
  <c r="V371" i="1"/>
  <c r="J17" i="4" a="1"/>
  <c r="J17" i="4" s="1"/>
  <c r="J18" i="4" a="1"/>
  <c r="J18" i="4" s="1"/>
  <c r="J19" i="4" a="1"/>
  <c r="J19" i="4" s="1"/>
  <c r="J20" i="4" a="1"/>
  <c r="J20" i="4" s="1"/>
  <c r="J21" i="4" a="1"/>
  <c r="J21" i="4" s="1"/>
  <c r="J22" i="4" a="1"/>
  <c r="J22" i="4" s="1"/>
  <c r="J23" i="4" a="1"/>
  <c r="J23" i="4" s="1"/>
  <c r="J24" i="4" a="1"/>
  <c r="J24" i="4" s="1"/>
  <c r="J25" i="4" a="1"/>
  <c r="J25" i="4" s="1"/>
  <c r="J26" i="4" a="1"/>
  <c r="J26" i="4" s="1"/>
  <c r="J27" i="4" a="1"/>
  <c r="J27" i="4" s="1"/>
  <c r="J28" i="4" a="1"/>
  <c r="J28" i="4" s="1"/>
  <c r="J29" i="4" a="1"/>
  <c r="J29" i="4" s="1"/>
  <c r="J30" i="4" a="1"/>
  <c r="J30" i="4" s="1"/>
  <c r="J31" i="4" a="1"/>
  <c r="J31" i="4" s="1"/>
  <c r="J32" i="4" a="1"/>
  <c r="J32" i="4" s="1"/>
  <c r="J33" i="4" a="1"/>
  <c r="J33" i="4" s="1"/>
  <c r="J34" i="4" a="1"/>
  <c r="J34" i="4" s="1"/>
  <c r="J35" i="4" a="1"/>
  <c r="J35" i="4" s="1"/>
  <c r="J36" i="4" a="1"/>
  <c r="J36" i="4" s="1"/>
  <c r="J37" i="4" a="1"/>
  <c r="J37" i="4" s="1"/>
  <c r="J38" i="4" a="1"/>
  <c r="J38" i="4" s="1"/>
  <c r="J39" i="4" a="1"/>
  <c r="J39" i="4" s="1"/>
  <c r="J40" i="4" a="1"/>
  <c r="J40" i="4" s="1"/>
  <c r="J41" i="4" a="1"/>
  <c r="J41" i="4" s="1"/>
  <c r="J42" i="4" a="1"/>
  <c r="J42" i="4" s="1"/>
  <c r="J43" i="4" a="1"/>
  <c r="J43" i="4" s="1"/>
  <c r="J44" i="4" a="1"/>
  <c r="J44" i="4" s="1"/>
  <c r="J45" i="4" a="1"/>
  <c r="J45" i="4" s="1"/>
  <c r="J46" i="4" a="1"/>
  <c r="J46" i="4" s="1"/>
  <c r="J47" i="4" a="1"/>
  <c r="J47" i="4" s="1"/>
  <c r="J48" i="4" a="1"/>
  <c r="J48" i="4" s="1"/>
  <c r="J49" i="4" a="1"/>
  <c r="J49" i="4" s="1"/>
  <c r="J50" i="4" a="1"/>
  <c r="J50" i="4" s="1"/>
  <c r="J51" i="4" a="1"/>
  <c r="J51" i="4" s="1"/>
  <c r="J52" i="4" a="1"/>
  <c r="J52" i="4" s="1"/>
  <c r="J53" i="4" a="1"/>
  <c r="J53" i="4" s="1"/>
  <c r="J54" i="4" a="1"/>
  <c r="J54" i="4" s="1"/>
  <c r="J55" i="4" a="1"/>
  <c r="J55" i="4" s="1"/>
  <c r="J56" i="4" a="1"/>
  <c r="J56" i="4" s="1"/>
  <c r="J57" i="4" a="1"/>
  <c r="J57" i="4" s="1"/>
  <c r="J58" i="4" a="1"/>
  <c r="J58" i="4" s="1"/>
  <c r="J59" i="4" a="1"/>
  <c r="J59" i="4" s="1"/>
  <c r="J60" i="4" a="1"/>
  <c r="J60" i="4" s="1"/>
  <c r="J61" i="4" a="1"/>
  <c r="J61" i="4" s="1"/>
  <c r="J62" i="4" a="1"/>
  <c r="J62" i="4" s="1"/>
  <c r="J63" i="4" a="1"/>
  <c r="J63" i="4" s="1"/>
  <c r="J64" i="4" a="1"/>
  <c r="J64" i="4" s="1"/>
  <c r="J65" i="4" a="1"/>
  <c r="J65" i="4" s="1"/>
  <c r="J66" i="4" a="1"/>
  <c r="J66" i="4" s="1"/>
  <c r="J67" i="4" a="1"/>
  <c r="J67" i="4" s="1"/>
  <c r="J68" i="4" a="1"/>
  <c r="J68" i="4" s="1"/>
  <c r="J69" i="4" a="1"/>
  <c r="J69" i="4" s="1"/>
  <c r="J74" i="4" a="1"/>
  <c r="J74" i="4" s="1"/>
  <c r="J75" i="4" a="1"/>
  <c r="J75" i="4" s="1"/>
  <c r="J76" i="4" a="1"/>
  <c r="J76" i="4" s="1"/>
  <c r="J70" i="4" a="1"/>
  <c r="J70" i="4" s="1"/>
  <c r="J71" i="4" a="1"/>
  <c r="J71" i="4" s="1"/>
  <c r="J72" i="4" a="1"/>
  <c r="J72" i="4" s="1"/>
  <c r="J73" i="4" a="1"/>
  <c r="J73" i="4" s="1"/>
  <c r="J77" i="4" a="1"/>
  <c r="J77" i="4" s="1"/>
  <c r="J78" i="4" a="1"/>
  <c r="J78" i="4" s="1"/>
  <c r="J79" i="4" a="1"/>
  <c r="J79" i="4" s="1"/>
  <c r="J80" i="4" a="1"/>
  <c r="J80" i="4" s="1"/>
  <c r="J81" i="4" a="1"/>
  <c r="J81" i="4" s="1"/>
  <c r="J82" i="4" a="1"/>
  <c r="J82" i="4" s="1"/>
  <c r="J83" i="4" a="1"/>
  <c r="J83" i="4" s="1"/>
  <c r="J84" i="4" a="1"/>
  <c r="J84" i="4" s="1"/>
  <c r="J85" i="4" a="1"/>
  <c r="J85" i="4" s="1"/>
  <c r="J86" i="4" a="1"/>
  <c r="J86" i="4" s="1"/>
  <c r="J87" i="4" a="1"/>
  <c r="J87" i="4" s="1"/>
  <c r="J88" i="4" a="1"/>
  <c r="J88" i="4" s="1"/>
  <c r="J89" i="4" a="1"/>
  <c r="J89" i="4" s="1"/>
  <c r="J90" i="4" a="1"/>
  <c r="J90" i="4" s="1"/>
  <c r="J91" i="4" a="1"/>
  <c r="J91" i="4" s="1"/>
  <c r="J92" i="4" a="1"/>
  <c r="J92" i="4" s="1"/>
  <c r="J93" i="4" a="1"/>
  <c r="J93" i="4" s="1"/>
  <c r="J94" i="4" a="1"/>
  <c r="J94" i="4" s="1"/>
  <c r="J95" i="4" a="1"/>
  <c r="J95" i="4" s="1"/>
  <c r="J96" i="4" a="1"/>
  <c r="J96" i="4" s="1"/>
  <c r="J97" i="4" a="1"/>
  <c r="J97" i="4" s="1"/>
  <c r="J98" i="4" a="1"/>
  <c r="J98" i="4" s="1"/>
  <c r="J99" i="4" a="1"/>
  <c r="J99" i="4" s="1"/>
  <c r="J100" i="4" a="1"/>
  <c r="J100" i="4" s="1"/>
  <c r="J101" i="4" a="1"/>
  <c r="J101" i="4" s="1"/>
  <c r="J102" i="4" a="1"/>
  <c r="J102" i="4" s="1"/>
  <c r="J103" i="4" a="1"/>
  <c r="J103" i="4" s="1"/>
  <c r="J104" i="4" a="1"/>
  <c r="J104" i="4" s="1"/>
  <c r="J105" i="4" a="1"/>
  <c r="J105" i="4" s="1"/>
  <c r="J106" i="4" a="1"/>
  <c r="J106" i="4" s="1"/>
  <c r="J107" i="4" a="1"/>
  <c r="J107" i="4" s="1"/>
  <c r="J108" i="4" a="1"/>
  <c r="J108" i="4" s="1"/>
  <c r="J109" i="4" a="1"/>
  <c r="J109" i="4" s="1"/>
  <c r="J110" i="4" a="1"/>
  <c r="J110" i="4" s="1"/>
  <c r="J111" i="4" a="1"/>
  <c r="J111" i="4" s="1"/>
  <c r="J112" i="4" a="1"/>
  <c r="J112" i="4" s="1"/>
  <c r="J113" i="4" a="1"/>
  <c r="J113" i="4" s="1"/>
  <c r="J114" i="4" a="1"/>
  <c r="J114" i="4" s="1"/>
  <c r="J115" i="4" a="1"/>
  <c r="J115" i="4" s="1"/>
  <c r="J116" i="4" a="1"/>
  <c r="J116" i="4" s="1"/>
  <c r="J117" i="4" a="1"/>
  <c r="J117" i="4" s="1"/>
  <c r="J118" i="4" a="1"/>
  <c r="J118" i="4" s="1"/>
  <c r="J119" i="4" a="1"/>
  <c r="J119" i="4" s="1"/>
  <c r="J120" i="4" a="1"/>
  <c r="J120" i="4" s="1"/>
  <c r="J121" i="4" a="1"/>
  <c r="J121" i="4" s="1"/>
  <c r="J122" i="4" a="1"/>
  <c r="J122" i="4" s="1"/>
  <c r="J123" i="4" a="1"/>
  <c r="J123" i="4" s="1"/>
  <c r="J124" i="4" a="1"/>
  <c r="J124" i="4" s="1"/>
  <c r="J125" i="4" a="1"/>
  <c r="J125" i="4" s="1"/>
  <c r="J126" i="4" a="1"/>
  <c r="J126" i="4" s="1"/>
  <c r="J127" i="4" a="1"/>
  <c r="J127" i="4" s="1"/>
  <c r="J128" i="4" a="1"/>
  <c r="J128" i="4" s="1"/>
  <c r="J129" i="4" a="1"/>
  <c r="J129" i="4" s="1"/>
  <c r="J130" i="4" a="1"/>
  <c r="J130" i="4" s="1"/>
  <c r="J132" i="4" a="1"/>
  <c r="J132" i="4" s="1"/>
  <c r="J131" i="4" a="1"/>
  <c r="J131" i="4" s="1"/>
  <c r="J133" i="4" a="1"/>
  <c r="J133" i="4" s="1"/>
  <c r="J134" i="4" a="1"/>
  <c r="J134" i="4" s="1"/>
  <c r="J135" i="4" a="1"/>
  <c r="J135" i="4" s="1"/>
  <c r="J136" i="4" a="1"/>
  <c r="J136" i="4" s="1"/>
  <c r="J137" i="4" a="1"/>
  <c r="J137" i="4" s="1"/>
  <c r="J138" i="4" a="1"/>
  <c r="J138" i="4" s="1"/>
  <c r="J139" i="4" a="1"/>
  <c r="J139" i="4" s="1"/>
  <c r="J140" i="4" a="1"/>
  <c r="J140" i="4" s="1"/>
  <c r="J141" i="4" a="1"/>
  <c r="J141" i="4" s="1"/>
  <c r="J142" i="4" a="1"/>
  <c r="J142" i="4" s="1"/>
  <c r="J143" i="4" a="1"/>
  <c r="J143" i="4" s="1"/>
  <c r="J144" i="4" a="1"/>
  <c r="J144" i="4" s="1"/>
  <c r="J145" i="4" a="1"/>
  <c r="J145" i="4" s="1"/>
  <c r="J146" i="4" a="1"/>
  <c r="J146" i="4" s="1"/>
  <c r="J147" i="4" a="1"/>
  <c r="J147" i="4" s="1"/>
  <c r="J148" i="4" a="1"/>
  <c r="J148" i="4" s="1"/>
  <c r="J149" i="4" a="1"/>
  <c r="J149" i="4" s="1"/>
  <c r="J150" i="4" a="1"/>
  <c r="J150" i="4" s="1"/>
  <c r="J151" i="4" a="1"/>
  <c r="J151" i="4" s="1"/>
  <c r="J152" i="4" a="1"/>
  <c r="J152" i="4" s="1"/>
  <c r="J153" i="4" a="1"/>
  <c r="J153" i="4" s="1"/>
  <c r="J154" i="4" a="1"/>
  <c r="J154" i="4" s="1"/>
  <c r="J155" i="4" a="1"/>
  <c r="J155" i="4" s="1"/>
  <c r="J156" i="4" a="1"/>
  <c r="J156" i="4" s="1"/>
  <c r="J157" i="4" a="1"/>
  <c r="J157" i="4" s="1"/>
  <c r="J158" i="4" a="1"/>
  <c r="J158" i="4" s="1"/>
  <c r="J159" i="4" a="1"/>
  <c r="J159" i="4" s="1"/>
  <c r="J160" i="4" a="1"/>
  <c r="J160" i="4" s="1"/>
  <c r="J161" i="4" a="1"/>
  <c r="J161" i="4" s="1"/>
  <c r="J162" i="4" a="1"/>
  <c r="J162" i="4" s="1"/>
  <c r="J163" i="4" a="1"/>
  <c r="J163" i="4" s="1"/>
  <c r="J164" i="4" a="1"/>
  <c r="J164" i="4" s="1"/>
  <c r="J165" i="4" a="1"/>
  <c r="J165" i="4" s="1"/>
  <c r="J166" i="4" a="1"/>
  <c r="J166" i="4" s="1"/>
  <c r="J167" i="4" a="1"/>
  <c r="J167" i="4" s="1"/>
  <c r="J168" i="4" a="1"/>
  <c r="J168" i="4" s="1"/>
  <c r="J169" i="4" a="1"/>
  <c r="J169" i="4" s="1"/>
  <c r="J170" i="4" a="1"/>
  <c r="J170" i="4" s="1"/>
  <c r="J171" i="4" a="1"/>
  <c r="J171" i="4" s="1"/>
  <c r="J172" i="4" a="1"/>
  <c r="J172" i="4" s="1"/>
  <c r="J173" i="4" a="1"/>
  <c r="J173" i="4" s="1"/>
  <c r="J174" i="4" a="1"/>
  <c r="J174" i="4" s="1"/>
  <c r="J175" i="4" a="1"/>
  <c r="J175" i="4" s="1"/>
  <c r="J176" i="4" a="1"/>
  <c r="J176" i="4" s="1"/>
  <c r="J177" i="4" a="1"/>
  <c r="J177" i="4" s="1"/>
  <c r="J178" i="4" a="1"/>
  <c r="J178" i="4" s="1"/>
  <c r="J179" i="4" a="1"/>
  <c r="J179" i="4" s="1"/>
  <c r="J180" i="4" a="1"/>
  <c r="J180" i="4" s="1"/>
  <c r="J181" i="4" a="1"/>
  <c r="J181" i="4" s="1"/>
  <c r="J182" i="4" a="1"/>
  <c r="J182" i="4" s="1"/>
  <c r="J183" i="4" a="1"/>
  <c r="J183" i="4" s="1"/>
  <c r="J184" i="4" a="1"/>
  <c r="J184" i="4" s="1"/>
  <c r="J185" i="4" a="1"/>
  <c r="J185" i="4" s="1"/>
  <c r="J186" i="4" a="1"/>
  <c r="J186" i="4" s="1"/>
  <c r="J187" i="4" a="1"/>
  <c r="J187" i="4" s="1"/>
  <c r="J188" i="4" a="1"/>
  <c r="J188" i="4" s="1"/>
  <c r="J189" i="4" a="1"/>
  <c r="J189" i="4" s="1"/>
  <c r="J190" i="4" a="1"/>
  <c r="J190" i="4" s="1"/>
  <c r="J191" i="4" a="1"/>
  <c r="J191" i="4" s="1"/>
  <c r="J192" i="4" a="1"/>
  <c r="J192" i="4" s="1"/>
  <c r="J193" i="4" a="1"/>
  <c r="J193" i="4" s="1"/>
  <c r="J194" i="4" a="1"/>
  <c r="J194" i="4" s="1"/>
  <c r="J195" i="4" a="1"/>
  <c r="J195" i="4" s="1"/>
  <c r="J16" i="4" a="1"/>
  <c r="J16" i="4" s="1"/>
  <c r="V195" i="4"/>
  <c r="V370" i="1"/>
  <c r="V369" i="1"/>
  <c r="V368" i="1"/>
  <c r="V367" i="1"/>
  <c r="V366" i="1"/>
  <c r="V194" i="4"/>
  <c r="V365" i="1"/>
  <c r="V364" i="1"/>
  <c r="V193" i="4"/>
  <c r="V363" i="1"/>
  <c r="V362" i="1"/>
  <c r="V361" i="1"/>
  <c r="V360" i="1"/>
  <c r="V359" i="1"/>
  <c r="V358" i="1"/>
  <c r="V357" i="1"/>
  <c r="V356" i="1"/>
  <c r="V355" i="1"/>
  <c r="V354" i="1"/>
  <c r="V188" i="4"/>
  <c r="V189" i="4"/>
  <c r="V190" i="4"/>
  <c r="V191" i="4"/>
  <c r="V192" i="4"/>
  <c r="V187" i="4"/>
  <c r="V186" i="4"/>
  <c r="V185" i="4"/>
  <c r="V353" i="1"/>
  <c r="V352" i="1"/>
  <c r="V351" i="1"/>
  <c r="V350" i="1"/>
  <c r="V349" i="1"/>
  <c r="V184" i="4"/>
  <c r="V348" i="1"/>
  <c r="V347" i="1"/>
  <c r="V346" i="1"/>
  <c r="V345" i="1"/>
  <c r="V344" i="1"/>
  <c r="V343" i="1"/>
  <c r="V342" i="1"/>
  <c r="V183" i="4"/>
  <c r="V182" i="4"/>
  <c r="V181" i="4"/>
  <c r="V341" i="1"/>
  <c r="V340" i="1"/>
  <c r="V339" i="1"/>
  <c r="V338" i="1"/>
  <c r="V180" i="4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179" i="4"/>
  <c r="V178" i="4"/>
  <c r="V315" i="1"/>
  <c r="V314" i="1"/>
  <c r="V313" i="1"/>
  <c r="V312" i="1"/>
  <c r="V311" i="1"/>
  <c r="V310" i="1"/>
  <c r="V309" i="1"/>
  <c r="V177" i="4"/>
  <c r="V176" i="4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175" i="4"/>
  <c r="V174" i="4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173" i="4"/>
  <c r="V258" i="1"/>
  <c r="V172" i="4"/>
  <c r="V257" i="1"/>
  <c r="V256" i="1"/>
  <c r="V255" i="1"/>
  <c r="V171" i="4"/>
  <c r="V170" i="4"/>
  <c r="V169" i="4"/>
  <c r="V168" i="4"/>
  <c r="V167" i="4"/>
  <c r="V166" i="4"/>
  <c r="V165" i="4"/>
  <c r="V164" i="4"/>
  <c r="V163" i="4"/>
  <c r="V162" i="4"/>
  <c r="V254" i="1"/>
  <c r="V253" i="1"/>
  <c r="V252" i="1"/>
  <c r="V161" i="4"/>
  <c r="V251" i="1"/>
  <c r="V250" i="1"/>
  <c r="V249" i="1"/>
  <c r="V160" i="4"/>
  <c r="V159" i="4"/>
  <c r="V158" i="4"/>
  <c r="V248" i="1"/>
  <c r="V157" i="4"/>
  <c r="V247" i="1"/>
  <c r="V246" i="1"/>
  <c r="V156" i="4"/>
  <c r="V155" i="4"/>
  <c r="V154" i="4"/>
  <c r="V245" i="1"/>
  <c r="V244" i="1"/>
  <c r="V153" i="4"/>
  <c r="V152" i="4"/>
  <c r="V151" i="4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150" i="4"/>
  <c r="V218" i="1"/>
  <c r="V217" i="1"/>
  <c r="V216" i="1"/>
  <c r="V149" i="4"/>
  <c r="V215" i="1"/>
  <c r="V214" i="1"/>
  <c r="V148" i="4"/>
  <c r="V213" i="1"/>
  <c r="V212" i="1"/>
  <c r="V211" i="1"/>
  <c r="V210" i="1"/>
  <c r="V147" i="4"/>
  <c r="V146" i="4"/>
  <c r="V145" i="4"/>
  <c r="V144" i="4"/>
  <c r="V143" i="4"/>
  <c r="V142" i="4"/>
  <c r="V209" i="1"/>
  <c r="V208" i="1"/>
  <c r="V207" i="1"/>
  <c r="V141" i="4"/>
  <c r="V140" i="4"/>
  <c r="V139" i="4"/>
  <c r="V138" i="4"/>
  <c r="V137" i="4"/>
  <c r="V136" i="4"/>
  <c r="V135" i="4"/>
  <c r="V134" i="4"/>
  <c r="V133" i="4"/>
  <c r="V206" i="1"/>
  <c r="V131" i="4"/>
  <c r="V132" i="4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30" i="4"/>
  <c r="V129" i="4"/>
  <c r="V128" i="4"/>
  <c r="V190" i="1"/>
  <c r="V189" i="1"/>
  <c r="V127" i="4"/>
  <c r="V126" i="4"/>
  <c r="V125" i="4"/>
  <c r="V188" i="1"/>
  <c r="V124" i="4"/>
  <c r="V123" i="4"/>
  <c r="V179" i="1"/>
  <c r="V187" i="1"/>
  <c r="V186" i="1"/>
  <c r="V185" i="1"/>
  <c r="V184" i="1"/>
  <c r="V183" i="1"/>
  <c r="V182" i="1"/>
  <c r="V181" i="1"/>
  <c r="V180" i="1"/>
  <c r="V122" i="4"/>
  <c r="V121" i="4"/>
  <c r="V178" i="1"/>
  <c r="V177" i="1"/>
  <c r="V176" i="1"/>
  <c r="V175" i="1"/>
  <c r="V120" i="4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19" i="4"/>
  <c r="V118" i="4"/>
  <c r="V117" i="4"/>
  <c r="V116" i="4"/>
  <c r="V115" i="4"/>
  <c r="V150" i="1"/>
  <c r="V149" i="1"/>
  <c r="V114" i="4"/>
  <c r="V113" i="4"/>
  <c r="V148" i="1"/>
  <c r="V112" i="4"/>
  <c r="V111" i="4"/>
  <c r="V110" i="4"/>
  <c r="V109" i="4"/>
  <c r="V147" i="1"/>
  <c r="V146" i="1"/>
  <c r="V145" i="1"/>
  <c r="V144" i="1"/>
  <c r="V143" i="1"/>
  <c r="V142" i="1"/>
  <c r="V141" i="1"/>
  <c r="V140" i="1"/>
  <c r="V139" i="1"/>
  <c r="V108" i="4"/>
  <c r="V138" i="1"/>
  <c r="V107" i="4"/>
  <c r="V106" i="4"/>
  <c r="V105" i="4"/>
  <c r="V137" i="1"/>
  <c r="V136" i="1"/>
  <c r="V135" i="1"/>
  <c r="V134" i="1"/>
  <c r="V133" i="1"/>
  <c r="V132" i="1"/>
  <c r="V104" i="4"/>
  <c r="V103" i="4"/>
  <c r="V131" i="1"/>
  <c r="V130" i="1"/>
  <c r="V129" i="1"/>
  <c r="V128" i="1"/>
  <c r="V127" i="1"/>
  <c r="V126" i="1"/>
  <c r="V102" i="4"/>
  <c r="V101" i="4"/>
  <c r="V100" i="4"/>
  <c r="V99" i="4"/>
  <c r="V125" i="1"/>
  <c r="V98" i="4"/>
  <c r="V97" i="4"/>
  <c r="V124" i="1"/>
  <c r="F9" i="4" l="1"/>
  <c r="F10" i="4"/>
  <c r="V123" i="1"/>
  <c r="V122" i="1"/>
  <c r="V121" i="1"/>
  <c r="V120" i="1"/>
  <c r="V119" i="1"/>
  <c r="V118" i="1"/>
  <c r="V117" i="1"/>
  <c r="V116" i="1"/>
  <c r="V115" i="1"/>
  <c r="V96" i="4"/>
  <c r="V114" i="1"/>
  <c r="V113" i="1"/>
  <c r="V95" i="4"/>
  <c r="V94" i="4"/>
  <c r="V93" i="4"/>
  <c r="V92" i="4"/>
  <c r="V91" i="4"/>
  <c r="V90" i="4"/>
  <c r="V112" i="1"/>
  <c r="V89" i="4"/>
  <c r="V88" i="4"/>
  <c r="V87" i="4"/>
  <c r="V111" i="1"/>
  <c r="V110" i="1"/>
  <c r="V86" i="4"/>
  <c r="V109" i="1"/>
  <c r="V108" i="1"/>
  <c r="V107" i="1"/>
  <c r="V85" i="4"/>
  <c r="V84" i="4"/>
  <c r="V83" i="4"/>
  <c r="V106" i="1"/>
  <c r="V82" i="4"/>
  <c r="V81" i="4"/>
  <c r="V80" i="4"/>
  <c r="V105" i="1"/>
  <c r="V104" i="1"/>
  <c r="V103" i="1"/>
  <c r="V102" i="1"/>
  <c r="V101" i="1"/>
  <c r="V100" i="1"/>
  <c r="V99" i="1"/>
  <c r="V79" i="4"/>
  <c r="V78" i="4"/>
  <c r="V77" i="4"/>
  <c r="V73" i="4"/>
  <c r="V72" i="4"/>
  <c r="V71" i="4"/>
  <c r="V70" i="4"/>
  <c r="V98" i="1"/>
  <c r="V97" i="1"/>
  <c r="V76" i="4"/>
  <c r="V75" i="4"/>
  <c r="V74" i="4"/>
  <c r="V96" i="1"/>
  <c r="V95" i="1"/>
  <c r="V94" i="1"/>
  <c r="V93" i="1"/>
  <c r="V92" i="1"/>
  <c r="V91" i="1"/>
  <c r="V90" i="1" l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69" i="4"/>
  <c r="V68" i="4"/>
  <c r="V67" i="4"/>
  <c r="V66" i="4"/>
  <c r="V65" i="4"/>
  <c r="V64" i="4"/>
  <c r="V63" i="4"/>
  <c r="V62" i="4"/>
  <c r="V61" i="4"/>
  <c r="V60" i="4"/>
  <c r="V75" i="1"/>
  <c r="V74" i="1"/>
  <c r="V73" i="1"/>
  <c r="V72" i="1"/>
  <c r="V59" i="4"/>
  <c r="V58" i="4"/>
  <c r="V57" i="4"/>
  <c r="V56" i="4"/>
  <c r="V55" i="4"/>
  <c r="V54" i="4"/>
  <c r="V53" i="4"/>
  <c r="V52" i="4"/>
  <c r="V51" i="4"/>
  <c r="V50" i="4"/>
  <c r="V49" i="4"/>
  <c r="V48" i="4"/>
  <c r="V71" i="1"/>
  <c r="V47" i="4"/>
  <c r="V46" i="4"/>
  <c r="V45" i="4"/>
  <c r="V70" i="1"/>
  <c r="V69" i="1"/>
  <c r="V68" i="1"/>
  <c r="V67" i="1"/>
  <c r="V44" i="4"/>
  <c r="V43" i="4"/>
  <c r="V66" i="1"/>
  <c r="V65" i="1"/>
  <c r="V64" i="1"/>
  <c r="V63" i="1"/>
  <c r="V62" i="1"/>
  <c r="V42" i="4"/>
  <c r="V41" i="4"/>
  <c r="V40" i="4"/>
  <c r="V39" i="4"/>
  <c r="V38" i="4"/>
  <c r="V37" i="4"/>
  <c r="V36" i="4"/>
  <c r="V61" i="1"/>
  <c r="V60" i="1"/>
  <c r="V35" i="4"/>
  <c r="V34" i="4"/>
  <c r="V59" i="1"/>
  <c r="V58" i="1"/>
  <c r="V57" i="1"/>
  <c r="V33" i="4" l="1"/>
  <c r="V32" i="4"/>
  <c r="V56" i="1"/>
  <c r="V55" i="1"/>
  <c r="V54" i="1"/>
  <c r="V53" i="1"/>
  <c r="V52" i="1"/>
  <c r="V51" i="1"/>
  <c r="V50" i="1" l="1"/>
  <c r="V49" i="1"/>
  <c r="V48" i="1"/>
  <c r="V47" i="1"/>
  <c r="V46" i="1"/>
  <c r="V45" i="1"/>
  <c r="V44" i="1"/>
  <c r="V43" i="1"/>
  <c r="V42" i="1"/>
  <c r="V41" i="1"/>
  <c r="V31" i="4"/>
  <c r="V30" i="4"/>
  <c r="V29" i="4"/>
  <c r="V40" i="1"/>
  <c r="V39" i="1"/>
  <c r="V38" i="1"/>
  <c r="V37" i="1"/>
  <c r="V28" i="4"/>
  <c r="V27" i="4"/>
  <c r="V26" i="4"/>
  <c r="V25" i="4"/>
  <c r="V24" i="4"/>
  <c r="V23" i="4"/>
  <c r="V36" i="1"/>
  <c r="V35" i="1"/>
  <c r="V22" i="4"/>
  <c r="V21" i="4"/>
  <c r="V33" i="1"/>
  <c r="V34" i="1"/>
  <c r="V20" i="4"/>
  <c r="V19" i="4"/>
  <c r="V32" i="1"/>
  <c r="V31" i="1"/>
  <c r="V30" i="1"/>
  <c r="V18" i="4"/>
  <c r="V17" i="4"/>
  <c r="V29" i="1"/>
  <c r="V28" i="1"/>
  <c r="V27" i="1"/>
  <c r="V26" i="1"/>
  <c r="V16" i="4"/>
  <c r="V25" i="1"/>
  <c r="V24" i="1"/>
  <c r="V23" i="1" l="1"/>
  <c r="V22" i="1"/>
  <c r="V21" i="1"/>
  <c r="V20" i="1"/>
  <c r="V19" i="1"/>
  <c r="V18" i="1"/>
  <c r="V17" i="1"/>
  <c r="V16" i="1"/>
  <c r="D13" i="4"/>
  <c r="D12" i="4"/>
  <c r="D11" i="4"/>
  <c r="D10" i="4"/>
  <c r="D9" i="4"/>
  <c r="I8" i="4"/>
  <c r="G8" i="4"/>
  <c r="D8" i="4"/>
  <c r="I7" i="4"/>
  <c r="G7" i="4"/>
  <c r="D7" i="4"/>
  <c r="I6" i="4"/>
  <c r="G6" i="4"/>
  <c r="D6" i="4"/>
  <c r="I5" i="4"/>
  <c r="G5" i="4"/>
  <c r="D5" i="4"/>
  <c r="I4" i="4"/>
  <c r="I3" i="4"/>
  <c r="G3" i="4"/>
  <c r="D3" i="4"/>
  <c r="D2" i="4"/>
  <c r="G3" i="1"/>
  <c r="G6" i="1"/>
  <c r="G7" i="1"/>
  <c r="G8" i="1"/>
  <c r="F9" i="1" l="1"/>
  <c r="F10" i="1"/>
  <c r="G5" i="1"/>
  <c r="F4" i="4"/>
  <c r="F7" i="4"/>
  <c r="F5" i="4"/>
  <c r="F3" i="4"/>
  <c r="F8" i="4"/>
  <c r="F6" i="4"/>
  <c r="G4" i="4"/>
  <c r="D4" i="4"/>
  <c r="F8" i="1"/>
  <c r="G4" i="1"/>
  <c r="F7" i="1"/>
  <c r="F6" i="1"/>
  <c r="F4" i="1"/>
  <c r="F3" i="1"/>
  <c r="H9" i="4" l="1"/>
  <c r="H10" i="4"/>
  <c r="H4" i="4"/>
  <c r="H9" i="1"/>
  <c r="H10" i="1"/>
  <c r="H3" i="4"/>
  <c r="H7" i="4"/>
  <c r="H6" i="4"/>
  <c r="H8" i="4"/>
  <c r="H5" i="4"/>
  <c r="H5" i="1" l="1"/>
  <c r="H6" i="1"/>
  <c r="H3" i="1"/>
  <c r="H4" i="1"/>
  <c r="H7" i="1"/>
  <c r="H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tc={DADE970F-14B8-4758-9B2B-CE160D266B24}</author>
  </authors>
  <commentList>
    <comment ref="G880" authorId="0" shapeId="0" xr:uid="{DADE970F-14B8-4758-9B2B-CE160D266B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0574238087968
0574238087969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<sst xmlns="http://schemas.openxmlformats.org/spreadsheetml/2006/main" count="17126" uniqueCount="3173">
  <si>
    <t>MÊS</t>
  </si>
  <si>
    <t>COTA</t>
  </si>
  <si>
    <t>UTILIZADO</t>
  </si>
  <si>
    <t>DISPONÍVEL</t>
  </si>
  <si>
    <t>Utilização no mês de</t>
  </si>
  <si>
    <t>UNIDADE</t>
  </si>
  <si>
    <t>PEND ANÁLISE</t>
  </si>
  <si>
    <t>SHARE</t>
  </si>
  <si>
    <t>PN PROT</t>
  </si>
  <si>
    <t>LOT</t>
  </si>
  <si>
    <t>CONCIERGE</t>
  </si>
  <si>
    <t>EXCLUSIVO</t>
  </si>
  <si>
    <t>SUL</t>
  </si>
  <si>
    <t>SAO</t>
  </si>
  <si>
    <t>SPI</t>
  </si>
  <si>
    <t>BR1</t>
  </si>
  <si>
    <t>BR2</t>
  </si>
  <si>
    <t>DATA</t>
  </si>
  <si>
    <t>LOC GDS</t>
  </si>
  <si>
    <t>LOC CIA</t>
  </si>
  <si>
    <t>TIPO</t>
  </si>
  <si>
    <t>IATA</t>
  </si>
  <si>
    <t>BILHETE/EMD</t>
  </si>
  <si>
    <t>TARIFA ORIG MULTA SERVIÇO EUR</t>
  </si>
  <si>
    <t>% DESC</t>
  </si>
  <si>
    <t>VALOR COTA EUR</t>
  </si>
  <si>
    <t>SOLICITANTE</t>
  </si>
  <si>
    <t>JUSTIFICATIVA</t>
  </si>
  <si>
    <t>STATUS</t>
  </si>
  <si>
    <t>APROVADOR</t>
  </si>
  <si>
    <t>DESTINO</t>
  </si>
  <si>
    <t>ADVP</t>
  </si>
  <si>
    <t>RESPONSÁVEL PELA PROTEÇÃO</t>
  </si>
  <si>
    <t>DATA DA PROTEÇÃO</t>
  </si>
  <si>
    <t>WAIVER</t>
  </si>
  <si>
    <t>PNTKT</t>
  </si>
  <si>
    <t>NOME PAX</t>
  </si>
  <si>
    <t>REF</t>
  </si>
  <si>
    <t>ID</t>
  </si>
  <si>
    <t>TUBVDQ</t>
  </si>
  <si>
    <t>4BGC7R</t>
  </si>
  <si>
    <t>FARE MATCH</t>
  </si>
  <si>
    <t>roney.souza@rexturadvance.com.br</t>
  </si>
  <si>
    <t>APROVADO</t>
  </si>
  <si>
    <t>Leonardo Thereziano</t>
  </si>
  <si>
    <t>HEL</t>
  </si>
  <si>
    <t>3M</t>
  </si>
  <si>
    <t>LEO/E-MAIL</t>
  </si>
  <si>
    <t>GOODWILL</t>
  </si>
  <si>
    <t>DE OLIVEIRA BORGES/VANIA MAIA</t>
  </si>
  <si>
    <t>DE OLIVEIRA BORGES/CARLOS ROBERTO</t>
  </si>
  <si>
    <t>KEKWSX</t>
  </si>
  <si>
    <t>4IXE3I</t>
  </si>
  <si>
    <t>BARION/ROMMEL</t>
  </si>
  <si>
    <t>RANDO BARION/MARIA DE JESUS</t>
  </si>
  <si>
    <t>VZQETL</t>
  </si>
  <si>
    <t>4J8JFB</t>
  </si>
  <si>
    <t>HILGENBERG NETO/MIGUEL FREDERICO</t>
  </si>
  <si>
    <t>BRENNER HILGENBERG/NEYLA MARIA</t>
  </si>
  <si>
    <t>LUYGBS</t>
  </si>
  <si>
    <t>4JBOHL</t>
  </si>
  <si>
    <t>BALLIN/CARLOS ROBERTO</t>
  </si>
  <si>
    <t>GALEB BALLIN/ROSANGELA MARIA</t>
  </si>
  <si>
    <t>XDQLLN</t>
  </si>
  <si>
    <t>3Y62EC</t>
  </si>
  <si>
    <t>janaina.souza@rexturadvance.com.br</t>
  </si>
  <si>
    <t>CONCORRÊNCIA CIA</t>
  </si>
  <si>
    <t>Alan Diego Scardovelli Avelhan</t>
  </si>
  <si>
    <t>NCE</t>
  </si>
  <si>
    <t>1M</t>
  </si>
  <si>
    <t>JANA/E-MAIL</t>
  </si>
  <si>
    <t>NAHAS MATTAR MUACCAD/CAMILLA</t>
  </si>
  <si>
    <t>38ACG5</t>
  </si>
  <si>
    <t>ASSENTO</t>
  </si>
  <si>
    <t>%</t>
  </si>
  <si>
    <t>leonardo.silva@esferatur.com.br</t>
  </si>
  <si>
    <t>CONCORRÊNCIA CONSOLIDADORA</t>
  </si>
  <si>
    <t>Fernando Brizotti - CVCCORP</t>
  </si>
  <si>
    <t>CDG</t>
  </si>
  <si>
    <t>Leo Silva</t>
  </si>
  <si>
    <t>EMD</t>
  </si>
  <si>
    <t>1.SIVIERO/ALDO LORENZO</t>
  </si>
  <si>
    <t>KMVKXK</t>
  </si>
  <si>
    <t>2OITYE</t>
  </si>
  <si>
    <t>patricia.kruger@rexturadvance.com.br</t>
  </si>
  <si>
    <t>Patrícia - Rexturadvance CWB</t>
  </si>
  <si>
    <t>RONEY</t>
  </si>
  <si>
    <t>DE ARAUJO/ELAINE SILVA</t>
  </si>
  <si>
    <t>ALMEIDA RIBEIRO/DOMINGOS FRANCIEL</t>
  </si>
  <si>
    <t>DE ALMEIDA/ANDRE GOMES</t>
  </si>
  <si>
    <t>MARCHI/RAFAEL RODRIGUES</t>
  </si>
  <si>
    <t>NASCIMENTO DE BRITO/MACELIO</t>
  </si>
  <si>
    <t>ARAUJO ROCHA/NADIA</t>
  </si>
  <si>
    <t>OLIVEIRA ARECO/ALLAN</t>
  </si>
  <si>
    <t>USGYQZ</t>
  </si>
  <si>
    <t>3I4EOQ</t>
  </si>
  <si>
    <t>FARIA CARRILHO/OTTO VALERIO</t>
  </si>
  <si>
    <t>MWYNCX</t>
  </si>
  <si>
    <t>48VNLQ</t>
  </si>
  <si>
    <t>roney.souza@cvccorp.com.br</t>
  </si>
  <si>
    <t>NÃO UTILIZADO</t>
  </si>
  <si>
    <t>TLV</t>
  </si>
  <si>
    <t>CINEL FILHO/WASHINGTON UMBERTO</t>
  </si>
  <si>
    <t>LDKRUO</t>
  </si>
  <si>
    <t>2D4JGZ</t>
  </si>
  <si>
    <t>tatiana.amaral@rexturadvance.com.br</t>
  </si>
  <si>
    <t>muc</t>
  </si>
  <si>
    <t>ALAN</t>
  </si>
  <si>
    <t>PACHECO ZAPAROLI/SANDRA CRISTINA</t>
  </si>
  <si>
    <t>YRRFTT</t>
  </si>
  <si>
    <t>36DUJC</t>
  </si>
  <si>
    <t>nce</t>
  </si>
  <si>
    <t>PUBLIO DIAS DA SILVA/EMMANUEL ROBERTO</t>
  </si>
  <si>
    <t>LSMAIM</t>
  </si>
  <si>
    <t>4454WU</t>
  </si>
  <si>
    <t>cleberluciano@cvccorp.com.br</t>
  </si>
  <si>
    <t>BLQ</t>
  </si>
  <si>
    <t>KOTTWITZ ALBUQUERQUE/DAIANE CARLA MRS</t>
  </si>
  <si>
    <t>LNFGKS</t>
  </si>
  <si>
    <t>4S7EC5</t>
  </si>
  <si>
    <t>DE OLIVEIRA BASTOS/ANA CRISTINA MRS</t>
  </si>
  <si>
    <t>BECHLIN PICHEKI/EMANUELA MRS</t>
  </si>
  <si>
    <t>REYDAMS/PATRICK MR</t>
  </si>
  <si>
    <t>45KTVY</t>
  </si>
  <si>
    <t>3X85FX</t>
  </si>
  <si>
    <t>PATrícia - Rexturadvance CWB</t>
  </si>
  <si>
    <t>PVG</t>
  </si>
  <si>
    <t>PATRICIA</t>
  </si>
  <si>
    <t>FMUYVH</t>
  </si>
  <si>
    <t>4H6MBY</t>
  </si>
  <si>
    <t>cph</t>
  </si>
  <si>
    <t>MINELI/THAYS DESIREE</t>
  </si>
  <si>
    <t>ZTGNAR</t>
  </si>
  <si>
    <t>3NOZDJ</t>
  </si>
  <si>
    <t>FCO</t>
  </si>
  <si>
    <t>ARAUJO JUNIOR/ACYR MR</t>
  </si>
  <si>
    <t>OLIVEIRA ARAUJO/NICIA MARIA MRS</t>
  </si>
  <si>
    <t>OLIVEIRA ARAUJO/JULIE MRS</t>
  </si>
  <si>
    <t>QENBZX</t>
  </si>
  <si>
    <t>2MCYEK</t>
  </si>
  <si>
    <t>CPH</t>
  </si>
  <si>
    <t>1.1MYR/ALINE MORAIS MRS</t>
  </si>
  <si>
    <t>FTARST</t>
  </si>
  <si>
    <t>38LDZH</t>
  </si>
  <si>
    <t>leonardo.david@rexturadvance.com.br</t>
  </si>
  <si>
    <t>LIS</t>
  </si>
  <si>
    <t>7D</t>
  </si>
  <si>
    <t>Alan</t>
  </si>
  <si>
    <t>1.1SILVERIO ROSSI/RODOLFO</t>
  </si>
  <si>
    <t>DSMYDP</t>
  </si>
  <si>
    <t>2LVBFZ</t>
  </si>
  <si>
    <t>carlos.almeida@rexturadvance.com.br</t>
  </si>
  <si>
    <t>MRS</t>
  </si>
  <si>
    <t>CASELLI/SIMONE</t>
  </si>
  <si>
    <t>MATSUDO/LOURDES MRS</t>
  </si>
  <si>
    <t>UKKLNF</t>
  </si>
  <si>
    <t>363AOG</t>
  </si>
  <si>
    <t>TOSCAN/ADRIANA MRS</t>
  </si>
  <si>
    <t>AIXUCM</t>
  </si>
  <si>
    <t>3UDUUQ</t>
  </si>
  <si>
    <t>LHR</t>
  </si>
  <si>
    <t>TORRES/ROBERTO</t>
  </si>
  <si>
    <t>RKYJHX</t>
  </si>
  <si>
    <t>3XEFJ9</t>
  </si>
  <si>
    <t>GVA</t>
  </si>
  <si>
    <t>COSTAMILAN/LUIZ</t>
  </si>
  <si>
    <t>4JTI5H</t>
  </si>
  <si>
    <t>BER</t>
  </si>
  <si>
    <t>Almeida</t>
  </si>
  <si>
    <t>FERREIRA/ELISA COLOMBAROLLI</t>
  </si>
  <si>
    <t>FERREIRA/JADILSON </t>
  </si>
  <si>
    <t>alanavelhan@cvccorp.com.br</t>
  </si>
  <si>
    <t>AÇÃO COMERCIAL</t>
  </si>
  <si>
    <t>Assento</t>
  </si>
  <si>
    <t>SILVERIO ROSSI/RODOLFO MR</t>
  </si>
  <si>
    <t>wmaybn</t>
  </si>
  <si>
    <t>4ml43c</t>
  </si>
  <si>
    <t>jones.ferraz@rexturadvance.com.br</t>
  </si>
  <si>
    <t>PAR</t>
  </si>
  <si>
    <t>Jones</t>
  </si>
  <si>
    <t>GADELHA FELIX MAJELA/CLAUDIA</t>
  </si>
  <si>
    <t>YCZDHL</t>
  </si>
  <si>
    <t>2MRWQ3</t>
  </si>
  <si>
    <t>CHAMMA/ROBERTA</t>
  </si>
  <si>
    <t>4E25KP</t>
  </si>
  <si>
    <t>PICCHI FABRICIO/ILIDE</t>
  </si>
  <si>
    <t>PICCHI MARTINS/MARIA ANGELINA</t>
  </si>
  <si>
    <t>BHXXHR</t>
  </si>
  <si>
    <t>4WBSS4</t>
  </si>
  <si>
    <t>natan.costa@rexturadvance.com.br</t>
  </si>
  <si>
    <t>BUD</t>
  </si>
  <si>
    <t>FONSECA CHAGAS/DANIELA</t>
  </si>
  <si>
    <t>WTIEAU</t>
  </si>
  <si>
    <t>4W5JXZ</t>
  </si>
  <si>
    <t>FERRARI JUNIOR/SILVIO</t>
  </si>
  <si>
    <t>AWGJWY</t>
  </si>
  <si>
    <t>4CNT5J</t>
  </si>
  <si>
    <t>Roney</t>
  </si>
  <si>
    <t>AGUILAR/CARLOS DE ABREU MR</t>
  </si>
  <si>
    <t>25DDBB</t>
  </si>
  <si>
    <t xml:space="preserve"> </t>
  </si>
  <si>
    <t>CHAIM/ANGELA</t>
  </si>
  <si>
    <t>CHAIM/CARLOS</t>
  </si>
  <si>
    <t>2P8IFQ</t>
  </si>
  <si>
    <t>BOTTENE/IRIANA</t>
  </si>
  <si>
    <t>MELEIRO/ANGELA MARIA</t>
  </si>
  <si>
    <t>JQEUMT</t>
  </si>
  <si>
    <t>1st BAG</t>
  </si>
  <si>
    <t>Marcelinho</t>
  </si>
  <si>
    <t>bagagem</t>
  </si>
  <si>
    <t>FERNANDES GARCIA/RAFAEL</t>
  </si>
  <si>
    <t>3JPSPL</t>
  </si>
  <si>
    <t xml:space="preserve">ANDRADE TAVARES/ERICA  </t>
  </si>
  <si>
    <t>TAVARES DE SOUZA PINTO/CAROLINA</t>
  </si>
  <si>
    <t>SJEF5S</t>
  </si>
  <si>
    <t>ZANINI/MARCO EGYDIO</t>
  </si>
  <si>
    <t>33ZZ7P</t>
  </si>
  <si>
    <t>REJEITADO</t>
  </si>
  <si>
    <t>DOS SANTOS/JOSE FRANCISCO</t>
  </si>
  <si>
    <t>DDTIHU</t>
  </si>
  <si>
    <t>2DQFJ8</t>
  </si>
  <si>
    <t>EDI</t>
  </si>
  <si>
    <t>Alan Avelhan</t>
  </si>
  <si>
    <t>BRAND/SILVIO MR</t>
  </si>
  <si>
    <t>BRAND/MARINA MRS</t>
  </si>
  <si>
    <t>GOGKOQ</t>
  </si>
  <si>
    <t>2IIWCZ</t>
  </si>
  <si>
    <t>rafael.vieira@cvccorp.com.br</t>
  </si>
  <si>
    <t>BOD</t>
  </si>
  <si>
    <t>Rafael Vieira</t>
  </si>
  <si>
    <t>Fare match</t>
  </si>
  <si>
    <t>COSTA FELIPPSEN VITALIANO/INDIANA JAINE MRS</t>
  </si>
  <si>
    <t>GSQFEF</t>
  </si>
  <si>
    <t>332H9G</t>
  </si>
  <si>
    <t>PRG</t>
  </si>
  <si>
    <t>SKLENKA/MILOS MR</t>
  </si>
  <si>
    <t>4XZISM</t>
  </si>
  <si>
    <t>karen.ribeiro@rexturadvance.com.br</t>
  </si>
  <si>
    <t>ICN</t>
  </si>
  <si>
    <t>Janaina</t>
  </si>
  <si>
    <t>FUMIOKA/MANAMI MRS</t>
  </si>
  <si>
    <t>VAKAHARA/MARIANA MRS</t>
  </si>
  <si>
    <t>GYOIMH</t>
  </si>
  <si>
    <t>24V4LH</t>
  </si>
  <si>
    <t xml:space="preserve">Almeida </t>
  </si>
  <si>
    <t>FERREIRA VILLELA/JOSE CARLOS</t>
  </si>
  <si>
    <t>SIMAO VILLELA/LUCIANA TEREZINHA</t>
  </si>
  <si>
    <t>SIMAO VILLELA/LUCAS</t>
  </si>
  <si>
    <t>2Z2DVT</t>
  </si>
  <si>
    <t>ARN</t>
  </si>
  <si>
    <t>Ney Souza</t>
  </si>
  <si>
    <t>CUNHA SIMOES PIRES/VIVIAN TREIN MRS</t>
  </si>
  <si>
    <t>ZAWOJT</t>
  </si>
  <si>
    <t>2FDN7C</t>
  </si>
  <si>
    <t>NIM</t>
  </si>
  <si>
    <t>6M</t>
  </si>
  <si>
    <t>GARCIA/JEFFERSON LUIZ</t>
  </si>
  <si>
    <t>MARQUES/PAULO</t>
  </si>
  <si>
    <t>GZVLRX</t>
  </si>
  <si>
    <t>33RC3X</t>
  </si>
  <si>
    <t>HOLCK VENANCIO FILHO/DANIEL</t>
  </si>
  <si>
    <t>HOLCK VENANCIO FILHO/ANDRE</t>
  </si>
  <si>
    <t>CBQMHT</t>
  </si>
  <si>
    <t>296QML</t>
  </si>
  <si>
    <t>HOLCK/ANA MRS</t>
  </si>
  <si>
    <t>VENANCIO FILHO/PAULO MR</t>
  </si>
  <si>
    <t>QHRXCW</t>
  </si>
  <si>
    <t>2GIS92</t>
  </si>
  <si>
    <t>COTRIM DE BARROS/LUIZ GUSTAVO</t>
  </si>
  <si>
    <t>ADEDO ALVES/LUCIANA</t>
  </si>
  <si>
    <t>ALVES BARROS/LIVIA</t>
  </si>
  <si>
    <t>24O8YT</t>
  </si>
  <si>
    <t>lys</t>
  </si>
  <si>
    <t>patricia</t>
  </si>
  <si>
    <t>MARQUES PEREIRA/MAX WEBER</t>
  </si>
  <si>
    <t>PEREIRA BARBOSA/DAISY</t>
  </si>
  <si>
    <t>34DAZQ</t>
  </si>
  <si>
    <t>DEL GIGLIO/AURO</t>
  </si>
  <si>
    <t>YOLES DEL GIGLIO/ANETE</t>
  </si>
  <si>
    <t>SHPUIH</t>
  </si>
  <si>
    <t>3BW5IX</t>
  </si>
  <si>
    <t>1.1LICURSI/CRISTIANE APARECIDA MRS</t>
  </si>
  <si>
    <t>2.1LICURSI BONELLI/GABRIELA MRS</t>
  </si>
  <si>
    <t>3RR7DV</t>
  </si>
  <si>
    <t>Fare Match</t>
  </si>
  <si>
    <t>DOS SANTOS FILHO/ERNANI AUGUSTO</t>
  </si>
  <si>
    <t>3RPNX5</t>
  </si>
  <si>
    <t>ANTONIO/JOSE CARLOS</t>
  </si>
  <si>
    <t>3WT5ZA</t>
  </si>
  <si>
    <t>Leonardo.Thereziano@cvccorp.com.br</t>
  </si>
  <si>
    <t>NAP</t>
  </si>
  <si>
    <t>Leo Th</t>
  </si>
  <si>
    <t>DENTI MASSON RESEGUE/MONICA</t>
  </si>
  <si>
    <t>RESEGUE/ALBERTO VICENTE</t>
  </si>
  <si>
    <t>2R5H2K</t>
  </si>
  <si>
    <t>SANT ANNA/DJANE MRS</t>
  </si>
  <si>
    <t>CFQVAB</t>
  </si>
  <si>
    <t>32654R</t>
  </si>
  <si>
    <t>TUN</t>
  </si>
  <si>
    <t>DELAFIORI/MARCOS ROBERTO MR</t>
  </si>
  <si>
    <t>EYGXXC</t>
  </si>
  <si>
    <t>3EZ83I</t>
  </si>
  <si>
    <t>SOUZA VELLOSO/SORAYA NOVAES</t>
  </si>
  <si>
    <t>MONT ALVAO/PEDRO DANIEL</t>
  </si>
  <si>
    <t>CARVALHO/THIAGO LOPES</t>
  </si>
  <si>
    <t>2CWGCI</t>
  </si>
  <si>
    <t>rodrigo.estevam@cvccorp.com.br</t>
  </si>
  <si>
    <t>cdg</t>
  </si>
  <si>
    <t>PEIXOTO DOS SANTOS/DAVID</t>
  </si>
  <si>
    <t>2CY2L8</t>
  </si>
  <si>
    <t xml:space="preserve">DOS SANTOS/BRUNA LUIZA </t>
  </si>
  <si>
    <t>BGLNNE</t>
  </si>
  <si>
    <t>2DO6OB</t>
  </si>
  <si>
    <t>LAMOGLIA/DANIELA AGNES</t>
  </si>
  <si>
    <t>XTOPQG</t>
  </si>
  <si>
    <t>2542SQ</t>
  </si>
  <si>
    <t>WAABPA</t>
  </si>
  <si>
    <t>3XBGOI</t>
  </si>
  <si>
    <t>ROMA</t>
  </si>
  <si>
    <t>BARROSO/THIAGO MR</t>
  </si>
  <si>
    <t>XBBJDG</t>
  </si>
  <si>
    <t>3QHESH</t>
  </si>
  <si>
    <t>ERRO AGT/ATLAS</t>
  </si>
  <si>
    <t>DE CAMPOS NOBREGA/LIVIA</t>
  </si>
  <si>
    <t>AGUIAR DE CAMPOS/PATRICIA EVELIN</t>
  </si>
  <si>
    <t>STTXET</t>
  </si>
  <si>
    <t>3R6Q4H</t>
  </si>
  <si>
    <t>1.1CAVICCHIOLI/SILVIA</t>
  </si>
  <si>
    <t>2.1GUARIGLIA/LIGIA MRS</t>
  </si>
  <si>
    <t>MOUCACHEN/RENATA HELENA MRS</t>
  </si>
  <si>
    <t>SSOWLK</t>
  </si>
  <si>
    <t>3R2RPV</t>
  </si>
  <si>
    <t>1.1AMARAL DE AZAMBUJA/DEBORAH MRS</t>
  </si>
  <si>
    <t>2.1NESZLINGER/MARCIA MRS</t>
  </si>
  <si>
    <t>WXSWVU</t>
  </si>
  <si>
    <t>4HDXYM</t>
  </si>
  <si>
    <t>eduardo.francelino@esferatur.com.br</t>
  </si>
  <si>
    <t>RNS</t>
  </si>
  <si>
    <t>LOURENCO FARIA/KAIQUE FERNANDO</t>
  </si>
  <si>
    <t>ZHPGST</t>
  </si>
  <si>
    <t>23UO4J</t>
  </si>
  <si>
    <t>alan Avelhan</t>
  </si>
  <si>
    <t>1.1MARLETTI DEBATIN DA SILVEIRA/RICARDO MR</t>
  </si>
  <si>
    <t>QMHGAP</t>
  </si>
  <si>
    <t>2J4LF4</t>
  </si>
  <si>
    <t>rogerio.mateus@rexturadvance.com.br</t>
  </si>
  <si>
    <t>JMK</t>
  </si>
  <si>
    <t>DI RISSIO BARBOSA/MARIA EDUARDA</t>
  </si>
  <si>
    <t>ALan Avelhan</t>
  </si>
  <si>
    <t>MACEDO COSTA DE MORAES/LUISA</t>
  </si>
  <si>
    <t>QAPIRN</t>
  </si>
  <si>
    <t>4B3U6E</t>
  </si>
  <si>
    <t>ZRH</t>
  </si>
  <si>
    <t>Patricia Kruger</t>
  </si>
  <si>
    <t>SIMONI/MICHAEL MR</t>
  </si>
  <si>
    <t>2MRYC6</t>
  </si>
  <si>
    <t>icn</t>
  </si>
  <si>
    <t>SIMOES COST SOUTO/ANDRESSA MRS</t>
  </si>
  <si>
    <t>JUNIO DA SILVA BEZERRA/BENEFRAN</t>
  </si>
  <si>
    <t>BGGZGU</t>
  </si>
  <si>
    <t>37R8CF</t>
  </si>
  <si>
    <t>HADDAD NAHAS/OCTAVIO</t>
  </si>
  <si>
    <t>BCPHVB</t>
  </si>
  <si>
    <t>4893UH</t>
  </si>
  <si>
    <t>GUEDES/ANA CECILIA MRS</t>
  </si>
  <si>
    <t>GUEDES/BERNARDETE MARIA MRS</t>
  </si>
  <si>
    <t>NOVAES/SYLVIA MARIA MRS</t>
  </si>
  <si>
    <t>VGFEBA</t>
  </si>
  <si>
    <t>4BY8AJ</t>
  </si>
  <si>
    <t>TRAMONTINI BENEVENUTO/SIMONE DARC</t>
  </si>
  <si>
    <t>RBWSPL</t>
  </si>
  <si>
    <t>45NGI6</t>
  </si>
  <si>
    <t>VCE</t>
  </si>
  <si>
    <t>DE PAULA/RODRIGO MR</t>
  </si>
  <si>
    <t>SALGADO DIAS DE PAULA/KENIA MARCIA MRS</t>
  </si>
  <si>
    <t>4RQIQK</t>
  </si>
  <si>
    <t>bod</t>
  </si>
  <si>
    <t>ARAUJO FERREIRA/AIDA</t>
  </si>
  <si>
    <t>ULBDVJ</t>
  </si>
  <si>
    <t>4SM73F</t>
  </si>
  <si>
    <t>fco</t>
  </si>
  <si>
    <t>DA SILVA LIMA/NAERTE</t>
  </si>
  <si>
    <t>MARA DE OLIVEIRA LIMA/ZAINA</t>
  </si>
  <si>
    <t>DE OLIVEIRA LIMA/GABRIEL</t>
  </si>
  <si>
    <t>DA SILVA LIMA JUNIOR/NAERTE</t>
  </si>
  <si>
    <t>YBAJOG</t>
  </si>
  <si>
    <t>2ANDTT</t>
  </si>
  <si>
    <t>DE OLIVEIRA LIMA/GUSTAVO</t>
  </si>
  <si>
    <t>GOMES ROCHA/NATALIA</t>
  </si>
  <si>
    <t>VOOCYE</t>
  </si>
  <si>
    <t>4Z8GBL</t>
  </si>
  <si>
    <t>PEK</t>
  </si>
  <si>
    <t>ROMANIN/LEANDRO MR</t>
  </si>
  <si>
    <t>DEVAI ALCANTARA/JORGE EDUARDO MR</t>
  </si>
  <si>
    <t>4RLMBI</t>
  </si>
  <si>
    <t>WAW</t>
  </si>
  <si>
    <t>Jones Ferraz</t>
  </si>
  <si>
    <t>FARINHA/MARISTELA</t>
  </si>
  <si>
    <t>BQURJV</t>
  </si>
  <si>
    <t>463TZK</t>
  </si>
  <si>
    <t>CAVALCANTI MACHADO/JOSE EDUARDO</t>
  </si>
  <si>
    <t>AOGZLA</t>
  </si>
  <si>
    <t>3AKY2V</t>
  </si>
  <si>
    <t>MYR/ALINE MORAIS</t>
  </si>
  <si>
    <t>EGBEZV</t>
  </si>
  <si>
    <t>236G5D</t>
  </si>
  <si>
    <t>HZUSJB</t>
  </si>
  <si>
    <t>3O7PQQ</t>
  </si>
  <si>
    <t>ERMANNY/FLAVIO MR</t>
  </si>
  <si>
    <t>PEREIRA HERMANNY/SANDRA LUCIA MRS</t>
  </si>
  <si>
    <t>4HVRO8</t>
  </si>
  <si>
    <t>CAVALCANTE DA COSTA/AMANDA</t>
  </si>
  <si>
    <t>CAVALCANTE DA COSTA/LUCA</t>
  </si>
  <si>
    <t>RAERCS</t>
  </si>
  <si>
    <t>4ULGSD</t>
  </si>
  <si>
    <t>RANZINI/FABIOLA MRS</t>
  </si>
  <si>
    <t>47TFY3</t>
  </si>
  <si>
    <t>MUC</t>
  </si>
  <si>
    <t xml:space="preserve">NEGRISOLO/VINICIUS </t>
  </si>
  <si>
    <t>4FR35S</t>
  </si>
  <si>
    <t>MIL</t>
  </si>
  <si>
    <t>COUTINHO BARBOSA/LILIANE MARIA</t>
  </si>
  <si>
    <t>ZNBFND</t>
  </si>
  <si>
    <t>3I7PJO</t>
  </si>
  <si>
    <t>VIEGAS/FABIO</t>
  </si>
  <si>
    <t>445MBE</t>
  </si>
  <si>
    <t>BJS</t>
  </si>
  <si>
    <t>PEREIRA/JEFFERSON MR</t>
  </si>
  <si>
    <t>RAUMAS</t>
  </si>
  <si>
    <t>4L72PU</t>
  </si>
  <si>
    <t>BEY</t>
  </si>
  <si>
    <t>AYOUB FERNANDES/MIRIAM MRS</t>
  </si>
  <si>
    <t>RENFFV</t>
  </si>
  <si>
    <t>4LGD5O</t>
  </si>
  <si>
    <t>TUFIK/MARGARETH MRS</t>
  </si>
  <si>
    <t>4NYBU8</t>
  </si>
  <si>
    <t>AMS</t>
  </si>
  <si>
    <t>TAKANO/KATSUMI MR</t>
  </si>
  <si>
    <t>4OHTRE</t>
  </si>
  <si>
    <t>AMS e BER</t>
  </si>
  <si>
    <t>DE LIMA COLEONI/JOAO RICARDO MR</t>
  </si>
  <si>
    <t>ZWGHFR</t>
  </si>
  <si>
    <t>4C42JH</t>
  </si>
  <si>
    <t>SPU</t>
  </si>
  <si>
    <t>1.1LOPES VIEIRA SANTOS/ANA PAULA</t>
  </si>
  <si>
    <t>2.1DEL REY/SILVIA</t>
  </si>
  <si>
    <t>4J7JIP</t>
  </si>
  <si>
    <t>COMUNE ODININO/ANDRE MR</t>
  </si>
  <si>
    <t>PEDROSO/JONAS MR</t>
  </si>
  <si>
    <t>SAES/CLEBER MR</t>
  </si>
  <si>
    <t>SILVA ODININO/JAIR MR</t>
  </si>
  <si>
    <t>TAVARES DE LIMA PEDROSO/ENGRACIA MRS</t>
  </si>
  <si>
    <t>TAVARES DE LIMA PEDROSO/LIVIA MRS</t>
  </si>
  <si>
    <t>TAVARES DE LIMA PEDROSO/MAYARA MRS</t>
  </si>
  <si>
    <t>TAVARES PEREIRA SAES/AMANDA MRS</t>
  </si>
  <si>
    <t>VIEIRA DE TOLEDO/RENATA MRS</t>
  </si>
  <si>
    <t>38OPYK</t>
  </si>
  <si>
    <t>CAI</t>
  </si>
  <si>
    <t>DASSOLER/GRAZIELA MRS</t>
  </si>
  <si>
    <t>DASSOLER MELLO FREIRE/AMANDA MRS</t>
  </si>
  <si>
    <t>DASSOLER MELLO FREIRE/VICTORIA MRS</t>
  </si>
  <si>
    <t>MELLO FREIRE NETO/MARIO MR</t>
  </si>
  <si>
    <t>RKISXA</t>
  </si>
  <si>
    <t>4GHUM9</t>
  </si>
  <si>
    <t>PORSANI/JORGE LUIS</t>
  </si>
  <si>
    <t>49P5HF</t>
  </si>
  <si>
    <t>LUGLI/ADRIANO</t>
  </si>
  <si>
    <t>2GU9QG</t>
  </si>
  <si>
    <t>LYS</t>
  </si>
  <si>
    <t>KANOJIA/TANMAY MR</t>
  </si>
  <si>
    <t>4BK5W7</t>
  </si>
  <si>
    <t xml:space="preserve">LAMBERTI/ELEMAR </t>
  </si>
  <si>
    <t>MARIANI DA SILVA/NELSON</t>
  </si>
  <si>
    <t>4BC8L6</t>
  </si>
  <si>
    <t>METZ/GILSON</t>
  </si>
  <si>
    <t>WOLFF/EGON</t>
  </si>
  <si>
    <t>KBHUQR</t>
  </si>
  <si>
    <t>4B8I2P</t>
  </si>
  <si>
    <t xml:space="preserve">NASCIMENTO GARCIA DE SANTANA/IVANA </t>
  </si>
  <si>
    <t>OHJOQT</t>
  </si>
  <si>
    <t>3P8NQY</t>
  </si>
  <si>
    <t>CARDOSO DOS SANTOS ROSA/IZILDINHA MRS</t>
  </si>
  <si>
    <t>XLDKHU</t>
  </si>
  <si>
    <t>4HS9M9</t>
  </si>
  <si>
    <t>TLS</t>
  </si>
  <si>
    <t>FERREIRA/FABIO</t>
  </si>
  <si>
    <t>SHFTNY</t>
  </si>
  <si>
    <t>2IBZ9U</t>
  </si>
  <si>
    <t>RENTABILIZAÇÃO</t>
  </si>
  <si>
    <t>RABELO DA SILVEIRA/DENISE</t>
  </si>
  <si>
    <t>RABELO DA SILVEIRA/LUCIANO AUGUSTO</t>
  </si>
  <si>
    <t>ISCAXZ</t>
  </si>
  <si>
    <t>3HTDQG</t>
  </si>
  <si>
    <t>CHP</t>
  </si>
  <si>
    <t>COUTINHO/DIOGO MR</t>
  </si>
  <si>
    <t>SAMIS/MARCELA MRS</t>
  </si>
  <si>
    <t>3M5G8X</t>
  </si>
  <si>
    <t>NCE e FCO</t>
  </si>
  <si>
    <t>COMUNELLO DAGOSTINI/LEONICE MRS</t>
  </si>
  <si>
    <t>DAGOSTINI/JOSE NORBERTO MR</t>
  </si>
  <si>
    <t>FGSYCH</t>
  </si>
  <si>
    <t>3NVDOY</t>
  </si>
  <si>
    <t>HKG/PEK</t>
  </si>
  <si>
    <t>+6M</t>
  </si>
  <si>
    <t>DE OLIVEIRA GOMES NETO/ANTONIO</t>
  </si>
  <si>
    <t>KATAOKA DE OLIVEIRA/SILVIA</t>
  </si>
  <si>
    <t>3NYHGE</t>
  </si>
  <si>
    <t>HKG com PEK</t>
  </si>
  <si>
    <t>NOGUEIRA LIMA/JOSE NAZARENO MR</t>
  </si>
  <si>
    <t>NOGUEIRA LIMA/ONEIDE KATAOKA MRS</t>
  </si>
  <si>
    <t>543ZPT</t>
  </si>
  <si>
    <t>4XCLQX</t>
  </si>
  <si>
    <t>MULTA REEMISSÃO</t>
  </si>
  <si>
    <t>ERRO EF/RF</t>
  </si>
  <si>
    <t>AD4-E479AD66382C</t>
  </si>
  <si>
    <t>CANTORI/PATRICIA</t>
  </si>
  <si>
    <t>CANTORI/CLAUDIO</t>
  </si>
  <si>
    <t>54WBS3</t>
  </si>
  <si>
    <t>2G5HCF</t>
  </si>
  <si>
    <t>PEK/CDG</t>
  </si>
  <si>
    <t>assento</t>
  </si>
  <si>
    <t>FRANCA CAVALCANTI/PAULO SERGIO</t>
  </si>
  <si>
    <t>ISSNUK</t>
  </si>
  <si>
    <t>4TK84V</t>
  </si>
  <si>
    <t>napole</t>
  </si>
  <si>
    <t>PEREIRA DE SOUSA/VALERIA</t>
  </si>
  <si>
    <t>MENDES CABRAL/LUCIO</t>
  </si>
  <si>
    <t>2NSBSA</t>
  </si>
  <si>
    <t>fabio.vantini@rexturadvance.com.br</t>
  </si>
  <si>
    <t>ERRO ATENDIMENTO</t>
  </si>
  <si>
    <t>6F7-3BEA1894BD36</t>
  </si>
  <si>
    <t>FERREIRA DE QUEIROZ/DIVALDO</t>
  </si>
  <si>
    <t>MANGABEIRA ALBERNAZ DE QUEIROZ/BEATRIZ</t>
  </si>
  <si>
    <t>5BCL1B</t>
  </si>
  <si>
    <t>2T8WWG</t>
  </si>
  <si>
    <t> REISSUE INVOL DUE GST QUOTA - COMFLEX ID No 7AB-BE2724F7B66</t>
  </si>
  <si>
    <t>OLIVEIRA DO NASCIMENTO/IZAVAN</t>
  </si>
  <si>
    <t>59H0J4</t>
  </si>
  <si>
    <t>27KV6Y</t>
  </si>
  <si>
    <t>DUS</t>
  </si>
  <si>
    <t>MR JOSE LUIS NUCETE ALARCON</t>
  </si>
  <si>
    <t>MR PABLO NUCETE HERNANDO</t>
  </si>
  <si>
    <t>MR MARTIN NUCETE HERNANDO</t>
  </si>
  <si>
    <t>3UFS59</t>
  </si>
  <si>
    <t>IBZ</t>
  </si>
  <si>
    <t>NAZARIAN/FERNANDO MR</t>
  </si>
  <si>
    <t>3ZJ5IY</t>
  </si>
  <si>
    <t>1.PIOVESAN/TANIA MRS</t>
  </si>
  <si>
    <t>OMHIGU</t>
  </si>
  <si>
    <t>3ZNINA </t>
  </si>
  <si>
    <t>JMXNUW</t>
  </si>
  <si>
    <t>3E36Y6</t>
  </si>
  <si>
    <t>46TLM8</t>
  </si>
  <si>
    <t>AGUIAR DE OLIVEIRA DAL BELLO/MABEL</t>
  </si>
  <si>
    <t>RODRIGUES DAL BELLO/JULIO CESAR</t>
  </si>
  <si>
    <t>LULNVE</t>
  </si>
  <si>
    <t>4CYOMR</t>
  </si>
  <si>
    <t>FLR</t>
  </si>
  <si>
    <t>FEIJO/ALEXANDRE MR</t>
  </si>
  <si>
    <t>HESTRI</t>
  </si>
  <si>
    <t>4E8TJ4</t>
  </si>
  <si>
    <t>SALLES DA SILVA/MURILO MR</t>
  </si>
  <si>
    <t>DQHYSR</t>
  </si>
  <si>
    <t>4ISWWG</t>
  </si>
  <si>
    <t>MXP</t>
  </si>
  <si>
    <t>PERES LEAO DE MOURA/MARINA</t>
  </si>
  <si>
    <t>28KE5G</t>
  </si>
  <si>
    <t>SILVA/RAFAEL LIMA FERREIRA MR</t>
  </si>
  <si>
    <t>KDZXEP</t>
  </si>
  <si>
    <t>28J6DC</t>
  </si>
  <si>
    <t>1.1LOTTENBERG/CLAUDIO</t>
  </si>
  <si>
    <t>1.1CAVICCHIOLI/SILVIA MRS</t>
  </si>
  <si>
    <t>3.1MOUCACHEN/RENATA HELENA MRS</t>
  </si>
  <si>
    <t>dus</t>
  </si>
  <si>
    <t>NUCETE ALARCON/JOSE LUIS</t>
  </si>
  <si>
    <t>NUCETE HERNANDO/PABLO</t>
  </si>
  <si>
    <t>NUCETE HERNANDO/MARTIN</t>
  </si>
  <si>
    <t>2ICOX8</t>
  </si>
  <si>
    <t>HAJ</t>
  </si>
  <si>
    <t>OLIVEIRA/FLAVIO</t>
  </si>
  <si>
    <t>2O3LJF</t>
  </si>
  <si>
    <t xml:space="preserve"> 1.FELIPE DE SOUZA/BRUNO MR</t>
  </si>
  <si>
    <t>2OCOR2</t>
  </si>
  <si>
    <t>ATH</t>
  </si>
  <si>
    <t>ANTICO/LUIZ HENRIQUE</t>
  </si>
  <si>
    <t>DE SOUZA GOMES/GRACIANE</t>
  </si>
  <si>
    <t>NIOPJN</t>
  </si>
  <si>
    <t>3TE9A5</t>
  </si>
  <si>
    <t>LODI DOS SANTOS/RENAN AUGUSTO</t>
  </si>
  <si>
    <t>NJTAUQ</t>
  </si>
  <si>
    <t>3TEF4I</t>
  </si>
  <si>
    <t>DE OLIVEIRA CAMPOS/VANDERSON MR</t>
  </si>
  <si>
    <t>OLIVEIRA SILVA/CAIO HENRIQUE MR</t>
  </si>
  <si>
    <t>OPZHIJ</t>
  </si>
  <si>
    <t>3TFEVB</t>
  </si>
  <si>
    <t xml:space="preserve">AOAS CORREA/MARCOS </t>
  </si>
  <si>
    <t>2VF3KH</t>
  </si>
  <si>
    <t>pek</t>
  </si>
  <si>
    <t>DE CASTRO GOMES/DANIELA BEATRIZ MRS</t>
  </si>
  <si>
    <t>MUNDIM FERREIRA PIRES/THIBERIO MR</t>
  </si>
  <si>
    <t>3CZRJY</t>
  </si>
  <si>
    <t>AZEVEDO LIZIARDI/WILLIAM</t>
  </si>
  <si>
    <t>FAGUNDES OLIVEIRA/CASSIANO</t>
  </si>
  <si>
    <t>HERZOG MEURER/FELIPE</t>
  </si>
  <si>
    <t>SCHOSLER/MARCIO RAFAEL</t>
  </si>
  <si>
    <t>5J86LN</t>
  </si>
  <si>
    <t>3DLZPL</t>
  </si>
  <si>
    <t>DE OLIVEIRA LYRA FILHO/MILTONMR</t>
  </si>
  <si>
    <t>JNECQH</t>
  </si>
  <si>
    <t>3EXUIL</t>
  </si>
  <si>
    <t>1.1BEINISIS GRINBAUM/MARCELO</t>
  </si>
  <si>
    <t>2.1HAMOUI/TATIANA MRS</t>
  </si>
  <si>
    <t>3QT8UC</t>
  </si>
  <si>
    <t xml:space="preserve">concorrencia </t>
  </si>
  <si>
    <t>vce</t>
  </si>
  <si>
    <t>COSER SETTE FERRACO/VIVIAN</t>
  </si>
  <si>
    <t>LXLSEE</t>
  </si>
  <si>
    <t>4L46E7</t>
  </si>
  <si>
    <t>1.1IBANEZ/RITA BENOZZATI</t>
  </si>
  <si>
    <t>5LM8D5</t>
  </si>
  <si>
    <t>af</t>
  </si>
  <si>
    <t>MARTINS/PAULO SERGIO</t>
  </si>
  <si>
    <t>IDSKUJ</t>
  </si>
  <si>
    <t>AF</t>
  </si>
  <si>
    <t>FRA</t>
  </si>
  <si>
    <t>REIS/GILBERTO</t>
  </si>
  <si>
    <t>SILVA/MARCELO</t>
  </si>
  <si>
    <t>SANTOS/ISMAEL</t>
  </si>
  <si>
    <t>22S8MG</t>
  </si>
  <si>
    <t>MAYEUR/ALDA</t>
  </si>
  <si>
    <t>MAYEUR/GILLES</t>
  </si>
  <si>
    <t>5LS1NF</t>
  </si>
  <si>
    <t>4RH9GN</t>
  </si>
  <si>
    <t xml:space="preserve">SILVA/ISABELLAMRS  </t>
  </si>
  <si>
    <t>LXTZOF</t>
  </si>
  <si>
    <t>23RWCH</t>
  </si>
  <si>
    <t>HELFSTEIN PIRES/FABIO MR</t>
  </si>
  <si>
    <t>CREMONEZI PIVA/NATALIA MRS</t>
  </si>
  <si>
    <t>5MPDQ5</t>
  </si>
  <si>
    <t>28LWZY</t>
  </si>
  <si>
    <t>waw</t>
  </si>
  <si>
    <t>ROMANO MORILAS/LUCIANA</t>
  </si>
  <si>
    <t>5NQ9NB</t>
  </si>
  <si>
    <t>2VJ62F</t>
  </si>
  <si>
    <t>LOS</t>
  </si>
  <si>
    <t>FIGUEIREDO GOMES/MAIKEMR</t>
  </si>
  <si>
    <t>5NSPN4</t>
  </si>
  <si>
    <t>2WUBR9</t>
  </si>
  <si>
    <t>SOARES E SILVA/DEBORA MARIAMRS</t>
  </si>
  <si>
    <t>5NSPXG</t>
  </si>
  <si>
    <t>2WUTRX</t>
  </si>
  <si>
    <t>SOARES WASSERSTEIN/GUILIT CAROLINAMRS</t>
  </si>
  <si>
    <t>5NSQ6J</t>
  </si>
  <si>
    <t>2WVFEA</t>
  </si>
  <si>
    <t>SOARES WASSERSTEIN/GABRIELAMRS</t>
  </si>
  <si>
    <t>5P42HN</t>
  </si>
  <si>
    <t>34ECZV</t>
  </si>
  <si>
    <t>BRANDAO JUNIOR/JAILTON</t>
  </si>
  <si>
    <t>SANTOS LIMA/EDUARDO</t>
  </si>
  <si>
    <t>SILVA/MATEUSMR</t>
  </si>
  <si>
    <t>OLIVEIRA/BRUNO</t>
  </si>
  <si>
    <t>SOUSA/ROGER</t>
  </si>
  <si>
    <t>34FDZI</t>
  </si>
  <si>
    <t>CARVALHO/DANILO MR</t>
  </si>
  <si>
    <t xml:space="preserve">NOBRE/FABRICIO </t>
  </si>
  <si>
    <t>OLIVEIRA/YAN</t>
  </si>
  <si>
    <t>SILVA/LEANDRO MR</t>
  </si>
  <si>
    <t>SOUZA/VINICIUS MR</t>
  </si>
  <si>
    <t>2PBMPM</t>
  </si>
  <si>
    <t>HND</t>
  </si>
  <si>
    <t>Janaina Souza</t>
  </si>
  <si>
    <t>ITARI/KOSUKE MR</t>
  </si>
  <si>
    <t>HWNTHF</t>
  </si>
  <si>
    <t>2MCOFT</t>
  </si>
  <si>
    <t>1.1WILCHES/LUCAS HENRIQUE</t>
  </si>
  <si>
    <t>2.1SERIPIERI/DANIELA FILOMENO</t>
  </si>
  <si>
    <t>INNDET</t>
  </si>
  <si>
    <t>28EX5Z</t>
  </si>
  <si>
    <t>Leo David</t>
  </si>
  <si>
    <t>FERREIRA/DANIEL RICARDO</t>
  </si>
  <si>
    <t>2.1ROMEU/MARCIO GUERRERO</t>
  </si>
  <si>
    <t>3.1THEREZA DE LIMA/ITALO GABRIEL</t>
  </si>
  <si>
    <t>ber</t>
  </si>
  <si>
    <t>DE LIMA COLEONI/JOAO RICARDO</t>
  </si>
  <si>
    <t>JAZHOH</t>
  </si>
  <si>
    <t>38LJRW</t>
  </si>
  <si>
    <t>hnd</t>
  </si>
  <si>
    <t>GANDELSMAN/VIVIAN</t>
  </si>
  <si>
    <t>LUSDZI</t>
  </si>
  <si>
    <t>3EGRJY</t>
  </si>
  <si>
    <t>2VAIKR</t>
  </si>
  <si>
    <t>COLOMBARETTI/ANA BEATRIZ</t>
  </si>
  <si>
    <t>COLOMBARETTI/DANIEL</t>
  </si>
  <si>
    <t>COLOMBARETTI/GUILHERME</t>
  </si>
  <si>
    <t>COLOMBARETTI/RODRIGO</t>
  </si>
  <si>
    <t>NLVUTZ</t>
  </si>
  <si>
    <t>43LZJD</t>
  </si>
  <si>
    <t>DE TOLEDO/RUBIA HELENA</t>
  </si>
  <si>
    <t>NGVYYY</t>
  </si>
  <si>
    <t>3X2WZF</t>
  </si>
  <si>
    <t>BRU</t>
  </si>
  <si>
    <t>COSTA MONTEIRO NETO/LUIZ MR</t>
  </si>
  <si>
    <t>GUIMARAES CARDOSO/CAROLINE MRS</t>
  </si>
  <si>
    <t>FRANCA NUNES/JENERSON MR</t>
  </si>
  <si>
    <t>DAS GRACAS COELHO NUNES/NELMA MRS</t>
  </si>
  <si>
    <t>43J8EB</t>
  </si>
  <si>
    <t>SIN</t>
  </si>
  <si>
    <t>MIRANDA SILVA/PEDRO JORGE</t>
  </si>
  <si>
    <t>MOREIRA SOUZA/BEATRIZ EFIGENIA</t>
  </si>
  <si>
    <t>KCBJNV</t>
  </si>
  <si>
    <t>3YD7S2</t>
  </si>
  <si>
    <t>GRU</t>
  </si>
  <si>
    <t>AOAS CORREA/MARCOS</t>
  </si>
  <si>
    <t>CYFLEJ</t>
  </si>
  <si>
    <t>2V94YF</t>
  </si>
  <si>
    <t>STR</t>
  </si>
  <si>
    <t>RODRIGUES NAHAS/CAROLINA MRS</t>
  </si>
  <si>
    <t>YQRSYI</t>
  </si>
  <si>
    <t>38LXEO</t>
  </si>
  <si>
    <t>MAD//CDG</t>
  </si>
  <si>
    <t>Multa</t>
  </si>
  <si>
    <t>LANZARIN/MAISA MRS</t>
  </si>
  <si>
    <t>5RDP67</t>
  </si>
  <si>
    <t>4FPMWE</t>
  </si>
  <si>
    <t>HKG</t>
  </si>
  <si>
    <t>PACHECO PEREIRA/EDUARDO</t>
  </si>
  <si>
    <t>VALE PEREIRA/LISSA</t>
  </si>
  <si>
    <t>DE JESUS EMANUEL PAIVA/FELIPE</t>
  </si>
  <si>
    <t>4FEK5D</t>
  </si>
  <si>
    <t>bom</t>
  </si>
  <si>
    <t>AGOSTINHO FREITAS FERNANDES/EDUARDO MR</t>
  </si>
  <si>
    <t>ALMEIDA LOPES/RENATO MR</t>
  </si>
  <si>
    <t>IONSSE</t>
  </si>
  <si>
    <t>4G9ZHW</t>
  </si>
  <si>
    <t>BLR</t>
  </si>
  <si>
    <t>DONIZETI CHAGAS VILAS BOAS/ANDREIA</t>
  </si>
  <si>
    <t>BERNARDON CONEGLIAN/JORGE LUIS</t>
  </si>
  <si>
    <t>SILVA NASCIMENTO ROCHA FARIA/FABIANA</t>
  </si>
  <si>
    <t>DA ROCHA FARIA/RICARDO</t>
  </si>
  <si>
    <t>SEGEREN/WALTER</t>
  </si>
  <si>
    <t>HAGEMANN/ANDRE</t>
  </si>
  <si>
    <t>ESCVCH</t>
  </si>
  <si>
    <t>4FE6F5</t>
  </si>
  <si>
    <t>Rogerio</t>
  </si>
  <si>
    <t>RUDIS RABINOVITCH/THIAGO</t>
  </si>
  <si>
    <t>HEUBKU</t>
  </si>
  <si>
    <t>4KS69E</t>
  </si>
  <si>
    <t>1.1NAHAS MATTAR MUACCAD/CAMILLA</t>
  </si>
  <si>
    <t>OQPPAY</t>
  </si>
  <si>
    <t>4KOMCC</t>
  </si>
  <si>
    <t>MAD</t>
  </si>
  <si>
    <t>CARVALHO SERAFIM DE OLIVEIRA/LUDIMILLA</t>
  </si>
  <si>
    <t>ALVES DE SOUSA MUNIZ/CLAUDIA</t>
  </si>
  <si>
    <t>FTAWVG</t>
  </si>
  <si>
    <t>43INB9</t>
  </si>
  <si>
    <t>NRT</t>
  </si>
  <si>
    <t>HERNANDEZ SALINAS/JOSE LEANDRO</t>
  </si>
  <si>
    <t>DAXXIZ</t>
  </si>
  <si>
    <t>43HNYG</t>
  </si>
  <si>
    <t>HERNANDEZ GOMES/VICTORIA</t>
  </si>
  <si>
    <t>51RSX0</t>
  </si>
  <si>
    <t>3K376N</t>
  </si>
  <si>
    <t>edi</t>
  </si>
  <si>
    <t>BIRSE/RONALDMRS</t>
  </si>
  <si>
    <t>4KJBP6</t>
  </si>
  <si>
    <t>BECKER/SUSSY MARIA</t>
  </si>
  <si>
    <t>BECKER FERRARI/LUIZA</t>
  </si>
  <si>
    <t>5PRJY8</t>
  </si>
  <si>
    <t>3FFCQW</t>
  </si>
  <si>
    <t>gva</t>
  </si>
  <si>
    <t>CURAN TURCI/CASSIA</t>
  </si>
  <si>
    <t>FYFYYU</t>
  </si>
  <si>
    <t>25WBCL</t>
  </si>
  <si>
    <t>MOURAD/JULIANA</t>
  </si>
  <si>
    <t>LOBO/ANDRE</t>
  </si>
  <si>
    <t>JBJBMR</t>
  </si>
  <si>
    <t>4R3S2W</t>
  </si>
  <si>
    <t>MOURAD/GILBERTO</t>
  </si>
  <si>
    <t>MOURAD/CYNTHIA</t>
  </si>
  <si>
    <t>MOURAD/CAMILLA</t>
  </si>
  <si>
    <t>MOURAD/GABRIELA</t>
  </si>
  <si>
    <t>MOURAD/RODRIGO</t>
  </si>
  <si>
    <t>25527L</t>
  </si>
  <si>
    <t>PIRES DE MORAES/PAULO</t>
  </si>
  <si>
    <t>DE MORAES REUT/ANA CAROLINA</t>
  </si>
  <si>
    <t>KORT DE MORAES/SUELI PAULINA</t>
  </si>
  <si>
    <t>ILAITX</t>
  </si>
  <si>
    <t>29YEC8</t>
  </si>
  <si>
    <t>AGUIAR/EDSON ROBERTO</t>
  </si>
  <si>
    <t>MARITAN BUENO/MARCIO</t>
  </si>
  <si>
    <t>OTOXNC</t>
  </si>
  <si>
    <t>25ZNTB</t>
  </si>
  <si>
    <t>MIRANDA MARQUES/BRUNO MR</t>
  </si>
  <si>
    <t>HSTFKU</t>
  </si>
  <si>
    <t>2APJOZ</t>
  </si>
  <si>
    <t>MOURAD/GILBERTO MR</t>
  </si>
  <si>
    <t>MOURAD/CYNTHIA MRS</t>
  </si>
  <si>
    <t>MOURAD/CAMILLA MRS</t>
  </si>
  <si>
    <t>MOURAD/GABRIELA MRS</t>
  </si>
  <si>
    <t>MOURAD/RODRIGO MR</t>
  </si>
  <si>
    <t>1.1MIRANDA MARQUES/BRUNO</t>
  </si>
  <si>
    <t>1.1AGUIAR/EDSON ROBERTO</t>
  </si>
  <si>
    <t>2.1MARITAN BUENO/MARCIO</t>
  </si>
  <si>
    <t>EVSQPB</t>
  </si>
  <si>
    <t>2HD5I4</t>
  </si>
  <si>
    <t>sin</t>
  </si>
  <si>
    <t>MESQUITA RIBEIRO/FABIO</t>
  </si>
  <si>
    <t>OHBCGC</t>
  </si>
  <si>
    <t>2KVA39</t>
  </si>
  <si>
    <t>FONSECA CHEIB/PEDRO</t>
  </si>
  <si>
    <t>HURNOO</t>
  </si>
  <si>
    <t>2M5M9V</t>
  </si>
  <si>
    <t>bud</t>
  </si>
  <si>
    <t>LELLIS VIEIRA/CAROLINA</t>
  </si>
  <si>
    <t>LELLIS VIEIRA/CARLOS OSCAR</t>
  </si>
  <si>
    <t>ILAJBG</t>
  </si>
  <si>
    <t>2MRUMW</t>
  </si>
  <si>
    <t>erick.silva@rexturadvance.com.br</t>
  </si>
  <si>
    <t>SETA/RODRIGO</t>
  </si>
  <si>
    <t>NUNES OTTE/KAIO WILLY</t>
  </si>
  <si>
    <t>GDPVXW</t>
  </si>
  <si>
    <t>2MR3AB</t>
  </si>
  <si>
    <t>D AVOLA/ROGERIO MAURO</t>
  </si>
  <si>
    <t>DE SALES PRAZEIROS/JANUARIA</t>
  </si>
  <si>
    <t>VICTOR KUKUCHI D AVOLA/MARINA</t>
  </si>
  <si>
    <t>VICTOR KUKUCHI D AVOLA/LUISA</t>
  </si>
  <si>
    <t>3B7TS2</t>
  </si>
  <si>
    <t>prg</t>
  </si>
  <si>
    <t>DIAS KUWABARA/NATHALIE</t>
  </si>
  <si>
    <t>3BDP8C</t>
  </si>
  <si>
    <t>DE AQUINO/NELIO CEZAR</t>
  </si>
  <si>
    <t>3BD26Z</t>
  </si>
  <si>
    <t>DIAS SOUSA/VARLEY</t>
  </si>
  <si>
    <t>2RQSB8</t>
  </si>
  <si>
    <t>carolina.bellini@rexturadvance.com.br</t>
  </si>
  <si>
    <t>FLAQUER/PATRICIA MRS</t>
  </si>
  <si>
    <t>2LE6QL</t>
  </si>
  <si>
    <t>TONANNI/CARLOS MR</t>
  </si>
  <si>
    <t>MNYABQ</t>
  </si>
  <si>
    <t>3HF4AW</t>
  </si>
  <si>
    <t>BCM</t>
  </si>
  <si>
    <t>1.1FISZMAN/HENRI MR</t>
  </si>
  <si>
    <t>2.1RODRIGUES DE LUCENA/ADRIANA</t>
  </si>
  <si>
    <t>3.1LUCENA FISZMAN/PIETRA</t>
  </si>
  <si>
    <t>FQFUIZ</t>
  </si>
  <si>
    <t>4YPIFU</t>
  </si>
  <si>
    <t>dalva.goncalves@esferatur.com.br</t>
  </si>
  <si>
    <t>maa/bom</t>
  </si>
  <si>
    <t>MICHELI ARANTES/MARCELA</t>
  </si>
  <si>
    <t>HKTVCP</t>
  </si>
  <si>
    <t>27CVSM</t>
  </si>
  <si>
    <t>RVN</t>
  </si>
  <si>
    <t>DUTON ALVES/MARIANGELA MRS</t>
  </si>
  <si>
    <t>PECANHA ALVES/EVANDRO</t>
  </si>
  <si>
    <t>NMDBYU</t>
  </si>
  <si>
    <t>22TJVH</t>
  </si>
  <si>
    <t>PECANHA ALVES/EVANDRO MR</t>
  </si>
  <si>
    <t>2IAW5Q</t>
  </si>
  <si>
    <t>PAZETO/FLAVIO LUIS MR</t>
  </si>
  <si>
    <t>HOHLBD</t>
  </si>
  <si>
    <t>2DI4P3</t>
  </si>
  <si>
    <t>GUEDES DUARTE/ROBLEDO</t>
  </si>
  <si>
    <t>27XYCI</t>
  </si>
  <si>
    <t>leonardo.thereziano@cvccorp.com.br</t>
  </si>
  <si>
    <t>FRACCAROLI/MARCIO</t>
  </si>
  <si>
    <t>GPZWVU</t>
  </si>
  <si>
    <t>3PQGAV</t>
  </si>
  <si>
    <t>1.1BRAND/MARGOT</t>
  </si>
  <si>
    <t>3O9OCJ</t>
  </si>
  <si>
    <t>DA COSTA/SERGIO RICARDO MR</t>
  </si>
  <si>
    <t>3TRVJ5</t>
  </si>
  <si>
    <t>MORAIS MYR/ALINE</t>
  </si>
  <si>
    <t>65TZPF</t>
  </si>
  <si>
    <t>3NYD4F</t>
  </si>
  <si>
    <t>CAIRO</t>
  </si>
  <si>
    <t>FOUAD SOBHY KAMEL/KAMAL</t>
  </si>
  <si>
    <t>LLNDYN</t>
  </si>
  <si>
    <t>3TYO36</t>
  </si>
  <si>
    <t>1.1SALLUM NAHAS/ISABELLA TERESA</t>
  </si>
  <si>
    <t>2.1BARROS BARRETO AIDAR/FELIPE</t>
  </si>
  <si>
    <t>SBRTEW</t>
  </si>
  <si>
    <t>4JO8P8</t>
  </si>
  <si>
    <t>BGO</t>
  </si>
  <si>
    <t>RECHULSKI/GABRIELLA MRS</t>
  </si>
  <si>
    <t>67TT1Y</t>
  </si>
  <si>
    <t>4UVCSZ</t>
  </si>
  <si>
    <t>lis</t>
  </si>
  <si>
    <t>PERES/DANIELLE</t>
  </si>
  <si>
    <t>PORTO CASTRO MAIA/MATEUS</t>
  </si>
  <si>
    <t>1PORTO CASTRO MAIA/BEATRIZ</t>
  </si>
  <si>
    <t>67LLMT</t>
  </si>
  <si>
    <t>4RGX72</t>
  </si>
  <si>
    <t>pedroarroio@rexturadvance.com.br</t>
  </si>
  <si>
    <t>Pedro Arroio</t>
  </si>
  <si>
    <t>silva /REUEL mr</t>
  </si>
  <si>
    <t>silva/daniela mrs</t>
  </si>
  <si>
    <t>67TSL3</t>
  </si>
  <si>
    <t>4UUOQM</t>
  </si>
  <si>
    <t xml:space="preserve">PERES/LEANDROMR </t>
  </si>
  <si>
    <t>4OWSG5</t>
  </si>
  <si>
    <t>NAKAJIMA/MASAHIRO MR</t>
  </si>
  <si>
    <t>68PTP4</t>
  </si>
  <si>
    <t>2J2VIO</t>
  </si>
  <si>
    <t>alves.cardoso@esferatur.com.br</t>
  </si>
  <si>
    <t>KAORI SIYA/PAULA</t>
  </si>
  <si>
    <t>ARAUJO COSTA DE OLIVEIRA/RAFAEL</t>
  </si>
  <si>
    <t>67WH89</t>
  </si>
  <si>
    <t>4WE6CF</t>
  </si>
  <si>
    <t>CORTEZ/BRUNA</t>
  </si>
  <si>
    <t>CORTEZ/PAULO</t>
  </si>
  <si>
    <t>2OZKBC</t>
  </si>
  <si>
    <t>BEVILACQUA/ANDRE LUIZ MR</t>
  </si>
  <si>
    <t>BEVILACQUA/HELENICE MRS</t>
  </si>
  <si>
    <t>DXSKXV</t>
  </si>
  <si>
    <t>2R7M2F</t>
  </si>
  <si>
    <t>BCN</t>
  </si>
  <si>
    <t>GUEBARRA/GISLEINE MRS</t>
  </si>
  <si>
    <t>GUEBARRA/HENRIQUE MR</t>
  </si>
  <si>
    <t>GUEBARRA/LARA MRS</t>
  </si>
  <si>
    <t>WAESIP</t>
  </si>
  <si>
    <t>2WFZDI</t>
  </si>
  <si>
    <t>cassiavieira@rexturadvance.com.br</t>
  </si>
  <si>
    <t>CMN</t>
  </si>
  <si>
    <t>Cassia</t>
  </si>
  <si>
    <t>VALERIO DE SOUSA/SANDRA MARA</t>
  </si>
  <si>
    <t>WAFYUH</t>
  </si>
  <si>
    <t>2WHXMZ</t>
  </si>
  <si>
    <t>CALDEIRON LIMA/TANIA PAULA</t>
  </si>
  <si>
    <t>SALLUM NAHAS/ISABELLA TERESA</t>
  </si>
  <si>
    <t>BARROS BARRETO AIDAR/FELIPE</t>
  </si>
  <si>
    <t>38SQV8</t>
  </si>
  <si>
    <t>KGPDJX</t>
  </si>
  <si>
    <t>3RI964</t>
  </si>
  <si>
    <t>Tatiana</t>
  </si>
  <si>
    <t>RUSSO/LILIANA</t>
  </si>
  <si>
    <t>BRANDAO DE GIACOMO/MARIA CRISTINA</t>
  </si>
  <si>
    <t>32LR8B</t>
  </si>
  <si>
    <t>SCHULTZ/JULIANA</t>
  </si>
  <si>
    <t>WGXMMB</t>
  </si>
  <si>
    <t>4W3IV7</t>
  </si>
  <si>
    <t>Natan</t>
  </si>
  <si>
    <t>SAAB/NELY</t>
  </si>
  <si>
    <t>SAAB/JOSE</t>
  </si>
  <si>
    <t>HPBAHX</t>
  </si>
  <si>
    <t>4EGETR</t>
  </si>
  <si>
    <t>LEONY CAMPOS/LETICIA MAIA</t>
  </si>
  <si>
    <t>RODRIGUES CAMPOS/PEDRO HENRIQUE</t>
  </si>
  <si>
    <t>494N7Q</t>
  </si>
  <si>
    <t>BLL</t>
  </si>
  <si>
    <t xml:space="preserve">CIONE SILVA OLIVEIRA/MARCOS	</t>
  </si>
  <si>
    <t>IQWVVC</t>
  </si>
  <si>
    <t>2B4N84</t>
  </si>
  <si>
    <t>SOARES SILVEIRA/BRUNA BEATRICE</t>
  </si>
  <si>
    <t>YQXDXU</t>
  </si>
  <si>
    <t>2ALNO7</t>
  </si>
  <si>
    <t>DEL</t>
  </si>
  <si>
    <t>E SILVA/PAULO SERGIO</t>
  </si>
  <si>
    <t>DE JESUS FROTA E SILVA/TEREZINHA</t>
  </si>
  <si>
    <t>2GCTTM</t>
  </si>
  <si>
    <t>dxb</t>
  </si>
  <si>
    <t>BIANCHI/SYMARA</t>
  </si>
  <si>
    <t>DSHIKN</t>
  </si>
  <si>
    <t>2F6RKE</t>
  </si>
  <si>
    <t>PROFILI/THIAGO</t>
  </si>
  <si>
    <t>2KVQ9A</t>
  </si>
  <si>
    <t>SILVA/PAULO SERGIO</t>
  </si>
  <si>
    <t>2LOZE8</t>
  </si>
  <si>
    <t>PANEGALLI ZIMMER/JULIANA</t>
  </si>
  <si>
    <t>NGCKSF</t>
  </si>
  <si>
    <t>35KKFK</t>
  </si>
  <si>
    <t>ARAUJO SIMAL/CARLOS MR</t>
  </si>
  <si>
    <t>6G9DLJ</t>
  </si>
  <si>
    <t>35SM4T</t>
  </si>
  <si>
    <t>LON</t>
  </si>
  <si>
    <t xml:space="preserve">HYPOLITHO FINOTTI/GUILHERMEMR </t>
  </si>
  <si>
    <t>WHEAGJ</t>
  </si>
  <si>
    <t>3FUWX9</t>
  </si>
  <si>
    <t>henrique.araujo@rexturadvance.com.br</t>
  </si>
  <si>
    <t>KIX</t>
  </si>
  <si>
    <t>Ney</t>
  </si>
  <si>
    <t>FILHO/JULIO CEZAR-1/2</t>
  </si>
  <si>
    <t>CARNEIRO FOLHA RIBEIRO/MAYARA-2/2</t>
  </si>
  <si>
    <t>2QYMZE</t>
  </si>
  <si>
    <t>RICCI BARION/ANA MARIA</t>
  </si>
  <si>
    <t>RICCI BARION/RAFAELA</t>
  </si>
  <si>
    <t>RICCI BARION BASSAN/MARIANA</t>
  </si>
  <si>
    <t>IOHHOM</t>
  </si>
  <si>
    <t>3GALV2</t>
  </si>
  <si>
    <t>ligiaveras@cvccorp.com.br</t>
  </si>
  <si>
    <t>venda</t>
  </si>
  <si>
    <t>Ligi Veras</t>
  </si>
  <si>
    <t>CHIOVAO ABDALA/EDUARDO HENRIQUE</t>
  </si>
  <si>
    <t>OAGBRK</t>
  </si>
  <si>
    <t>3GTE68</t>
  </si>
  <si>
    <t>Fabio Vantini</t>
  </si>
  <si>
    <t>HYPOLITHO FINOTTI/GUILHERME</t>
  </si>
  <si>
    <t>MIGQQB</t>
  </si>
  <si>
    <t>3LXXX9</t>
  </si>
  <si>
    <t>CARDOSO GRION/ANA CAROLINA</t>
  </si>
  <si>
    <t>EDYRGM</t>
  </si>
  <si>
    <t>2FQER5</t>
  </si>
  <si>
    <t>Leonardo David</t>
  </si>
  <si>
    <t>ESPOSITO/ELLEN CRISTINA</t>
  </si>
  <si>
    <t>LTAUHS</t>
  </si>
  <si>
    <t>4FNAHW</t>
  </si>
  <si>
    <t>TOMAZELLI/GIOVANNI</t>
  </si>
  <si>
    <t>3WKNDX</t>
  </si>
  <si>
    <t>thamires.silva@rexturadvance.com.br</t>
  </si>
  <si>
    <t>Patricia</t>
  </si>
  <si>
    <t>DANTAS/ELIZABETH</t>
  </si>
  <si>
    <t>6JFPYQ</t>
  </si>
  <si>
    <t>4RAKWR</t>
  </si>
  <si>
    <t>fernando.brizotti@rexturadvance.com.br</t>
  </si>
  <si>
    <t>NOJIRI/ CLAUDIO mr</t>
  </si>
  <si>
    <t>6JGT7B</t>
  </si>
  <si>
    <t>4RV3XL</t>
  </si>
  <si>
    <t xml:space="preserve">KUME/MILTON MR </t>
  </si>
  <si>
    <t>6JGS95</t>
  </si>
  <si>
    <t>4RU9DF</t>
  </si>
  <si>
    <t xml:space="preserve"> NOJIRI/RICARDO MR</t>
  </si>
  <si>
    <t>4SKVV7</t>
  </si>
  <si>
    <t>DXB</t>
  </si>
  <si>
    <t>LEAL SANTIAGO/RAFAELLA</t>
  </si>
  <si>
    <t>SILVA MARTINS/EDSON</t>
  </si>
  <si>
    <t>4SMSWH</t>
  </si>
  <si>
    <t>MACHADO ALVES/DAVI</t>
  </si>
  <si>
    <t>SANTIAGO CORDEIRO/JOAO GABRIEL</t>
  </si>
  <si>
    <t>LVAFVO</t>
  </si>
  <si>
    <t>2LPTXC</t>
  </si>
  <si>
    <t>Edu Francelino</t>
  </si>
  <si>
    <t>ANDERSEN/VAGN MR</t>
  </si>
  <si>
    <t>WBBCES</t>
  </si>
  <si>
    <t>2R9TU5</t>
  </si>
  <si>
    <t>SALVADOR JUNIOR/GILBERTO</t>
  </si>
  <si>
    <t>SALOMAO SALVADOR/LUCIANA</t>
  </si>
  <si>
    <t>ALVES SALOMAO/ILMA</t>
  </si>
  <si>
    <t>NOJIRI/CLAUDIO</t>
  </si>
  <si>
    <t>KUME/MILTON</t>
  </si>
  <si>
    <t>NOJIRI/ricardo</t>
  </si>
  <si>
    <t xml:space="preserve">ANDERSEN/VAGN </t>
  </si>
  <si>
    <t>6KN5Z0</t>
  </si>
  <si>
    <t>2R5CJM</t>
  </si>
  <si>
    <t>SEL</t>
  </si>
  <si>
    <t xml:space="preserve">VASQUES VECCHIETTI/CLAUDIOMR </t>
  </si>
  <si>
    <t>SANTOS VECCHIETTI/JOAO PEDROMR</t>
  </si>
  <si>
    <t>SANTOS VECCHIETTI/LUIS EDUARDO</t>
  </si>
  <si>
    <t>COVKHY</t>
  </si>
  <si>
    <t>2SXQQA</t>
  </si>
  <si>
    <t>AGP</t>
  </si>
  <si>
    <t>BALIEIRO DE SOUZA/THIAGO ARAUJO MR</t>
  </si>
  <si>
    <t>2UDE3Y</t>
  </si>
  <si>
    <t>Karen Ribeiro</t>
  </si>
  <si>
    <t>EGAMI/AYAKO MRS</t>
  </si>
  <si>
    <t>6J07GR</t>
  </si>
  <si>
    <t>4H5MMG</t>
  </si>
  <si>
    <t xml:space="preserve">HERRERA LOPEZ/ANGELA PATRICIAMRS </t>
  </si>
  <si>
    <t>IOIIGT</t>
  </si>
  <si>
    <t>36OZOP</t>
  </si>
  <si>
    <t xml:space="preserve">NAMI HADDAD SAADE/RENATA </t>
  </si>
  <si>
    <t>ISWCCR</t>
  </si>
  <si>
    <t>3S6RNX</t>
  </si>
  <si>
    <t>AGP//LHR</t>
  </si>
  <si>
    <t>MALTA/MARCIO MR</t>
  </si>
  <si>
    <t>6MVMGX</t>
  </si>
  <si>
    <t>3Y6DZI</t>
  </si>
  <si>
    <t>VIE</t>
  </si>
  <si>
    <t>GOMES FERRARI/MARIA JOSE</t>
  </si>
  <si>
    <t>FERRARI/OSWALDO</t>
  </si>
  <si>
    <t>DBOHAH</t>
  </si>
  <si>
    <t>46VJPU</t>
  </si>
  <si>
    <t>ALMEIDA MAXIMINO/FELIPE MR</t>
  </si>
  <si>
    <t>RUGAI/VANESSA MRS</t>
  </si>
  <si>
    <t>JZILIX</t>
  </si>
  <si>
    <t>4CFH3R</t>
  </si>
  <si>
    <t>coNCORRÊNCIA CONSOLIDADORA</t>
  </si>
  <si>
    <t>2M</t>
  </si>
  <si>
    <t>CREPALDI PEREIRA/FABIANA MRS</t>
  </si>
  <si>
    <t>HSHIRT</t>
  </si>
  <si>
    <t>3XUMAS</t>
  </si>
  <si>
    <t>YUJI HATAE/CARLOS MR</t>
  </si>
  <si>
    <t>bag</t>
  </si>
  <si>
    <t>334GVE</t>
  </si>
  <si>
    <t>jonatas.pauli@rexturadvance.com.br</t>
  </si>
  <si>
    <t>multa</t>
  </si>
  <si>
    <t>RAMPINELLI/HELOISA</t>
  </si>
  <si>
    <t>224WXE</t>
  </si>
  <si>
    <t>TYO</t>
  </si>
  <si>
    <t>CHACUR/MAURICIO ELIAS</t>
  </si>
  <si>
    <t>27L4QH</t>
  </si>
  <si>
    <t>rafael.vieira@rexturadvance.com.br</t>
  </si>
  <si>
    <t>BKK</t>
  </si>
  <si>
    <t>VIDAL PINTO/BIANCA</t>
  </si>
  <si>
    <t>VIDAL PINTO/ISABELA</t>
  </si>
  <si>
    <t>VIDAL PINTO/LUIZ GUSTAVO</t>
  </si>
  <si>
    <t>47JCH2</t>
  </si>
  <si>
    <t>patriciacaroli@cvccorp.com.br</t>
  </si>
  <si>
    <t>leonardo.thereziano@rexturadvance.com.br</t>
  </si>
  <si>
    <t>VLADIMIRSCHI FARINA/MICHAEL</t>
  </si>
  <si>
    <t>3NB4SK</t>
  </si>
  <si>
    <t>MURASUGI/KAYAKO MRS</t>
  </si>
  <si>
    <t>29GJIM</t>
  </si>
  <si>
    <t xml:space="preserve">ZAFFARI/ALEXANDRE </t>
  </si>
  <si>
    <t>ZAFFARI/MICHELE</t>
  </si>
  <si>
    <t>2OHLKM</t>
  </si>
  <si>
    <t>robertacouto@cvccorp.com.br</t>
  </si>
  <si>
    <t>MORGADINHO DOS SANTOS COELHO/NUNO MANUEL</t>
  </si>
  <si>
    <t>32PV5F</t>
  </si>
  <si>
    <t>MAINARDI/CELIA MIYAZAKI</t>
  </si>
  <si>
    <t>MAINARDI/CELSO JAIR</t>
  </si>
  <si>
    <t>2JD4DX</t>
  </si>
  <si>
    <t>AFONSO SEQUEIROS/MARIA DA CONCEICAO</t>
  </si>
  <si>
    <t>2JH4UH</t>
  </si>
  <si>
    <t>SEQUEIROS CHACUR/LUIZA</t>
  </si>
  <si>
    <t>2JF5Y3</t>
  </si>
  <si>
    <t>SEQUEIROS CHACUR/GUSTAVO</t>
  </si>
  <si>
    <t>2U3VXS</t>
  </si>
  <si>
    <t>MOREIRA CRUZ/FLAVIA</t>
  </si>
  <si>
    <t>2UINRT</t>
  </si>
  <si>
    <t>SANTOS/EDUARDA MRS</t>
  </si>
  <si>
    <t>SANTOS/MARIA LUIZA MRS</t>
  </si>
  <si>
    <t>WJGHQR</t>
  </si>
  <si>
    <t>2TSPYH</t>
  </si>
  <si>
    <t>ZOTELLI DE LIMA/ANDERSON</t>
  </si>
  <si>
    <t>MZSZNA</t>
  </si>
  <si>
    <t>4Q87Q2</t>
  </si>
  <si>
    <t>ARN//FRA</t>
  </si>
  <si>
    <t>FRANCA ROSSETO/BRUNA</t>
  </si>
  <si>
    <t>JHCSOG</t>
  </si>
  <si>
    <t>4W8DX8/</t>
  </si>
  <si>
    <t>alanavelhan@rexturadvance.com.br</t>
  </si>
  <si>
    <t>TRAVASSOS GAMA/GUSTAVO MR</t>
  </si>
  <si>
    <t>SOUTO GAMA/GABRIELLA RAQUEL MRS</t>
  </si>
  <si>
    <t>YAJLGY</t>
  </si>
  <si>
    <t>49UN9L</t>
  </si>
  <si>
    <t>DE BARROS/OCTAVIO</t>
  </si>
  <si>
    <t>HVOJEC</t>
  </si>
  <si>
    <t>246OPV</t>
  </si>
  <si>
    <t>BOM</t>
  </si>
  <si>
    <t>AMPESSAN/GABRIEL AUGUSTO MR</t>
  </si>
  <si>
    <t>7243Z3</t>
  </si>
  <si>
    <t>299LL9</t>
  </si>
  <si>
    <t>CASTRO NEVES/MATHEUSMR</t>
  </si>
  <si>
    <t>23TNA9</t>
  </si>
  <si>
    <t>Bagagem</t>
  </si>
  <si>
    <t>EVANGELISTA SANTOS/VICTHORIA</t>
  </si>
  <si>
    <t>UILIANA/GABRIELA</t>
  </si>
  <si>
    <t>GXIYPO</t>
  </si>
  <si>
    <t>2ADJF9</t>
  </si>
  <si>
    <t>LASKANI/MARIANA</t>
  </si>
  <si>
    <t>LEWKOWICZ/REUVEN</t>
  </si>
  <si>
    <t>2EUTYN</t>
  </si>
  <si>
    <t>2eutyn</t>
  </si>
  <si>
    <t>COSTA MOREIRA/EDY MRS</t>
  </si>
  <si>
    <t>LOPES PESSOA MENDES/TATIANA MRS</t>
  </si>
  <si>
    <t>23NN4L</t>
  </si>
  <si>
    <t>leonardo.silva@rexturadvance.com.br</t>
  </si>
  <si>
    <t>MAN</t>
  </si>
  <si>
    <t>SOUZA/MARCO</t>
  </si>
  <si>
    <t>KNOZVB</t>
  </si>
  <si>
    <t>2FDKXZ</t>
  </si>
  <si>
    <t xml:space="preserve"> RANZINI/FABIOLA MRS</t>
  </si>
  <si>
    <t>2VI9PQ</t>
  </si>
  <si>
    <t>TEIXEIRA/MARIA NAZARE</t>
  </si>
  <si>
    <t>2URSZS</t>
  </si>
  <si>
    <t>BARRETO/SALVADOR M</t>
  </si>
  <si>
    <t>FLES/CINTIA</t>
  </si>
  <si>
    <t>2WSDI4</t>
  </si>
  <si>
    <t>mrs</t>
  </si>
  <si>
    <t>MARTIN BAGNATI/ALEJANDRO</t>
  </si>
  <si>
    <t>2WTGAJ</t>
  </si>
  <si>
    <t>1.AMORIM JUNIOR/SAMUEL</t>
  </si>
  <si>
    <t>34CF73</t>
  </si>
  <si>
    <t>BAFFILE PRIOLLI/FILIPE</t>
  </si>
  <si>
    <t>LATORRACA DE ANGELIS/RICARDO</t>
  </si>
  <si>
    <t>PEREIRA/TONIMAR FRANCISCO</t>
  </si>
  <si>
    <t>CLTZMP</t>
  </si>
  <si>
    <t>23NFKX</t>
  </si>
  <si>
    <t>mad</t>
  </si>
  <si>
    <t>MINERVINO CAMPOS/GIOVANNA ROBERTA MRS</t>
  </si>
  <si>
    <t>38VS8D</t>
  </si>
  <si>
    <t>HWSEVK</t>
  </si>
  <si>
    <t>3HUN8P</t>
  </si>
  <si>
    <t>YOUN/SARA MRS</t>
  </si>
  <si>
    <t>CUIFYU</t>
  </si>
  <si>
    <t>3MHA7S</t>
  </si>
  <si>
    <t>SAID/MARIA ANGELICA</t>
  </si>
  <si>
    <t>MOICSJ</t>
  </si>
  <si>
    <t>2WNL53</t>
  </si>
  <si>
    <t>DE MELLO MONTEIRO/ADRIANA</t>
  </si>
  <si>
    <t>FGTLSS</t>
  </si>
  <si>
    <t>4BDVJI</t>
  </si>
  <si>
    <t>COELHO/RAFAEL</t>
  </si>
  <si>
    <t>GIG</t>
  </si>
  <si>
    <t>4HJF8R</t>
  </si>
  <si>
    <t>SAVING</t>
  </si>
  <si>
    <t>DE CARVALHO MATTOS/CAROLINA</t>
  </si>
  <si>
    <t>3SKHK2</t>
  </si>
  <si>
    <t>andrebarros@submarinoviagens.com.br</t>
  </si>
  <si>
    <t>Falha Sistêmica</t>
  </si>
  <si>
    <t>ASSUNCAO/MILVANY</t>
  </si>
  <si>
    <t>ASSUNCAO/RONALDO</t>
  </si>
  <si>
    <t>NZQHGV</t>
  </si>
  <si>
    <t>4NZPM9</t>
  </si>
  <si>
    <t>ZYR</t>
  </si>
  <si>
    <t>gooDWILL</t>
  </si>
  <si>
    <t>COSTA DE ALMEIDA/THIAGO</t>
  </si>
  <si>
    <t>KITYKU</t>
  </si>
  <si>
    <t>4OTSG8</t>
  </si>
  <si>
    <t>GUIDUGLI/VICTOR AUGUSTO MR</t>
  </si>
  <si>
    <t>CDOPIB</t>
  </si>
  <si>
    <t>3JV5XG</t>
  </si>
  <si>
    <t>leandro.galdino@rexturadvance.com.br</t>
  </si>
  <si>
    <t>Paula Avallone</t>
  </si>
  <si>
    <t>NEVES/JOSE ROBERTO</t>
  </si>
  <si>
    <t>76LRFW</t>
  </si>
  <si>
    <t>4O8OB4</t>
  </si>
  <si>
    <t>PAR//NCE</t>
  </si>
  <si>
    <t>ZUANAZZI/LEONARDO AUGUSTOMR</t>
  </si>
  <si>
    <t>CARDACCI/TATHIANAMRS</t>
  </si>
  <si>
    <t>JFGTZO</t>
  </si>
  <si>
    <t>2CADJC</t>
  </si>
  <si>
    <t>tlv</t>
  </si>
  <si>
    <t>NEUMARK/SONIA</t>
  </si>
  <si>
    <t>IRKIDX</t>
  </si>
  <si>
    <t>2ICQVI</t>
  </si>
  <si>
    <t>DA SILVA ELVIRA/EDUARDO</t>
  </si>
  <si>
    <t>POLO FILHO/JOAO ROBERTO</t>
  </si>
  <si>
    <t>2NYZT7</t>
  </si>
  <si>
    <t>MOREIRA DA SILVA/DIVANIL</t>
  </si>
  <si>
    <t>2OYI9F</t>
  </si>
  <si>
    <t>leticia.sa@rexturadvance.com.br</t>
  </si>
  <si>
    <t>TANNURI/JORGE EDUARDOMR</t>
  </si>
  <si>
    <t>ASSUMPCAO TANNURI/FERNANDAMRS</t>
  </si>
  <si>
    <t>ASSUMPCAO TANNURI/JORGE EDUARDOMR</t>
  </si>
  <si>
    <t>2JYDF3</t>
  </si>
  <si>
    <t>ASSUMPCAO TANNURI/LUIS EDUARDO MR</t>
  </si>
  <si>
    <t>YZBYTU</t>
  </si>
  <si>
    <t>3PVR4W</t>
  </si>
  <si>
    <t>Pax CEO da empresa, agência só emite em classe executiva.</t>
  </si>
  <si>
    <t>CDG/GRU</t>
  </si>
  <si>
    <t>CABRAL GARDNER/ANA CRISTINA MRS</t>
  </si>
  <si>
    <t>3TW993</t>
  </si>
  <si>
    <t>OTP</t>
  </si>
  <si>
    <t>AVILA CARDOSO/RAFAEL MR</t>
  </si>
  <si>
    <t>3TWW73</t>
  </si>
  <si>
    <t>GAMARIA RODRIGUES DE SOUZA/PAULA ROBERTA MRS</t>
  </si>
  <si>
    <t>OFRBNA</t>
  </si>
  <si>
    <t>3VM5JM</t>
  </si>
  <si>
    <t>anayamada@cvccorp.com.br</t>
  </si>
  <si>
    <t>Alan avelhan</t>
  </si>
  <si>
    <t>MARTINS SYDOW/EVANIZE - 1.1</t>
  </si>
  <si>
    <t>OIKUEN</t>
  </si>
  <si>
    <t>3VCU82</t>
  </si>
  <si>
    <t>CHETRIT/AMAURY</t>
  </si>
  <si>
    <t>ECPMIM</t>
  </si>
  <si>
    <t>2CUJ85</t>
  </si>
  <si>
    <t>agt emitiu voo errado</t>
  </si>
  <si>
    <t>cdg fra</t>
  </si>
  <si>
    <t>GOMES ADAS OKUMA/MARIANA</t>
  </si>
  <si>
    <t>OVKYJZ</t>
  </si>
  <si>
    <t>paula.silva@rexturadvance.com.br</t>
  </si>
  <si>
    <t>BER E VIE</t>
  </si>
  <si>
    <t>E-mail Anna</t>
  </si>
  <si>
    <t>FONSECA DE JESUS/DANIEL MR-PAX1</t>
  </si>
  <si>
    <t>ABREU PEREIRA/ELAINE MRS-PAX2</t>
  </si>
  <si>
    <t>PEREIRA DE JESUS/JOAO DANIEL-PAX3</t>
  </si>
  <si>
    <t>KYNXMO</t>
  </si>
  <si>
    <t>23HMW2</t>
  </si>
  <si>
    <t>alves.cardoso@rexturadvance.com.br</t>
  </si>
  <si>
    <t>SNHBBR</t>
  </si>
  <si>
    <t>2UZIZU</t>
  </si>
  <si>
    <t>Alan Avlehan</t>
  </si>
  <si>
    <t>OSWIN FLACH/MATTHIAS MR</t>
  </si>
  <si>
    <t>2V7RBD</t>
  </si>
  <si>
    <t>DE MORAES/ADRIANA ROBERTA</t>
  </si>
  <si>
    <t>DE MORAES/LIGIA</t>
  </si>
  <si>
    <t>GRECO/ANA MARIA</t>
  </si>
  <si>
    <t>7FBDNB</t>
  </si>
  <si>
    <t>2UBJM2</t>
  </si>
  <si>
    <t>ricardo.brighenti@rexturadvance.com.br</t>
  </si>
  <si>
    <t xml:space="preserve">APICELLA/MARIKA </t>
  </si>
  <si>
    <t>NTIIDC</t>
  </si>
  <si>
    <t>24JZAQ</t>
  </si>
  <si>
    <t>ath</t>
  </si>
  <si>
    <t>34BMG2</t>
  </si>
  <si>
    <t>CASTRO DE AGUIAR/RONA</t>
  </si>
  <si>
    <t>KIEFEP</t>
  </si>
  <si>
    <t>38DSP4</t>
  </si>
  <si>
    <t>ROCHA PINTO E SILVA/FABIO MR</t>
  </si>
  <si>
    <t>LOZGDP</t>
  </si>
  <si>
    <t>32K2B</t>
  </si>
  <si>
    <t>TAPIA/LUIZ HENRIQUE MR</t>
  </si>
  <si>
    <t>394OK9</t>
  </si>
  <si>
    <t>alex.pereira@rexturadvance.com.br</t>
  </si>
  <si>
    <t>1.CARVALHO DA SILVA/ALEXANDRE MR</t>
  </si>
  <si>
    <t xml:space="preserve"> 2.MONTENEGRO CARVALHO/PEDRO MR</t>
  </si>
  <si>
    <t>NVVZXQ</t>
  </si>
  <si>
    <t>396L25</t>
  </si>
  <si>
    <t>Alex Pereira</t>
  </si>
  <si>
    <t>1.1MONTENEGRO CARVALHO/CLARA MRS</t>
  </si>
  <si>
    <t>396A4V</t>
  </si>
  <si>
    <t>1.DE SOUZA RAMOS ACCIOLY/MARINA MRS</t>
  </si>
  <si>
    <t>2.MACHADO MONTENEGRO/CLAUDIA MRS</t>
  </si>
  <si>
    <t>U5NGW7</t>
  </si>
  <si>
    <t>VLC</t>
  </si>
  <si>
    <t>DE BIASE/TIAGO</t>
  </si>
  <si>
    <t>RIBEIRO JUNIOR/EMANUEL</t>
  </si>
  <si>
    <t>2.MONTENEGRO CARVALHO/PEDRO MR</t>
  </si>
  <si>
    <t>KLFTAK</t>
  </si>
  <si>
    <t>45ECJI</t>
  </si>
  <si>
    <t>VIDAL/MARIANA</t>
  </si>
  <si>
    <t>FARACO/HELIO</t>
  </si>
  <si>
    <t>4EYSW8</t>
  </si>
  <si>
    <t>1.DELPHIM/GABRIELLE</t>
  </si>
  <si>
    <t>2.SOUZA/GILDER EDMAR</t>
  </si>
  <si>
    <t>HAYTZR</t>
  </si>
  <si>
    <t>3L73J8</t>
  </si>
  <si>
    <t>sandra.enns@rexturadvance.com.br</t>
  </si>
  <si>
    <t>rodrigo.reis@rexturadvance.com.br</t>
  </si>
  <si>
    <t>Rodrigo Reis</t>
  </si>
  <si>
    <t>MOREIRA FONTENELE NETO/JOSE MR</t>
  </si>
  <si>
    <t>4L425H</t>
  </si>
  <si>
    <t>DELPHIM/GABRIELLE</t>
  </si>
  <si>
    <t>SOUZA/GILDER EDMAR</t>
  </si>
  <si>
    <t>4PWZG2</t>
  </si>
  <si>
    <t>Eduardo Francelino</t>
  </si>
  <si>
    <t>PERES SANTESTEVAM/YARA MRS</t>
  </si>
  <si>
    <t>2EX2V3</t>
  </si>
  <si>
    <t>STO</t>
  </si>
  <si>
    <t>BAYER QUEIROZ/MARIANA</t>
  </si>
  <si>
    <t>GORDON/MICHEL</t>
  </si>
  <si>
    <t>ZUHLSDORFF DE PAIVA GORDON/ELISA</t>
  </si>
  <si>
    <t>2KXRF9</t>
  </si>
  <si>
    <t>Alves Cardoso</t>
  </si>
  <si>
    <t>CAVALHEIRO MARCONDES/CESAR AUGUSTO</t>
  </si>
  <si>
    <t>FHKEVX</t>
  </si>
  <si>
    <t>4FVIA2</t>
  </si>
  <si>
    <t>BRI</t>
  </si>
  <si>
    <t>MOUTINHO/BERNARDINA DALVA</t>
  </si>
  <si>
    <t>IDGSII</t>
  </si>
  <si>
    <t>2RHYSC</t>
  </si>
  <si>
    <t>Rogerio Mateus</t>
  </si>
  <si>
    <t>1.1MODELLI DE ANDRADE/LUIS GUSTAVO</t>
  </si>
  <si>
    <t>HKQLAG</t>
  </si>
  <si>
    <t>2RUHNK</t>
  </si>
  <si>
    <t>Natan Costa</t>
  </si>
  <si>
    <t>IRION ALVES/DIMAS MR</t>
  </si>
  <si>
    <t>IBXZAP</t>
  </si>
  <si>
    <t>2RGWGG</t>
  </si>
  <si>
    <t>1.1PFEFERMAN HEILBERG/ITA</t>
  </si>
  <si>
    <t>ZLZPRK</t>
  </si>
  <si>
    <t>COSTA/JUNIOR</t>
  </si>
  <si>
    <t>COSTA/ALAN</t>
  </si>
  <si>
    <t>ISOHVS</t>
  </si>
  <si>
    <t>3F475C</t>
  </si>
  <si>
    <t>maria.oliveira@rexturadvance.com.br</t>
  </si>
  <si>
    <t>CHAGAS ANDREOZZI/RODRIGO</t>
  </si>
  <si>
    <t>WELYQD</t>
  </si>
  <si>
    <t>3GCKPS</t>
  </si>
  <si>
    <t>FERREIRA MICHELON/TATIANA</t>
  </si>
  <si>
    <t>DQRVVJ</t>
  </si>
  <si>
    <t>4LBTKS </t>
  </si>
  <si>
    <t>ESTEFAN/FERNANDO</t>
  </si>
  <si>
    <t>YOCPJF</t>
  </si>
  <si>
    <t>25EQYA</t>
  </si>
  <si>
    <t>marcelo.abreu@rexturadvance.com.br</t>
  </si>
  <si>
    <t>Marcelo Abreu</t>
  </si>
  <si>
    <t>REZENDE MEDEIROS/RODRIGO</t>
  </si>
  <si>
    <t>LAVXNE</t>
  </si>
  <si>
    <t>25AWN8</t>
  </si>
  <si>
    <t>TXL</t>
  </si>
  <si>
    <t>MATTOS ALVES/LEONARDO MR</t>
  </si>
  <si>
    <t>PINHEIRO/MARCO ANTONIO MR</t>
  </si>
  <si>
    <t>OJNSKR</t>
  </si>
  <si>
    <t>4RPR65</t>
  </si>
  <si>
    <t>SANTIAGO D OLIVEIRA/JEFFERSON</t>
  </si>
  <si>
    <t>SJMZDC</t>
  </si>
  <si>
    <t>4LIUXH</t>
  </si>
  <si>
    <t>LUZ PENZ/GUSTAVO</t>
  </si>
  <si>
    <t>25JBGH</t>
  </si>
  <si>
    <t>PINHO DE BARROS/RAISA MRS</t>
  </si>
  <si>
    <t>MZQBKK</t>
  </si>
  <si>
    <t>25JVF9</t>
  </si>
  <si>
    <t>PEREIRA DOS SANTOS/RENAN MR</t>
  </si>
  <si>
    <t>2T5HNW</t>
  </si>
  <si>
    <t>site cia</t>
  </si>
  <si>
    <t>DEUCHER NETO/GUILHERME PAULO</t>
  </si>
  <si>
    <t xml:space="preserve">ESPER RUSSEL/JULIANA </t>
  </si>
  <si>
    <t>4NO4DV</t>
  </si>
  <si>
    <t>fernanda.silva@rexturadvance.com.br</t>
  </si>
  <si>
    <t>ORMENESE ALTIERI/ELAINE CRISTINA</t>
  </si>
  <si>
    <t>IPIICO</t>
  </si>
  <si>
    <t>2BMQBK</t>
  </si>
  <si>
    <t>SCARTEZZINI/MILLA MRS</t>
  </si>
  <si>
    <t>FBQVAE</t>
  </si>
  <si>
    <t>2BLFYJ</t>
  </si>
  <si>
    <t>BRANDAO/ANA CLAUDIA MRS</t>
  </si>
  <si>
    <t>EFURWZ</t>
  </si>
  <si>
    <t>2H4NJY</t>
  </si>
  <si>
    <t>STEINMAN/DEBORA MRS</t>
  </si>
  <si>
    <t>EKBWJF</t>
  </si>
  <si>
    <t>4MTIDD</t>
  </si>
  <si>
    <t>Rodrigo Estevam</t>
  </si>
  <si>
    <t>AGUIAR/EDSON MR</t>
  </si>
  <si>
    <t>SHQQHR</t>
  </si>
  <si>
    <t>2HNV2T</t>
  </si>
  <si>
    <t>BRITO DA FONSECA/BRUNA MRS</t>
  </si>
  <si>
    <t>OCUSDB</t>
  </si>
  <si>
    <t>2HPHPC</t>
  </si>
  <si>
    <t>DIAS/FRANCIANO MR</t>
  </si>
  <si>
    <t>YQCWZW</t>
  </si>
  <si>
    <t>2CQPQ6</t>
  </si>
  <si>
    <t>COUTINHO DA SILVA/RICARDO MR</t>
  </si>
  <si>
    <t>EMFIRW</t>
  </si>
  <si>
    <t>2NFAY8</t>
  </si>
  <si>
    <t>TAVEIRA TAVARES/DELORME JOSE</t>
  </si>
  <si>
    <t>NDJFVG</t>
  </si>
  <si>
    <t>2NSABF</t>
  </si>
  <si>
    <t>Tatiana Amaral</t>
  </si>
  <si>
    <t>POUSADA/ISABELA</t>
  </si>
  <si>
    <t>SLJRYH</t>
  </si>
  <si>
    <t>2HUXVW</t>
  </si>
  <si>
    <t>MALUF FILHO/FAUZE MR</t>
  </si>
  <si>
    <t>EJKYGK</t>
  </si>
  <si>
    <t>348C7G</t>
  </si>
  <si>
    <t>FERREIRA VAZ ZANARDO/ALESSANDRA</t>
  </si>
  <si>
    <t>4O6BM3</t>
  </si>
  <si>
    <t>1.LEAL/JANAINA MRS</t>
  </si>
  <si>
    <t>2.MAGALHAES/SERGIO MR</t>
  </si>
  <si>
    <t>FMUCBD</t>
  </si>
  <si>
    <t>2IBVAB</t>
  </si>
  <si>
    <t>1.1GLASER DE SENNA/KARINA MRS</t>
  </si>
  <si>
    <t>2.1GLASER DE SENNA/MARIA CLARA MRS</t>
  </si>
  <si>
    <t>NSYQPL</t>
  </si>
  <si>
    <t>2IAMTK</t>
  </si>
  <si>
    <t>1.1GLASER/INGO MR</t>
  </si>
  <si>
    <t>ATKXRB</t>
  </si>
  <si>
    <t>4OH5WM</t>
  </si>
  <si>
    <t>1.1GLASER DE SENNA/PEDRO MR</t>
  </si>
  <si>
    <t>EDUCVH</t>
  </si>
  <si>
    <t>2IDOX3</t>
  </si>
  <si>
    <t>1.1CORREIA BLANCO/JULIANA MRS</t>
  </si>
  <si>
    <t>2.1GLASER/BRUNO LUIS MR</t>
  </si>
  <si>
    <t>495D67</t>
  </si>
  <si>
    <t>DA ROCHA CRUZ/SONIA MARIA MRS</t>
  </si>
  <si>
    <t>75JDLJ</t>
  </si>
  <si>
    <t>487F26</t>
  </si>
  <si>
    <t>LOPES BORIN/LUCIMAR</t>
  </si>
  <si>
    <t>LOPES QUARESMA/ANA MARIA</t>
  </si>
  <si>
    <t>SOUTO BORGES PETROS/MARILENA</t>
  </si>
  <si>
    <t>4ZRTLD</t>
  </si>
  <si>
    <t>BATISTA/DIEGO</t>
  </si>
  <si>
    <t>CANGIANI/JULIO CESAR</t>
  </si>
  <si>
    <t>CORDEIRO/GEOVANI</t>
  </si>
  <si>
    <t>MORAES/JOAQUIM</t>
  </si>
  <si>
    <t>VENERI/AGNALDO</t>
  </si>
  <si>
    <t>26BZOQ</t>
  </si>
  <si>
    <t>luciane.takaki@rexturadvance.com.br</t>
  </si>
  <si>
    <t>cleber.luciano@rexturadvance.com.br</t>
  </si>
  <si>
    <t>nap // fco</t>
  </si>
  <si>
    <t>Luciane Takaki</t>
  </si>
  <si>
    <t>ANGELONI CASTELAN/RAFAEL MR</t>
  </si>
  <si>
    <t>MICHELE SIMON/SAMARA MRS</t>
  </si>
  <si>
    <t>2GCMN8</t>
  </si>
  <si>
    <t>flavio.freitas@rexturadvance.com.br</t>
  </si>
  <si>
    <t xml:space="preserve">Paris </t>
  </si>
  <si>
    <t>FONSECA TOMAZ</t>
  </si>
  <si>
    <t>LIKON TOMAZ</t>
  </si>
  <si>
    <t>3TYX28</t>
  </si>
  <si>
    <t>FREITAS/ARACELE MRS</t>
  </si>
  <si>
    <t>WHJZPM</t>
  </si>
  <si>
    <t>2BOFDZ</t>
  </si>
  <si>
    <t>OLIVIERI/ALEXANDRE</t>
  </si>
  <si>
    <t>Rafael Teixeira</t>
  </si>
  <si>
    <t>0DE-EFDC61C8B0E0</t>
  </si>
  <si>
    <t>NEVES/MARIANA</t>
  </si>
  <si>
    <t>OLIVIERI/JULIA</t>
  </si>
  <si>
    <t>KDYJAO</t>
  </si>
  <si>
    <t>38F94E</t>
  </si>
  <si>
    <t>RODRIGUES DE ALMEIDA/THOMAS</t>
  </si>
  <si>
    <t>SOARES/JULIANA APARECIDA</t>
  </si>
  <si>
    <t>IHMWPO</t>
  </si>
  <si>
    <t>47ZBQF</t>
  </si>
  <si>
    <t>CEO CVC</t>
  </si>
  <si>
    <t>GODINHO/FABIO</t>
  </si>
  <si>
    <t>GCFENK</t>
  </si>
  <si>
    <t>47WKLQ</t>
  </si>
  <si>
    <t>anagoncalves@rexturadvance.com.br</t>
  </si>
  <si>
    <t>SEVERINE/MARCOS</t>
  </si>
  <si>
    <t>PECANHA SEVERINE/ADRIANA</t>
  </si>
  <si>
    <t>4IOXAJ</t>
  </si>
  <si>
    <t>MARTINS RAMOS/LEONARDO</t>
  </si>
  <si>
    <t xml:space="preserve">OLIVEIRA SANTOS/FERNANDO MATEUS </t>
  </si>
  <si>
    <t>4KGAFA</t>
  </si>
  <si>
    <t>alessandra.martins@esferatur.com.br</t>
  </si>
  <si>
    <t>SCOTON MARCHESE/BRUNA</t>
  </si>
  <si>
    <t>236TJ3</t>
  </si>
  <si>
    <t>SERENA DE ANDRADE/EDUARDO MR</t>
  </si>
  <si>
    <t>4ZQWXH</t>
  </si>
  <si>
    <t>FWBITS</t>
  </si>
  <si>
    <t>43NBTY</t>
  </si>
  <si>
    <t>NARDI SIQUEIRA/ALLAN</t>
  </si>
  <si>
    <t>MTFZJI</t>
  </si>
  <si>
    <t>2F7ZX9</t>
  </si>
  <si>
    <t>POUSADA/MARCILIO</t>
  </si>
  <si>
    <t>JJXJXH</t>
  </si>
  <si>
    <t>2PMPPZ</t>
  </si>
  <si>
    <t>FONTOURA/YUNA</t>
  </si>
  <si>
    <t>LGOLRS</t>
  </si>
  <si>
    <t>3RAU8T</t>
  </si>
  <si>
    <t>Goodwill</t>
  </si>
  <si>
    <t>PRESTES CARNEIRO/LUIZ EURIBEL</t>
  </si>
  <si>
    <t>OROFRV</t>
  </si>
  <si>
    <t>3RBF6O</t>
  </si>
  <si>
    <t>FERREIRA PRADO/ALEX ISIDORO</t>
  </si>
  <si>
    <t>MHDNEI</t>
  </si>
  <si>
    <t>27AXOE</t>
  </si>
  <si>
    <t>Assentos</t>
  </si>
  <si>
    <t>VEIGA/ALEXANDRE</t>
  </si>
  <si>
    <t>VEIGA/HELOISA</t>
  </si>
  <si>
    <t>3UZO7C</t>
  </si>
  <si>
    <t>arnaldo.rodrigues@rexturadvance.com.br</t>
  </si>
  <si>
    <t>CONRICUS/DANIEL RICHARD DAVID</t>
  </si>
  <si>
    <t>3WWVP4</t>
  </si>
  <si>
    <t>CAPOBIANCO SILVA/IAN</t>
  </si>
  <si>
    <t>RODRIGUES SILVA/JANIO</t>
  </si>
  <si>
    <t>FJVFCM</t>
  </si>
  <si>
    <t>3EADPO</t>
  </si>
  <si>
    <t>DAGOSTINI/SERGIO MR</t>
  </si>
  <si>
    <t>4MP3IX</t>
  </si>
  <si>
    <t>adailton.lima@rexturadvance.com.br</t>
  </si>
  <si>
    <t xml:space="preserve">STERN/MARIA CRISTINA </t>
  </si>
  <si>
    <t>STERN/ROBERTO</t>
  </si>
  <si>
    <t>SRCHKZ</t>
  </si>
  <si>
    <t>4R2VX7</t>
  </si>
  <si>
    <t>nue</t>
  </si>
  <si>
    <t>CID DOS SANTOS/VALERIA</t>
  </si>
  <si>
    <t>4VUMKD</t>
  </si>
  <si>
    <t>pax emitiu 02 bilhetes 4rJ8TX</t>
  </si>
  <si>
    <t>DUB</t>
  </si>
  <si>
    <t>Paula</t>
  </si>
  <si>
    <t>MELLO/MARIANA RODRIGUES MRS</t>
  </si>
  <si>
    <t>talitaalves@cvccorp.com.br</t>
  </si>
  <si>
    <t>STERN/MARIA CRISTINA</t>
  </si>
  <si>
    <t>Ação comercial</t>
  </si>
  <si>
    <t>2LJXYN</t>
  </si>
  <si>
    <t>bcn</t>
  </si>
  <si>
    <t>VACCARO FARIAS LIMA/TALITA</t>
  </si>
  <si>
    <t>2MOUR6</t>
  </si>
  <si>
    <t>DE SOUZA MOURA/MARCELO MR</t>
  </si>
  <si>
    <t>SPPHNZ</t>
  </si>
  <si>
    <t>2UM9WF</t>
  </si>
  <si>
    <t>danielle.parascandalo@rexturadvance.com.br</t>
  </si>
  <si>
    <t>1D</t>
  </si>
  <si>
    <t>VELOSO/VALERIA MRS</t>
  </si>
  <si>
    <t>VELOSO/JESSE MR</t>
  </si>
  <si>
    <t>VELOSO/MARIANA MRS</t>
  </si>
  <si>
    <t>VELOSO/MARIA CLARA MRS</t>
  </si>
  <si>
    <t>OSVEKX</t>
  </si>
  <si>
    <t>3R5OSC</t>
  </si>
  <si>
    <t>MUSA COSTA BRAVO/EDUARDO</t>
  </si>
  <si>
    <t>2ZJ2I9</t>
  </si>
  <si>
    <t>PEREIRA/LUCAS</t>
  </si>
  <si>
    <t>811DMK</t>
  </si>
  <si>
    <t>erro sistema galileo e Reserva fácil</t>
  </si>
  <si>
    <t>FRAZAO FILHO/PEDRO AMERICOMR</t>
  </si>
  <si>
    <t>39SGK3</t>
  </si>
  <si>
    <t>CEO CVCCORP</t>
  </si>
  <si>
    <t>MARTINELLI GODINHO/FABIO MR</t>
  </si>
  <si>
    <t>RORATO/PAULA MRS(</t>
  </si>
  <si>
    <t>3WWBYJ</t>
  </si>
  <si>
    <t>MURASUGI/KAYAKO</t>
  </si>
  <si>
    <t>2MLIUJ</t>
  </si>
  <si>
    <t>KRK</t>
  </si>
  <si>
    <t>DE SOUZA/FABIO JOAO</t>
  </si>
  <si>
    <t>JUOTME</t>
  </si>
  <si>
    <t>2LXOWC</t>
  </si>
  <si>
    <t>1STARLING/DANNIELLE MRS</t>
  </si>
  <si>
    <t>GJYYOQ</t>
  </si>
  <si>
    <t>3GK89Y</t>
  </si>
  <si>
    <t xml:space="preserve">CDG GIG </t>
  </si>
  <si>
    <t>Rodrigo Esrevam</t>
  </si>
  <si>
    <t>ANDREAZZA/ANA MARIA</t>
  </si>
  <si>
    <t>JMRMBM</t>
  </si>
  <si>
    <t>2GQIZ9</t>
  </si>
  <si>
    <t>AZEVEDO FURTADO/BARBARA MRS</t>
  </si>
  <si>
    <t xml:space="preserve">gig cdg gig </t>
  </si>
  <si>
    <t>MMOHHL</t>
  </si>
  <si>
    <t>2WS3ZG</t>
  </si>
  <si>
    <t>BECKER/ISABEL MRS</t>
  </si>
  <si>
    <t>KEQUKQ</t>
  </si>
  <si>
    <t>2SKTBG</t>
  </si>
  <si>
    <t>35GV5J</t>
  </si>
  <si>
    <t>GARCIA/CESAR</t>
  </si>
  <si>
    <t>GARCIA/LUCIANO</t>
  </si>
  <si>
    <t>3CBZ6A</t>
  </si>
  <si>
    <t>MPL</t>
  </si>
  <si>
    <t>LIMA LOMBARDO/ANA PAULA</t>
  </si>
  <si>
    <t>8MBGSH</t>
  </si>
  <si>
    <t>3HFS5F</t>
  </si>
  <si>
    <t xml:space="preserve"> 1.1ROSA DA SILVA/SIDNEYMR</t>
  </si>
  <si>
    <t>8HD9QS</t>
  </si>
  <si>
    <t>46BOUR</t>
  </si>
  <si>
    <t>simone.bocchi@rexturadvance.com.br</t>
  </si>
  <si>
    <t>ERRO CCO</t>
  </si>
  <si>
    <t>Danielle</t>
  </si>
  <si>
    <t xml:space="preserve">SEZERINO/PABLOMR </t>
  </si>
  <si>
    <t>3IKZBL</t>
  </si>
  <si>
    <t>camila.turatti@esferatur.com.br</t>
  </si>
  <si>
    <t>site da cia mais barato</t>
  </si>
  <si>
    <t>mla</t>
  </si>
  <si>
    <t>ALTENFELDER/TAMARA</t>
  </si>
  <si>
    <t xml:space="preserve">SEZERINO/PABLOMR        </t>
  </si>
  <si>
    <t>3NB2YL</t>
  </si>
  <si>
    <t>marciaferreira@cvccorp.com.br</t>
  </si>
  <si>
    <t>AGENCIA QUER TENTAR UMA REDUÇÃO POIS SAO 5 PASSAGEIROS DA MESMA FAMILIA</t>
  </si>
  <si>
    <t>JABALI PEDREIRA LEAL/SUSANA</t>
  </si>
  <si>
    <t>MOREIRA LEAL/CARLOS ALBERTO</t>
  </si>
  <si>
    <t>3NAKXR</t>
  </si>
  <si>
    <t>PEDREIRA LEAL/ISABELLA</t>
  </si>
  <si>
    <t>3NBHVE</t>
  </si>
  <si>
    <t>AGENCIA TEM OUTRO LOC DA MESMA FAMILIA E GOSTARIA IGUALAR A TARIFA</t>
  </si>
  <si>
    <t>BORDIN D AZEVEDO CRUZ/VICTOR</t>
  </si>
  <si>
    <t>AGENCIA SOL REDUÇÃO POIS SAO 5 PASSAGEIROS DA MESMA FAMILIA</t>
  </si>
  <si>
    <t>PEDREIRA LEAL/JULIANA</t>
  </si>
  <si>
    <t>Venda</t>
  </si>
  <si>
    <t>Talita Alves</t>
  </si>
  <si>
    <t>FCOGRU</t>
  </si>
  <si>
    <t>IWBVKW</t>
  </si>
  <si>
    <t>4B39IX</t>
  </si>
  <si>
    <t>Gessana</t>
  </si>
  <si>
    <t>7D5-6190117FA6EB</t>
  </si>
  <si>
    <t>FELMANAS/MARCELO</t>
  </si>
  <si>
    <t>MARQUES FELMANAS/KARLA</t>
  </si>
  <si>
    <t>3ND94O</t>
  </si>
  <si>
    <t>vivianeregina@cvccorp.com.br</t>
  </si>
  <si>
    <t>CVC B2C</t>
  </si>
  <si>
    <t>LIMA E SILVA/MARIA DE FATIMA</t>
  </si>
  <si>
    <t>LUCENA DO AMARAL/GISELE</t>
  </si>
  <si>
    <t>4OC8LQ</t>
  </si>
  <si>
    <t>Thamires</t>
  </si>
  <si>
    <t>D48-9BFF5B667A96</t>
  </si>
  <si>
    <t>MORALES NETTO/NATHIELE MRS</t>
  </si>
  <si>
    <t>JAEPCP</t>
  </si>
  <si>
    <t>4UQL2W</t>
  </si>
  <si>
    <t>PHK</t>
  </si>
  <si>
    <t>Ana Gonçalves</t>
  </si>
  <si>
    <t xml:space="preserve">SANTANA/JOSIANE DE SOUZA </t>
  </si>
  <si>
    <t>MUOVPO</t>
  </si>
  <si>
    <t>4USPIN</t>
  </si>
  <si>
    <t>WOIOAR</t>
  </si>
  <si>
    <t>2JMDBZ</t>
  </si>
  <si>
    <t>pax vendo no site, sem rc e sem rav</t>
  </si>
  <si>
    <t>STEINBRUCH/LEO</t>
  </si>
  <si>
    <t>WCQVWA</t>
  </si>
  <si>
    <t>2I57GE</t>
  </si>
  <si>
    <t>FONSECA/ALEXANDRE MR</t>
  </si>
  <si>
    <t>EFIHTG</t>
  </si>
  <si>
    <t>2GDTYU</t>
  </si>
  <si>
    <t>Tati Amaral</t>
  </si>
  <si>
    <t>HONDA/LIEGE AKEMI</t>
  </si>
  <si>
    <t>YJXFOJ</t>
  </si>
  <si>
    <t>3OCJAU</t>
  </si>
  <si>
    <t>DE OLIVEIRA/MARCOS EDUARDO</t>
  </si>
  <si>
    <t xml:space="preserve">Rafael </t>
  </si>
  <si>
    <t>41C-06BBE246C006</t>
  </si>
  <si>
    <t>8QM2G4</t>
  </si>
  <si>
    <t>2IZEXT</t>
  </si>
  <si>
    <t>PEREIRA DE SOUZA/THAYSON</t>
  </si>
  <si>
    <t>3LY9M4</t>
  </si>
  <si>
    <t>kivanfloiz@cvccorp.com.br</t>
  </si>
  <si>
    <t>DONATO/ANA MARIA</t>
  </si>
  <si>
    <t>3LKT6K</t>
  </si>
  <si>
    <t>BRASIL DA SILVA/EDSON</t>
  </si>
  <si>
    <t>PRATA BRASIL/JOSIANE</t>
  </si>
  <si>
    <t>PRATA BRASIL/LUCAS</t>
  </si>
  <si>
    <t>RODRIGUES BRASIL/JULIA SAPEDE</t>
  </si>
  <si>
    <t>24LMZE</t>
  </si>
  <si>
    <t>Rafa Vieira</t>
  </si>
  <si>
    <t xml:space="preserve">GOODWILL </t>
  </si>
  <si>
    <t>OLIVEIRA/CLAUDIO EDUARDO</t>
  </si>
  <si>
    <t>2LRIDS</t>
  </si>
  <si>
    <t>eltonsegati@rexturadvance.com.br</t>
  </si>
  <si>
    <t>Elton Segatti</t>
  </si>
  <si>
    <t>Penalty</t>
  </si>
  <si>
    <t>SERGE ROMAND/OLIVIER NICOLAS MR</t>
  </si>
  <si>
    <t>GKVOWU</t>
  </si>
  <si>
    <t>4M2VKI</t>
  </si>
  <si>
    <t>monica.hirt@rexturadvance.com.br</t>
  </si>
  <si>
    <t>AA9-7FE884FBDDE3</t>
  </si>
  <si>
    <t>ROSENFELD CREIMER/MARINA</t>
  </si>
  <si>
    <t>25RQJH</t>
  </si>
  <si>
    <t>E39-60C8908F98F6</t>
  </si>
  <si>
    <t xml:space="preserve">AMADO/DENISE </t>
  </si>
  <si>
    <t>AMADO/STEPHANIE</t>
  </si>
  <si>
    <t>4HJXHJ</t>
  </si>
  <si>
    <t>L8AAMN</t>
  </si>
  <si>
    <t>ARAUJO PETERSON/PEDRO</t>
  </si>
  <si>
    <t>VISHNEVSKY NETO/VICTOR</t>
  </si>
  <si>
    <t>ORDHYO</t>
  </si>
  <si>
    <t>4BZMDO</t>
  </si>
  <si>
    <t>Rogério Mateus</t>
  </si>
  <si>
    <t>GoodWill</t>
  </si>
  <si>
    <t>ALVES/LEONARDO MR</t>
  </si>
  <si>
    <t xml:space="preserve">VISHNEVSKY NETO/VICTOR  </t>
  </si>
  <si>
    <t>KGGACY</t>
  </si>
  <si>
    <t>4TSD7F</t>
  </si>
  <si>
    <t>QUIROGA/GISELE MRS</t>
  </si>
  <si>
    <t>MARTIN QUIROGA/RUY MR</t>
  </si>
  <si>
    <t>3JJO8R</t>
  </si>
  <si>
    <t>dalva.goncalves@rexturadvance.com.br</t>
  </si>
  <si>
    <t>Gessana Macedo</t>
  </si>
  <si>
    <t>383-3412544CAFA0</t>
  </si>
  <si>
    <t>EISENBERG GOLDMAN/ELISHEVA SOPHIE</t>
  </si>
  <si>
    <t>3JJ5R3</t>
  </si>
  <si>
    <t>RAK</t>
  </si>
  <si>
    <t>2B7-720EF4B6564F</t>
  </si>
  <si>
    <t>ZURAVEIN/RAFAEL MR</t>
  </si>
  <si>
    <t>2I2LK7</t>
  </si>
  <si>
    <t>rom</t>
  </si>
  <si>
    <t>LOPES ROCHA FILHO/CLAUDIO</t>
  </si>
  <si>
    <t>MEDAUAR ROCHA/DENISE</t>
  </si>
  <si>
    <t>MUKJCF</t>
  </si>
  <si>
    <t>2TLVKQ</t>
  </si>
  <si>
    <t>0572872675387</t>
  </si>
  <si>
    <t>0574216445537</t>
  </si>
  <si>
    <t>BASSANI/SILVIA</t>
  </si>
  <si>
    <t>0572872675389</t>
  </si>
  <si>
    <t>0574216445538</t>
  </si>
  <si>
    <t>PIZANI/MARCELO</t>
  </si>
  <si>
    <t>3OXVBS</t>
  </si>
  <si>
    <t>jucivania.santos@rexturadvance.com.br</t>
  </si>
  <si>
    <t>ATTOSO FERNANDES/PAULO JOSE</t>
  </si>
  <si>
    <t>4Y6DD5</t>
  </si>
  <si>
    <t>5C4-653D52CA914C</t>
  </si>
  <si>
    <t>ARY DUQUE/LOUISE</t>
  </si>
  <si>
    <t>0574216445563</t>
  </si>
  <si>
    <t>GOIS RODRIGUES/JONATAS</t>
  </si>
  <si>
    <t>47XRVB</t>
  </si>
  <si>
    <t>4C1-AB06C68A23C6</t>
  </si>
  <si>
    <t>SILVA LOUZA/EMMANUELE</t>
  </si>
  <si>
    <t>MQGVLF</t>
  </si>
  <si>
    <t>2DRG4O</t>
  </si>
  <si>
    <t>WOJDYSLAWSKI/PHILLIP</t>
  </si>
  <si>
    <t xml:space="preserve"> 1.ZURAVEIN/RAFAEL MR</t>
  </si>
  <si>
    <t>0576373443972        </t>
  </si>
  <si>
    <t>39F-C1DD5C4B9CDD</t>
  </si>
  <si>
    <t>ZURAVEIN/RAFAEL</t>
  </si>
  <si>
    <t>0576373444006        </t>
  </si>
  <si>
    <t>YDJTMA</t>
  </si>
  <si>
    <t>3YJSMQ</t>
  </si>
  <si>
    <t>kalina.barbosa@rexturadvance.com.br</t>
  </si>
  <si>
    <t>50E-F2C4A173C0A4</t>
  </si>
  <si>
    <t>VICENTE BOMFIM FILHO/SEBASTIAO</t>
  </si>
  <si>
    <t>AMNPGC</t>
  </si>
  <si>
    <t>0576373455553-554</t>
  </si>
  <si>
    <t>Eduardo Moraes</t>
  </si>
  <si>
    <t>5FF-4D244C381978</t>
  </si>
  <si>
    <t>MORENO/CARLOS MR</t>
  </si>
  <si>
    <t>3SML5P</t>
  </si>
  <si>
    <t xml:space="preserve">3SML5P </t>
  </si>
  <si>
    <t>Leticia Curado</t>
  </si>
  <si>
    <t>906-535447CC7602</t>
  </si>
  <si>
    <t>CARDOSO/JANE</t>
  </si>
  <si>
    <t>A2BXUL</t>
  </si>
  <si>
    <t>fabioramoscosta@cvccorp.com.br</t>
  </si>
  <si>
    <t xml:space="preserve">DESOUZA MACHADO/ANA CRISTINA </t>
  </si>
  <si>
    <t>DESOUZA MACHADO/ANA CRISTINA</t>
  </si>
  <si>
    <t>1.DESOUZA MACHADO/ANA CRISTINA MRS(ADT/27DEC44)</t>
  </si>
  <si>
    <t>2.PEREIRA LEITE/SERGIO MR(ADT/22SEP46)</t>
  </si>
  <si>
    <t>33XAKS</t>
  </si>
  <si>
    <t>klisnna.rodrigues@rexturadvance.com.br</t>
  </si>
  <si>
    <t>OSL</t>
  </si>
  <si>
    <t>E30-A1BCBBB7B2A6</t>
  </si>
  <si>
    <t>JABUR ABRAHAO/LUISA MRS</t>
  </si>
  <si>
    <t>WXTSKB</t>
  </si>
  <si>
    <t>AVCS8T</t>
  </si>
  <si>
    <t>EVAIJX</t>
  </si>
  <si>
    <t>AMZGM5</t>
  </si>
  <si>
    <t>mateus.fontoura@esferatur.com.br</t>
  </si>
  <si>
    <t>FBA-108B71EFD7EB</t>
  </si>
  <si>
    <t>PENNACCHI RIBEIRO/ENZO PAULO HERMINIO</t>
  </si>
  <si>
    <t>PENNACCHI NETO/PAULO HERMINIO</t>
  </si>
  <si>
    <t>ESIPAE</t>
  </si>
  <si>
    <t>AN2ZXP</t>
  </si>
  <si>
    <t>DD3-B429FE5A7270</t>
  </si>
  <si>
    <t>PENNACCHI/PAULO HERMINIO</t>
  </si>
  <si>
    <t>ZANIN PENNACCHI/MARIA CLEIDE</t>
  </si>
  <si>
    <t>BE8BTA</t>
  </si>
  <si>
    <t>rodrigo.estevam@rexturadvance.com.br</t>
  </si>
  <si>
    <r>
      <t>137-86F2479C6658</t>
    </r>
    <r>
      <rPr>
        <sz val="10"/>
        <color rgb="FF002451"/>
        <rFont val="Arial"/>
        <charset val="1"/>
      </rPr>
      <t>.</t>
    </r>
  </si>
  <si>
    <t>BUNDSCHUH/	 LEILA</t>
  </si>
  <si>
    <t>CNYEHP</t>
  </si>
  <si>
    <t>DE MACEDO SOARES/MARIA EMILIA</t>
  </si>
  <si>
    <t>2GQ3RM</t>
  </si>
  <si>
    <t>mariaberto@rexturadvance.com.br</t>
  </si>
  <si>
    <t>TANSINI/KATHLEEN</t>
  </si>
  <si>
    <t>22YIKI</t>
  </si>
  <si>
    <t>R66K35</t>
  </si>
  <si>
    <t>robertacouto@rexturadvance.com.br</t>
  </si>
  <si>
    <t>reemitido direto pela AF</t>
  </si>
  <si>
    <t>FASCIOLO/ROSA MARIA</t>
  </si>
  <si>
    <t>CNM3T7</t>
  </si>
  <si>
    <t>sabrinasoares@rexturadvance.com.br</t>
  </si>
  <si>
    <t>MONQUEIRO COUTO/BRUNO</t>
  </si>
  <si>
    <t>MONQUEIRO COUTO/CAROLINA</t>
  </si>
  <si>
    <t>MONQUEIRO COUTO/PATRICIA</t>
  </si>
  <si>
    <t>22RB85</t>
  </si>
  <si>
    <t>PEREIRA ROMANO/FERNANDA</t>
  </si>
  <si>
    <t>11B-2A8C1D0491BE</t>
  </si>
  <si>
    <t xml:space="preserve"> 60A-12E925F38EDC</t>
  </si>
  <si>
    <t>AIJ223</t>
  </si>
  <si>
    <t>YTKPMD</t>
  </si>
  <si>
    <t xml:space="preserve"> 1.COUTINHO CALHEIROS/GUILHERME(ADT)</t>
  </si>
  <si>
    <t>A98ZDI</t>
  </si>
  <si>
    <t>ADC-EECBB49BA89D</t>
  </si>
  <si>
    <t>FIUZA DE CARVALHO/MARCOS</t>
  </si>
  <si>
    <t>SOBRAL DE CARVALHO/SABINE GISELLE</t>
  </si>
  <si>
    <t>CCSFJG</t>
  </si>
  <si>
    <t>David Felix</t>
  </si>
  <si>
    <t>414-324F25977163</t>
  </si>
  <si>
    <t>DE CASTRO CAVALCANTE/MONICA</t>
  </si>
  <si>
    <t>VIEIRA CAVALCANTE/CARLOS ERNESTO</t>
  </si>
  <si>
    <t>CBTLX9</t>
  </si>
  <si>
    <t>gig</t>
  </si>
  <si>
    <t>PETROVIC/ALEKSANDAR MR</t>
  </si>
  <si>
    <t xml:space="preserve">BQLVRM </t>
  </si>
  <si>
    <t>X3LAS9</t>
  </si>
  <si>
    <t>elisangela.rigobello@rexturadvance.com.br</t>
  </si>
  <si>
    <t>D6B-67F979D7B8C7</t>
  </si>
  <si>
    <t>BRUNER/CARLOS EDUARDO</t>
  </si>
  <si>
    <t>PIOVESANGUZELLA/JOAO PAULO</t>
  </si>
  <si>
    <t>C9EAB6</t>
  </si>
  <si>
    <t xml:space="preserve">DA COSTA JARDIM FRARE/RENATA </t>
  </si>
  <si>
    <t>RARE/LUIZ ADRIANO</t>
  </si>
  <si>
    <t>B3QWM2</t>
  </si>
  <si>
    <t>SASSAKI/FABIO</t>
  </si>
  <si>
    <t>CHOEER</t>
  </si>
  <si>
    <t>AKZ9KX</t>
  </si>
  <si>
    <t>F0E-0F2E28663A08</t>
  </si>
  <si>
    <t>SHPAISMAN/RAN MR</t>
  </si>
  <si>
    <t>SHPAISMAN/ESTELA MRS</t>
  </si>
  <si>
    <t>B5ZOBK</t>
  </si>
  <si>
    <t xml:space="preserve">
0572681262504</t>
  </si>
  <si>
    <t>PIRES VAZ/MARIA LUIZA</t>
  </si>
  <si>
    <t>AZ9WP9</t>
  </si>
  <si>
    <t>1AE-F09554B9E606</t>
  </si>
  <si>
    <t>DOS SANTOS EUSEBIO/RAFAEL MR</t>
  </si>
  <si>
    <t>FERREIRA/FABIO FERNANDO MR(</t>
  </si>
  <si>
    <t>MIGUEL/LEANDRO ELIAS MR</t>
  </si>
  <si>
    <t>SILVA REIS/ALINE CRISTINA MRS</t>
  </si>
  <si>
    <t>CKDAP4</t>
  </si>
  <si>
    <t>GRU/JMK</t>
  </si>
  <si>
    <t xml:space="preserve">MURAD/BRUNA </t>
  </si>
  <si>
    <t>UETDDH</t>
  </si>
  <si>
    <t>CKDG4O</t>
  </si>
  <si>
    <t>ELIAS KESSLER DE AZEVEDO/MANUELA</t>
  </si>
  <si>
    <t>CM9NLX</t>
  </si>
  <si>
    <t>MURAD/BRUNA</t>
  </si>
  <si>
    <t>CVHTJY</t>
  </si>
  <si>
    <t>ABFR4T</t>
  </si>
  <si>
    <t>IST</t>
  </si>
  <si>
    <t>SALES BORGES/CESAR MR</t>
  </si>
  <si>
    <t>DIAS DA SILVA/RUBIA MRS</t>
  </si>
  <si>
    <t>AE97QZ</t>
  </si>
  <si>
    <t>AE97QZ  </t>
  </si>
  <si>
    <t>35F-4A91A0B4ED75</t>
  </si>
  <si>
    <t>ARAUJO/MIGUEL ALEXANDRE RIBEIRO DE MR</t>
  </si>
  <si>
    <t>AO5TR9</t>
  </si>
  <si>
    <t>YZ6TW7</t>
  </si>
  <si>
    <t>SOL COMERCIAL</t>
  </si>
  <si>
    <t>7B3-4494C87F15F7</t>
  </si>
  <si>
    <t>PAES BARRETO/SOFIA</t>
  </si>
  <si>
    <t xml:space="preserve">YZ6TW7PAES BARRETO/SOFIA - REEMITIDO PELA AFKL </t>
  </si>
  <si>
    <t>BUJONI</t>
  </si>
  <si>
    <t>X7F8WY</t>
  </si>
  <si>
    <t>0EF-02D6F1993E58</t>
  </si>
  <si>
    <t>GOMES DA SILVA/SARAH</t>
  </si>
  <si>
    <t>BVK5CS</t>
  </si>
  <si>
    <t>X8E4GY</t>
  </si>
  <si>
    <t>Rogérios Mateus</t>
  </si>
  <si>
    <t>0A4-0934CB8DF479</t>
  </si>
  <si>
    <t>BNBHLN</t>
  </si>
  <si>
    <t>lilian.araujo@esferatur.com.br</t>
  </si>
  <si>
    <t>90A-8AA48970DFD9</t>
  </si>
  <si>
    <t>KELIS JUNIOR/ROBERTO</t>
  </si>
  <si>
    <t>QUEIROZ DE AGUIAR/MARIA CHRISTINA</t>
  </si>
  <si>
    <t>ALR7EY</t>
  </si>
  <si>
    <t>A82-DDB92FB5D77B</t>
  </si>
  <si>
    <t>LIMA DA COSTA/JOSE ANTONIO MR</t>
  </si>
  <si>
    <t>BGF8BC</t>
  </si>
  <si>
    <t>ZR6PJ3</t>
  </si>
  <si>
    <t>SANTOS/REUEL</t>
  </si>
  <si>
    <t>par</t>
  </si>
  <si>
    <t>Leticia</t>
  </si>
  <si>
    <t>A6B-2C234319E2CA</t>
  </si>
  <si>
    <t>BGDNWJ</t>
  </si>
  <si>
    <t>ZR5M3P</t>
  </si>
  <si>
    <t>paris</t>
  </si>
  <si>
    <t>MAGALHAES/PRISCILA</t>
  </si>
  <si>
    <t>APXTBS</t>
  </si>
  <si>
    <t>2ANNUM</t>
  </si>
  <si>
    <t>MULTA REEMBOLSO</t>
  </si>
  <si>
    <t>50B-7A51B7FEF871</t>
  </si>
  <si>
    <t>SALIES/JOFFRE</t>
  </si>
  <si>
    <t>BE3VIU</t>
  </si>
  <si>
    <t>renata.kneipp@rexturadvance.com.br</t>
  </si>
  <si>
    <t>939-CBB33BB342E7</t>
  </si>
  <si>
    <t>LAJST/DIEGO</t>
  </si>
  <si>
    <t>AW8W3N</t>
  </si>
  <si>
    <t>Z8YFXU</t>
  </si>
  <si>
    <t>leticia.spirlandelli@rexturadvance.com.br</t>
  </si>
  <si>
    <t>zrh</t>
  </si>
  <si>
    <t>Ricardo Brighenti</t>
  </si>
  <si>
    <t>16C-12510D35405D</t>
  </si>
  <si>
    <t>ELEUTERIO/MARIA GRAZIELLA</t>
  </si>
  <si>
    <t>ELEUTERIO FILHO/SEBASTIAO</t>
  </si>
  <si>
    <t>4C2ZW5</t>
  </si>
  <si>
    <t>leaalegre@rexturadvance.com.br</t>
  </si>
  <si>
    <t>AGUILANIU/HUGO MR</t>
  </si>
  <si>
    <t>BJZQDU</t>
  </si>
  <si>
    <t>ZUP5Y5</t>
  </si>
  <si>
    <t>sao</t>
  </si>
  <si>
    <t>C2A-780C53893896</t>
  </si>
  <si>
    <t>PACHECO SILVA/KARINA</t>
  </si>
  <si>
    <t>SCHMIDT/WERNER</t>
  </si>
  <si>
    <t xml:space="preserve"> C9QJWD</t>
  </si>
  <si>
    <t>C9QJWD</t>
  </si>
  <si>
    <t>8D5-5C6A494D5823</t>
  </si>
  <si>
    <t>VALLONE/CAMILA MRS</t>
  </si>
  <si>
    <t>AJX43L</t>
  </si>
  <si>
    <t>evangivaldo.campos@rexturadvance.com.br</t>
  </si>
  <si>
    <t>SSA/CDG/SSA</t>
  </si>
  <si>
    <t>BDB-0BFC631B9B3E</t>
  </si>
  <si>
    <t>MESQUITA MARTINS H CAVALCANTI/DIANA</t>
  </si>
  <si>
    <t>PEREIRA SANTOS/CRISTINA</t>
  </si>
  <si>
    <t>WAILES DE HOLANDA CAVALCANTI/ALLAN</t>
  </si>
  <si>
    <t>LQGICN</t>
  </si>
  <si>
    <t>BASMOH</t>
  </si>
  <si>
    <t>eduardo.francelino@rexturadvance.com.br</t>
  </si>
  <si>
    <t>B0B-DBCA0FBC2013</t>
  </si>
  <si>
    <t>GOMES DA SILVA/JOAO VICTOR</t>
  </si>
  <si>
    <t>JOSYLX</t>
  </si>
  <si>
    <t>CJ7Z8E</t>
  </si>
  <si>
    <t>TRINDADE DA COSTA NETO/ANDRE</t>
  </si>
  <si>
    <t>CAOKP5</t>
  </si>
  <si>
    <t xml:space="preserve">TLS Ory </t>
  </si>
  <si>
    <t xml:space="preserve">MEDEIROS/MONICA </t>
  </si>
  <si>
    <t>MEDEIROS FILHO/AGUINALDO</t>
  </si>
  <si>
    <t>MEDEIROS SILVA/LAERCIO</t>
  </si>
  <si>
    <t>SILVA/ALICE MRS</t>
  </si>
  <si>
    <t>SILVA/LETICIA MRS</t>
  </si>
  <si>
    <t>SILVA NETO/LAERCIO MR</t>
  </si>
  <si>
    <t>B99I2U</t>
  </si>
  <si>
    <t>Rafa vieira</t>
  </si>
  <si>
    <t>112-531C59FEE42C</t>
  </si>
  <si>
    <t>ASFOUR/MAYADA</t>
  </si>
  <si>
    <t>B9BSEJ</t>
  </si>
  <si>
    <t>E0A-6D888C9EE771</t>
  </si>
  <si>
    <t>HUSSEIN ASFOUR/ALI</t>
  </si>
  <si>
    <t>HUSSEIN ASFOUR/LAMAR</t>
  </si>
  <si>
    <t>HUSSEIN ASFOUR/ZEINAB</t>
  </si>
  <si>
    <t>B9C3FR</t>
  </si>
  <si>
    <t>09B-80B308057764</t>
  </si>
  <si>
    <t>ALI ASFOUR/HUSSEIN</t>
  </si>
  <si>
    <t>IGFNGI</t>
  </si>
  <si>
    <t>APE52C</t>
  </si>
  <si>
    <t>juliebarboza@rexturadvance.com.br</t>
  </si>
  <si>
    <t>fidelização</t>
  </si>
  <si>
    <t>Danielle Parascandalo</t>
  </si>
  <si>
    <t>E-mail PC</t>
  </si>
  <si>
    <t>OLIVEIRA DOS SANTOS/JEFERSON</t>
  </si>
  <si>
    <t>A6SKAA</t>
  </si>
  <si>
    <t>CIMADON/ELAINE APARECIDA</t>
  </si>
  <si>
    <t>SALLES/RODOLFO BENEDITO</t>
  </si>
  <si>
    <t>LHVLMY</t>
  </si>
  <si>
    <t>ABCDFX</t>
  </si>
  <si>
    <t>MALAGUETA/ADIR ANTONIO</t>
  </si>
  <si>
    <t>19F-F701E3AEA703</t>
  </si>
  <si>
    <t>ZJEOOL</t>
  </si>
  <si>
    <t>D8E-B7144A616DBE</t>
  </si>
  <si>
    <t>BARROS DE LIMA/THIAGO</t>
  </si>
  <si>
    <t>YPLKEY</t>
  </si>
  <si>
    <t>AALI4N</t>
  </si>
  <si>
    <t>640-64AD4C223E9C</t>
  </si>
  <si>
    <t>ABRAHAO NETO/LUIS</t>
  </si>
  <si>
    <t>AAJR4H</t>
  </si>
  <si>
    <t>3DB-85526040DC27</t>
  </si>
  <si>
    <t>MONTALTO GLIKMANAS/MARINA</t>
  </si>
  <si>
    <t>Email Gessana</t>
  </si>
  <si>
    <t>26B-48EC9EA26825</t>
  </si>
  <si>
    <t>BU3VSJ</t>
  </si>
  <si>
    <t>X6HHWO</t>
  </si>
  <si>
    <t>ICN/AMS/GRU</t>
  </si>
  <si>
    <t>SANCHES FREITAS/RENAN</t>
  </si>
  <si>
    <t>A4LA6H</t>
  </si>
  <si>
    <t>taissa.lopes@rexturadvance.com.br</t>
  </si>
  <si>
    <t>KOSIAK POITEVIN/MICHELLE</t>
  </si>
  <si>
    <t>KOSIAK POITEVIN/SUELY DO ROCIO</t>
  </si>
  <si>
    <t>803-DA3624CB505A</t>
  </si>
  <si>
    <t>BC366Y</t>
  </si>
  <si>
    <t>ZMKZXP</t>
  </si>
  <si>
    <t>bruno.silva@rexturadvance.com.br</t>
  </si>
  <si>
    <t>Rafael Teixeira AF</t>
  </si>
  <si>
    <t xml:space="preserve"> 312-5EB25781A6E9</t>
  </si>
  <si>
    <t>DINIZ AGOSTINHO/DOMINIQUE</t>
  </si>
  <si>
    <t>BWNO6M</t>
  </si>
  <si>
    <t>X8TPH6</t>
  </si>
  <si>
    <t>evn</t>
  </si>
  <si>
    <t>5E0-E5F387A8CFB3</t>
  </si>
  <si>
    <t>CUOGHI PACINI/EDUARDO</t>
  </si>
  <si>
    <t>CUOGHI PRIETO/CYBELLE</t>
  </si>
  <si>
    <t>B97XPK</t>
  </si>
  <si>
    <t>PASSOS SILVA/ANDREA ALICE</t>
  </si>
  <si>
    <t>IBJUBI</t>
  </si>
  <si>
    <t>B4IA7P</t>
  </si>
  <si>
    <t>flr</t>
  </si>
  <si>
    <t>RAMOS FREDDI/MARIA RITA</t>
  </si>
  <si>
    <t>RAMOS/MARIA JOSE</t>
  </si>
  <si>
    <t>AQ3PA9</t>
  </si>
  <si>
    <t>BURLAMAQUI LYRA/RAPHAELLA</t>
  </si>
  <si>
    <t>DE OLIVEIRA LYRA FILHO/MILTON</t>
  </si>
  <si>
    <t>MIRANDA LYRA/DANIELA</t>
  </si>
  <si>
    <t>AXHJTM</t>
  </si>
  <si>
    <t>susan.audrey@rexturadvance.com.br</t>
  </si>
  <si>
    <t>GOTHARD/ROBERTO CARLOS</t>
  </si>
  <si>
    <t>GOTHARD/SONIA</t>
  </si>
  <si>
    <t>B2AUCM</t>
  </si>
  <si>
    <t>hellen.santos@rexturadvance.com.br</t>
  </si>
  <si>
    <t>Hellen Santos</t>
  </si>
  <si>
    <t>6DD-0263D67FA0D2</t>
  </si>
  <si>
    <t>DIAS VIDAL BONORA/ADRIANA</t>
  </si>
  <si>
    <t>YMTPBE</t>
  </si>
  <si>
    <t>CJ3G5A</t>
  </si>
  <si>
    <t>1BB-C204C6D72181</t>
  </si>
  <si>
    <t>DE ANGELI/RODRIGO</t>
  </si>
  <si>
    <t>JPLZSS</t>
  </si>
  <si>
    <t>A4OIY7</t>
  </si>
  <si>
    <t>A8KH3W</t>
  </si>
  <si>
    <t>YHAWV2</t>
  </si>
  <si>
    <t>DB4-305118EFEF68</t>
  </si>
  <si>
    <t>PISSINATTI DE ARRUDA/PRISCILA</t>
  </si>
  <si>
    <t>PISSINATTI DE ARRUDA/RAFAELA</t>
  </si>
  <si>
    <t>CQJNAI</t>
  </si>
  <si>
    <t>5EF-E211621FE3D8.</t>
  </si>
  <si>
    <t>BENETTI TISSOT/MAFALDA</t>
  </si>
  <si>
    <t>BLPBEJ</t>
  </si>
  <si>
    <r>
      <t>8F9-7C906745EC9A</t>
    </r>
    <r>
      <rPr>
        <sz val="10"/>
        <color rgb="FF002451"/>
        <rFont val="Arial"/>
        <charset val="1"/>
      </rPr>
      <t>.</t>
    </r>
  </si>
  <si>
    <t>SANTOS/MURILO MR</t>
  </si>
  <si>
    <t>CWYFNH</t>
  </si>
  <si>
    <t>CNF</t>
  </si>
  <si>
    <t>Leonardo Silva</t>
  </si>
  <si>
    <t>6A9-1B9BB0CE9262</t>
  </si>
  <si>
    <t>LOPES SOARES/MATEUS MR</t>
  </si>
  <si>
    <t>ORSZWO</t>
  </si>
  <si>
    <t>BQFW5X</t>
  </si>
  <si>
    <t>ROCHA/CARLOS EDUARDO</t>
  </si>
  <si>
    <t>VELLOSO AGUAS/ANA PAULA</t>
  </si>
  <si>
    <t>EOBHDS</t>
  </si>
  <si>
    <t>B9N45B</t>
  </si>
  <si>
    <t>SALAZAR SAUT/CESAR LUIZ</t>
  </si>
  <si>
    <t>OLIVEIRA FRAGA SAUT/LEILA</t>
  </si>
  <si>
    <t>CVFSVQ</t>
  </si>
  <si>
    <t>Y5STQ5</t>
  </si>
  <si>
    <t>B17-5B9B5B3AC3D2</t>
  </si>
  <si>
    <t>FARIAS DA SILVEIRA/GILSOMAR</t>
  </si>
  <si>
    <t>CXTR3W</t>
  </si>
  <si>
    <t>Y89OON</t>
  </si>
  <si>
    <t>BE8-A3303333C193</t>
  </si>
  <si>
    <t>BORGO/GILBERTO</t>
  </si>
  <si>
    <t>BNMHZ2</t>
  </si>
  <si>
    <t>MISCHIATTI BETHLEM/GABRIELA</t>
  </si>
  <si>
    <t>C8B7BI</t>
  </si>
  <si>
    <t>JORDAO BETHLEM JUNIOR/HUGO ANTONIO</t>
  </si>
  <si>
    <t>HFGSMT</t>
  </si>
  <si>
    <t xml:space="preserve">APWRHV </t>
  </si>
  <si>
    <t>208-131908FE805F</t>
  </si>
  <si>
    <t>ANDRADE/ELIANE</t>
  </si>
  <si>
    <t>AF2NE6</t>
  </si>
  <si>
    <t>YND6QS</t>
  </si>
  <si>
    <t>56C-CBCC19D06D0A</t>
  </si>
  <si>
    <t>PELEGRINA/ANNEY CAROLINE</t>
  </si>
  <si>
    <t>PELEGRINA/ANTONIO CARLOS</t>
  </si>
  <si>
    <t>AEOWCK</t>
  </si>
  <si>
    <t>YN6IM4</t>
  </si>
  <si>
    <t>67A-BBA12E672E70</t>
  </si>
  <si>
    <t>KHALIL/JORGE</t>
  </si>
  <si>
    <t>KHLAIL/SELMA</t>
  </si>
  <si>
    <t>AXUYAE</t>
  </si>
  <si>
    <t>Z899NF</t>
  </si>
  <si>
    <t>patricia.lobato@rexturadvance.com.br</t>
  </si>
  <si>
    <t>1DC-6D9208D1D756</t>
  </si>
  <si>
    <t>FERREIRA/JANAINA</t>
  </si>
  <si>
    <t>CZE8WD</t>
  </si>
  <si>
    <t>Y9TT8I</t>
  </si>
  <si>
    <t>DE OLIVEIRA VEIGA/MARIA RAQUEL</t>
  </si>
  <si>
    <t>DNVTPP</t>
  </si>
  <si>
    <t>AVOW6T</t>
  </si>
  <si>
    <t>GRU/CDG</t>
  </si>
  <si>
    <t>TIRABOSCHI/DANIEL</t>
  </si>
  <si>
    <t>CK6WOU</t>
  </si>
  <si>
    <t>82A-098FD9E5AF0F</t>
  </si>
  <si>
    <t>ALMEIDA PERIN/ALTAMIR APARECIDO</t>
  </si>
  <si>
    <t>AISBXG</t>
  </si>
  <si>
    <t>HAM</t>
  </si>
  <si>
    <t>NOGUEIRA SEILER/LILIAN MARQUES</t>
  </si>
  <si>
    <t>C9CQTP</t>
  </si>
  <si>
    <t>XHEDC9</t>
  </si>
  <si>
    <t>999-773E7788374</t>
  </si>
  <si>
    <t>VARGAS/ROBERTO RIBEIRO</t>
  </si>
  <si>
    <t>BPLZ7F</t>
  </si>
  <si>
    <t>14D-5AFC95026BD9</t>
  </si>
  <si>
    <t xml:space="preserve">AMORIM CARVALHO/MARIA NEIDE </t>
  </si>
  <si>
    <t>AP4ITR</t>
  </si>
  <si>
    <t>fernanda.acioli@rexturadvance.com.br</t>
  </si>
  <si>
    <t>Fernaanda Acioli</t>
  </si>
  <si>
    <t>598-6E110698E709</t>
  </si>
  <si>
    <t>ABREU PENTEADO/DELMAS</t>
  </si>
  <si>
    <t>Fernanda Aciolo</t>
  </si>
  <si>
    <t>CORSO PENTEADO/ALICE MARIA</t>
  </si>
  <si>
    <t>ACZYZV</t>
  </si>
  <si>
    <t>D42-47D7D76CCB63</t>
  </si>
  <si>
    <t>PALIZOTO/FABIO ROGERIO</t>
  </si>
  <si>
    <t>BEDFM2</t>
  </si>
  <si>
    <t>MLA</t>
  </si>
  <si>
    <t>408-D3DC571B5B02</t>
  </si>
  <si>
    <t>GONCALVES REBOUCAS GUIMARAES/KAUE</t>
  </si>
  <si>
    <t>BG9D3F</t>
  </si>
  <si>
    <t>BAPTISTA/JEFFERSON</t>
  </si>
  <si>
    <t>Amanda França</t>
  </si>
  <si>
    <t>OK GESSANA</t>
  </si>
  <si>
    <t>AHRSNN</t>
  </si>
  <si>
    <t>YP8RS8</t>
  </si>
  <si>
    <t>ERRO DA AGENCIA</t>
  </si>
  <si>
    <t>447-A349BE77058A</t>
  </si>
  <si>
    <t>RIBEIRO/ANA PAULA</t>
  </si>
  <si>
    <t>SWWNKD</t>
  </si>
  <si>
    <t>CZCBA2</t>
  </si>
  <si>
    <t>NEIVA/JULIANA MRS</t>
  </si>
  <si>
    <t>AJD6UT</t>
  </si>
  <si>
    <t>RIVA VAN LIESHOUT/GABRIELA</t>
  </si>
  <si>
    <t>TEIXEIRA CHAVES/FERNANDO</t>
  </si>
  <si>
    <t>AZ9CGK</t>
  </si>
  <si>
    <t>OK EMAIL</t>
  </si>
  <si>
    <t>.MATTOS/CLAUDIA</t>
  </si>
  <si>
    <t>SILVA/LUIZ</t>
  </si>
  <si>
    <t>CJOG75</t>
  </si>
  <si>
    <t>057-4238088029</t>
  </si>
  <si>
    <t>EE6-43A8DD708763</t>
  </si>
  <si>
    <t>GRYNBAUM INGBERMAN/ELISABETH SILVIA</t>
  </si>
  <si>
    <t>057-4238088030</t>
  </si>
  <si>
    <t>KUIGSNER INGBERMAN/JAIME RUBEN</t>
  </si>
  <si>
    <t>B5HTYF</t>
  </si>
  <si>
    <t>valeria.feliciano@rexturadvance.com.br</t>
  </si>
  <si>
    <t>PAR/BER</t>
  </si>
  <si>
    <t>BORGES BERKOWITZ/FRANCESCA</t>
  </si>
  <si>
    <t>BORGES BERKOWITZ/GUSTAVO MR</t>
  </si>
  <si>
    <t>LAFACE BORGES BERKOWITZ/DANIELLA</t>
  </si>
  <si>
    <t>B9BSKG</t>
  </si>
  <si>
    <t xml:space="preserve">Gessana </t>
  </si>
  <si>
    <t>63B-17B3DC27DF97</t>
  </si>
  <si>
    <t>ALLEMAND LEITAO/MARCELO</t>
  </si>
  <si>
    <t>B952I5</t>
  </si>
  <si>
    <t xml:space="preserve">agt solicita isencao devido reem sem dif de trf </t>
  </si>
  <si>
    <t> 7CF-8ED8B5F32938</t>
  </si>
  <si>
    <t>DO VALLE/VAGNER VIDAL</t>
  </si>
  <si>
    <t>AD362K</t>
  </si>
  <si>
    <t>BD3-D5E7D1ECF3C5</t>
  </si>
  <si>
    <t>PIRES VIEIRA/RODRIGO APARECIDO</t>
  </si>
  <si>
    <t>BFOGB8</t>
  </si>
  <si>
    <t>A31-CABD9B956068</t>
  </si>
  <si>
    <t>FERREIRA PROVIDAKIS/ALEXANDRA ELEFTHERIA</t>
  </si>
  <si>
    <t>BXK8H9</t>
  </si>
  <si>
    <t>LIS/CDG/FOR</t>
  </si>
  <si>
    <t>753-C19E953773C0</t>
  </si>
  <si>
    <t>BASTOS LOPES/RICARDO EDSON</t>
  </si>
  <si>
    <t>VALENTE LOPES/DANIELE</t>
  </si>
  <si>
    <t>CBS88D</t>
  </si>
  <si>
    <t>XMBPP3</t>
  </si>
  <si>
    <t>A48-059E5F26DCA6</t>
  </si>
  <si>
    <t>MENDES/RENATA CRISTIANE</t>
  </si>
  <si>
    <t>CBPEH6</t>
  </si>
  <si>
    <t>XM6TG2</t>
  </si>
  <si>
    <t>MENDES/RINALDO JOSE</t>
  </si>
  <si>
    <t>CZFWT3</t>
  </si>
  <si>
    <t>judson.rosario@rexturadvance.com.br</t>
  </si>
  <si>
    <t>GIG/CDG/GIG</t>
  </si>
  <si>
    <t>EE4-02216DA20DEA</t>
  </si>
  <si>
    <t>BRANDAO DE GOES CARVALHO/LOUISE</t>
  </si>
  <si>
    <t>GIG/ CDG/GIG</t>
  </si>
  <si>
    <t>CTLRUY</t>
  </si>
  <si>
    <t>XZRCAN</t>
  </si>
  <si>
    <t>SSA/CDG/NCE//BCN/CDG/SSA</t>
  </si>
  <si>
    <t>B60-3EE92E895E35</t>
  </si>
  <si>
    <t>ALMEIDA SOUZA/RENATO JAIME</t>
  </si>
  <si>
    <t>CLTRUY</t>
  </si>
  <si>
    <t>jones Ferraz</t>
  </si>
  <si>
    <t>ALVES NUNES ALMEIDA SOUZA/DORAIDES</t>
  </si>
  <si>
    <t>DE JESUS BELEM E SILVA/ROSANE</t>
  </si>
  <si>
    <t>SOUZA E SILVA JUNIOR/ERNANI</t>
  </si>
  <si>
    <t>AJQCTV</t>
  </si>
  <si>
    <t>FOR/CDG</t>
  </si>
  <si>
    <t>5C1-943699896324</t>
  </si>
  <si>
    <t>ARAUJO/MARIANA MRS</t>
  </si>
  <si>
    <t>FIUZA/ANA CRISTINA MRS</t>
  </si>
  <si>
    <t>VALIM/JULIANA MRS</t>
  </si>
  <si>
    <t>BI7FOV</t>
  </si>
  <si>
    <t>ZNP7QC</t>
  </si>
  <si>
    <t>CECCARELLI/CAIO CESAR</t>
  </si>
  <si>
    <t>SOARES CECCARELLI/SANDRA HELENA</t>
  </si>
  <si>
    <t>29VRUC</t>
  </si>
  <si>
    <t>SBOLCI/LUCA</t>
  </si>
  <si>
    <t>CKD89K</t>
  </si>
  <si>
    <t>XSJBZZ</t>
  </si>
  <si>
    <t>703-D0C0C1CA97F6</t>
  </si>
  <si>
    <t>DOS SANTOS/KECIA CRISTINA</t>
  </si>
  <si>
    <t>CDG/FOR</t>
  </si>
  <si>
    <t>QMKPJO</t>
  </si>
  <si>
    <t>2BSI74</t>
  </si>
  <si>
    <t>dono agencia singularis ação comercial</t>
  </si>
  <si>
    <t>LEO TH</t>
  </si>
  <si>
    <t>BARBOSA/PAULO</t>
  </si>
  <si>
    <t>3FK2JA</t>
  </si>
  <si>
    <t>FSSBVY</t>
  </si>
  <si>
    <t>1.ANDRADE/ZELIA MARIA MRS</t>
  </si>
  <si>
    <t>2.OLIVEIRA MACHADO/EDUARDO MR</t>
  </si>
  <si>
    <t>SXXSFU</t>
  </si>
  <si>
    <t>3IQ6T8</t>
  </si>
  <si>
    <t>BHX</t>
  </si>
  <si>
    <t>PARREIRA RYFF MOREIRA/CLAUDIO</t>
  </si>
  <si>
    <t>MCMPBK</t>
  </si>
  <si>
    <t>4AN37L</t>
  </si>
  <si>
    <t>ELY MENDES RIBEIRO R MOREIRA/SUZANA</t>
  </si>
  <si>
    <t>RMFNCS</t>
  </si>
  <si>
    <t>4NK65X</t>
  </si>
  <si>
    <t>BATTISTINI FORNEIRO/STEFANO MR</t>
  </si>
  <si>
    <t>FERREIRA/JAMILE MRS</t>
  </si>
  <si>
    <t>27SO5W</t>
  </si>
  <si>
    <t>FERREIRA DE LIMA POLO/MARCIA</t>
  </si>
  <si>
    <t>POLO/GILBERTO</t>
  </si>
  <si>
    <t>LIMA POLO/ISABELLA</t>
  </si>
  <si>
    <t>LIMA POLO/MANUELLA</t>
  </si>
  <si>
    <t>BNKIOE</t>
  </si>
  <si>
    <t>2VLQML</t>
  </si>
  <si>
    <t>TRF</t>
  </si>
  <si>
    <t>1.1OLIVEIRA/ADONIAS MR</t>
  </si>
  <si>
    <t>2.1NICOLELLA/CARLOS ALBERTO MR</t>
  </si>
  <si>
    <t>UCNSEQ</t>
  </si>
  <si>
    <t>4VA9S8</t>
  </si>
  <si>
    <t>1.1DE OLIVEIRA AECK/ERICK</t>
  </si>
  <si>
    <t>VSCNHD</t>
  </si>
  <si>
    <t>43LTK6</t>
  </si>
  <si>
    <t>GOT</t>
  </si>
  <si>
    <t>1.1FILGUEIRAS/RONALD MR</t>
  </si>
  <si>
    <t>2.1FILGUEIRAS/ADRIANA MRS</t>
  </si>
  <si>
    <t>SMZCKM</t>
  </si>
  <si>
    <t>42PB5O</t>
  </si>
  <si>
    <t>DA MOTA WAINSTOK/THAIS</t>
  </si>
  <si>
    <t>WAINSTOK/ROBERTO</t>
  </si>
  <si>
    <t>XYMIIJ</t>
  </si>
  <si>
    <t>29GPJY</t>
  </si>
  <si>
    <t>1.1MARTINS CORREIA/DEOCLECIO JOSE MR</t>
  </si>
  <si>
    <t>2.1MARTINS CORREIA/MARIA DE LURDES MRS</t>
  </si>
  <si>
    <t>MHEWIM</t>
  </si>
  <si>
    <t>4Z8KZA</t>
  </si>
  <si>
    <t>SALUSTIANO/ANTONIO</t>
  </si>
  <si>
    <t>ALMEIDA/RODOLFO</t>
  </si>
  <si>
    <t>ALMEIDA/GUILHERME</t>
  </si>
  <si>
    <t>JXXQUI</t>
  </si>
  <si>
    <t>4C2CQ8</t>
  </si>
  <si>
    <t>SERAFINI GONCALVES CORTE/MARICY</t>
  </si>
  <si>
    <t>GONCALVES CORTE/ISIS</t>
  </si>
  <si>
    <t>GONCALVES CORTE/NATALIA</t>
  </si>
  <si>
    <t>DA FONSECA CORTE/LUIZ CARLOS</t>
  </si>
  <si>
    <t>XPNGYR</t>
  </si>
  <si>
    <t>2Q6RTH</t>
  </si>
  <si>
    <t>AAL</t>
  </si>
  <si>
    <t>CACACE JULIAO/PEDRO</t>
  </si>
  <si>
    <t>3ERII6</t>
  </si>
  <si>
    <t>HAMERSCHMIDT/ROGERIO</t>
  </si>
  <si>
    <t>EEQCCM</t>
  </si>
  <si>
    <t>2Y76QY</t>
  </si>
  <si>
    <t>roney</t>
  </si>
  <si>
    <t>CONRADO LANGE/MARTHA MRS</t>
  </si>
  <si>
    <t>MARTINS CORREIA/DEOCLECIO JOSE</t>
  </si>
  <si>
    <t>MARTINS CORREIA/MARIA DE LURDES</t>
  </si>
  <si>
    <t>4CC8BM</t>
  </si>
  <si>
    <t>1.DOS SANTOS SOBRINHO/ANTONIO MR</t>
  </si>
  <si>
    <t>MCLAJN</t>
  </si>
  <si>
    <t>4IIKQX</t>
  </si>
  <si>
    <t>ams</t>
  </si>
  <si>
    <t>GARNIER/SAMUEL</t>
  </si>
  <si>
    <t>RNYYHB</t>
  </si>
  <si>
    <t>4H28N7</t>
  </si>
  <si>
    <t>1FERREIRA/JOAO PAULO MR</t>
  </si>
  <si>
    <t>YGJXPP</t>
  </si>
  <si>
    <t>4GY2KR</t>
  </si>
  <si>
    <t>FERREIRA/ELIZABETH MRS</t>
  </si>
  <si>
    <t>RABIKC</t>
  </si>
  <si>
    <t>334OSC</t>
  </si>
  <si>
    <t>DPWNXB</t>
  </si>
  <si>
    <t>3VJMUU</t>
  </si>
  <si>
    <t>DIAS DA SILVA/JOAO MANUEL</t>
  </si>
  <si>
    <t>MEDEIROS DA SILVA/ANTONIA BERNARDETE</t>
  </si>
  <si>
    <t>4GK5RR</t>
  </si>
  <si>
    <t>3CQ35T</t>
  </si>
  <si>
    <t>DO NASCIMENTO BERNARDES/RENAN</t>
  </si>
  <si>
    <t>NUNES MACHADO/LUIZ GUSTAVO</t>
  </si>
  <si>
    <t xml:space="preserve">Patricia </t>
  </si>
  <si>
    <t>JANUARIO/EMERSON ALEXANDRE</t>
  </si>
  <si>
    <t>VYVSDI</t>
  </si>
  <si>
    <t>3EE7IK</t>
  </si>
  <si>
    <t>CORDEIRO SANTOS KOPKE/EDNA APARECIDA</t>
  </si>
  <si>
    <t>MOREIRA KOPKE/CARLOS ALBERTO</t>
  </si>
  <si>
    <t>CORDEIRO KOPKE/LORENA</t>
  </si>
  <si>
    <t>CORDEIRO KOBAYASHI/ISADORA</t>
  </si>
  <si>
    <t xml:space="preserve">34DAZQ </t>
  </si>
  <si>
    <t>45CQ77</t>
  </si>
  <si>
    <t>KHALIL/JAMILE MRS</t>
  </si>
  <si>
    <t>KHALIL/JORGE MR</t>
  </si>
  <si>
    <t>KHALIL/SELMA MRS</t>
  </si>
  <si>
    <t>4BQUEB</t>
  </si>
  <si>
    <t xml:space="preserve">KHALIL/JAMILLY MRS </t>
  </si>
  <si>
    <t>4BOU8C</t>
  </si>
  <si>
    <t>2A3VV8</t>
  </si>
  <si>
    <t xml:space="preserve">GOMES/FELIPPE </t>
  </si>
  <si>
    <t>BOVJLK</t>
  </si>
  <si>
    <t>37X8WO</t>
  </si>
  <si>
    <t>TEIXEIRA DE CARVALHO FILHO/JOSE EDUARDO MR</t>
  </si>
  <si>
    <t>SOUSA ALBUQUERQUE/EMMANUEL DARTANHAN MR</t>
  </si>
  <si>
    <t xml:space="preserve"> 3JY9MW</t>
  </si>
  <si>
    <t>DALMOLIM DE SOUZA/ALEXANDRE WASHINGTON MR</t>
  </si>
  <si>
    <t>3JY9MW</t>
  </si>
  <si>
    <t>DE ALMEIDA ROSA/FILIPE MR</t>
  </si>
  <si>
    <t>UOSJQU</t>
  </si>
  <si>
    <t>4THXHA</t>
  </si>
  <si>
    <t>0E1-1FDB7331C922</t>
  </si>
  <si>
    <t>MOREIRA DOS SANTOS SEVERINE/MARCOS</t>
  </si>
  <si>
    <t>XYFNYJ</t>
  </si>
  <si>
    <t>298A4N</t>
  </si>
  <si>
    <t>PAGANO STIPKOVIC/ANDREA MRS</t>
  </si>
  <si>
    <t>VVJSFK</t>
  </si>
  <si>
    <t>29JDZB</t>
  </si>
  <si>
    <t>PAGANO STIPKOVIC/MIRELLA MRS</t>
  </si>
  <si>
    <t>VUHGKG</t>
  </si>
  <si>
    <t>29DT8W</t>
  </si>
  <si>
    <t>PAGANO STIPKOVIC/LUCCA MR</t>
  </si>
  <si>
    <t>2EUY8I</t>
  </si>
  <si>
    <t>FOLLADOR/SEBASTIAO RENATO MR</t>
  </si>
  <si>
    <t>UZXONR</t>
  </si>
  <si>
    <t>2DNE59</t>
  </si>
  <si>
    <t>vie</t>
  </si>
  <si>
    <t>FLECKNER EVANGELISTA/GUSTAVO</t>
  </si>
  <si>
    <t>XJQEGQ</t>
  </si>
  <si>
    <t>2AVNAH</t>
  </si>
  <si>
    <t>MARCONDES LOPES/MAICON</t>
  </si>
  <si>
    <t>YHCTNM</t>
  </si>
  <si>
    <t>2AZFDU</t>
  </si>
  <si>
    <t>LEAL MUNIZ/LETICIA</t>
  </si>
  <si>
    <t>BSHKAY</t>
  </si>
  <si>
    <t>4VACQO</t>
  </si>
  <si>
    <t>Carlos Almeida</t>
  </si>
  <si>
    <t>VANDOROS QUILICI/LUIZA</t>
  </si>
  <si>
    <t>DVLDEF</t>
  </si>
  <si>
    <t>4BN9PG</t>
  </si>
  <si>
    <t>BENATTI/PRISCILLA</t>
  </si>
  <si>
    <t>FNIUHG</t>
  </si>
  <si>
    <t>3XG994</t>
  </si>
  <si>
    <t>ROSADO JUNIOR/CARLOS ALBERTO</t>
  </si>
  <si>
    <t>SEVZFF</t>
  </si>
  <si>
    <t>4JAK4J</t>
  </si>
  <si>
    <t>1.1BOTTINO/AURELIO</t>
  </si>
  <si>
    <t>2.1DANON/LUIZ ALBERTO</t>
  </si>
  <si>
    <t>QFBGCG</t>
  </si>
  <si>
    <t>25EXPH</t>
  </si>
  <si>
    <t>PEDRON FIGUEIROA/CARLOS VINICIUS</t>
  </si>
  <si>
    <t>CRUZ BUENO FIGUEIROA/MARIANA</t>
  </si>
  <si>
    <t>DE SOUZA FIGUEIROA/LUIZA BEATRIZ</t>
  </si>
  <si>
    <t>DE SOUZA FIGUEIROA/LYGIA HELENA</t>
  </si>
  <si>
    <t>SGBAEA</t>
  </si>
  <si>
    <t>398NN4</t>
  </si>
  <si>
    <t>TALHARI/ANETTE</t>
  </si>
  <si>
    <t>BITTENCOURT/FLAVIA</t>
  </si>
  <si>
    <t>47NZZ2</t>
  </si>
  <si>
    <t>DE OLIVEIRA RAVAZZI / TIAGO</t>
  </si>
  <si>
    <t>48UIPK</t>
  </si>
  <si>
    <t>ROCHA COUTO/ROGERIO</t>
  </si>
  <si>
    <t>ROHDEN/ANGELA</t>
  </si>
  <si>
    <t>XBMDJQ</t>
  </si>
  <si>
    <t>4ULFU9</t>
  </si>
  <si>
    <t>CHAVES/ADRIANO MR</t>
  </si>
  <si>
    <t>DIPLAB</t>
  </si>
  <si>
    <t xml:space="preserve">227Q3T </t>
  </si>
  <si>
    <t>BARROSO/ROBERTO LUIZ MR</t>
  </si>
  <si>
    <t>BARROSO/ISA MARIA MRS</t>
  </si>
  <si>
    <t>AZRKNC</t>
  </si>
  <si>
    <t>36UN3Y</t>
  </si>
  <si>
    <t>BRE</t>
  </si>
  <si>
    <t>FERREIRA/JOSUE</t>
  </si>
  <si>
    <t>REMHDE</t>
  </si>
  <si>
    <t>35HTZS</t>
  </si>
  <si>
    <t>ELIAS FRAGA/MARCELO</t>
  </si>
  <si>
    <t>DDWDEB</t>
  </si>
  <si>
    <t>394KG6</t>
  </si>
  <si>
    <t>ZAZULA/ANA DENISE</t>
  </si>
  <si>
    <t>SANTOS/WAGNER</t>
  </si>
  <si>
    <t>FIHSVW</t>
  </si>
  <si>
    <t>2AVSG6</t>
  </si>
  <si>
    <t>CHREIM/NISSIM</t>
  </si>
  <si>
    <t>CHREIM/THANIA</t>
  </si>
  <si>
    <t>TVXTBU</t>
  </si>
  <si>
    <t>2VXYU9</t>
  </si>
  <si>
    <t>1.1SILVA TELES/MARIANA</t>
  </si>
  <si>
    <t>TUKKFI</t>
  </si>
  <si>
    <t>2W4SAC</t>
  </si>
  <si>
    <t>1.1DELASCIO LOPES/RENATO</t>
  </si>
  <si>
    <t>RRMYJA</t>
  </si>
  <si>
    <t>4596FL</t>
  </si>
  <si>
    <t>GALLERANI CORREA/VITOR</t>
  </si>
  <si>
    <t>51PVCM</t>
  </si>
  <si>
    <t>3AP3KN</t>
  </si>
  <si>
    <t>CWL</t>
  </si>
  <si>
    <t xml:space="preserve">SANTOS SILVA / CONSUELO </t>
  </si>
  <si>
    <t>4CV4CA</t>
  </si>
  <si>
    <t>CAMPOS FILHO/JOSE LUIZ MR</t>
  </si>
  <si>
    <t>NUNES GARCIA/NANCI MRS</t>
  </si>
  <si>
    <t>QMRBHW</t>
  </si>
  <si>
    <t>4GVIB</t>
  </si>
  <si>
    <t>KONIG/MARIO MR</t>
  </si>
  <si>
    <t>ADLER/CLAUDIA MRS</t>
  </si>
  <si>
    <t>YKHAFK</t>
  </si>
  <si>
    <t>3DBSTF</t>
  </si>
  <si>
    <t>753-D1FF28316ECA</t>
  </si>
  <si>
    <t>ARAUJO/ALCILENE</t>
  </si>
  <si>
    <t>OYXCGE</t>
  </si>
  <si>
    <t>43M58F</t>
  </si>
  <si>
    <t>164-A23F03C79943</t>
  </si>
  <si>
    <t>TOME/MARIA CANDIDA</t>
  </si>
  <si>
    <t>UMIANN</t>
  </si>
  <si>
    <t>3D6BCV</t>
  </si>
  <si>
    <t>279-92F664A0E6CC</t>
  </si>
  <si>
    <t>FERREIRA/AMANDA</t>
  </si>
  <si>
    <t>XCUWUO</t>
  </si>
  <si>
    <t>2LHANR</t>
  </si>
  <si>
    <t>BEG</t>
  </si>
  <si>
    <t>KOSTIC/VELIBOR MR</t>
  </si>
  <si>
    <t>KOSTIC/GIOVANA MRS</t>
  </si>
  <si>
    <t>LRUKSF</t>
  </si>
  <si>
    <t>2LLS5K</t>
  </si>
  <si>
    <t>1.1ALMEIDA/JESSICA MRS</t>
  </si>
  <si>
    <t>GDVAYT</t>
  </si>
  <si>
    <t>4NIWAO</t>
  </si>
  <si>
    <t>leodavid@rexturadvance.com.br</t>
  </si>
  <si>
    <t>Bagegm</t>
  </si>
  <si>
    <t>SCHULMAN/CARL ERIK MARTIN</t>
  </si>
  <si>
    <t>FHKPPW</t>
  </si>
  <si>
    <t>2BDC5W</t>
  </si>
  <si>
    <t>CPH COPENHAGEN, DENMARK</t>
  </si>
  <si>
    <t xml:space="preserve">BIANCHI DE PALMA/RODRIGO </t>
  </si>
  <si>
    <t>47LTIW</t>
  </si>
  <si>
    <t>luciane.takaki@esferatur.com.br</t>
  </si>
  <si>
    <t>DE SIQUEIRA BISINELI/GESE MEIRI12</t>
  </si>
  <si>
    <t>47KGS3</t>
  </si>
  <si>
    <t>DE SIQUEIRA BISINELI/GESE MEIRI</t>
  </si>
  <si>
    <t>NCCWOS</t>
  </si>
  <si>
    <t>2ZEYQB</t>
  </si>
  <si>
    <t>FASSINA TOBAL/ANA CAROLINA</t>
  </si>
  <si>
    <t>TOBAL JUNIOR/MARCO ANTONIO</t>
  </si>
  <si>
    <t>FASSINA TOBAL/GABRIELA</t>
  </si>
  <si>
    <t>FASSINA TOBAL/SOPHIA</t>
  </si>
  <si>
    <t>LZOFJH</t>
  </si>
  <si>
    <t>2SXNFM</t>
  </si>
  <si>
    <t>paula.avallone@rexturadvance.com.br</t>
  </si>
  <si>
    <t>OLIVEIRA/WENDER</t>
  </si>
  <si>
    <t>ITAOIH</t>
  </si>
  <si>
    <t>2ULVN3</t>
  </si>
  <si>
    <t>ASPRINO PINHEIRO/PERSIO</t>
  </si>
  <si>
    <t>IPZZUP</t>
  </si>
  <si>
    <t>3BYV2E</t>
  </si>
  <si>
    <t>CARVALHO TEIXEIRA/PEDRO PAULO</t>
  </si>
  <si>
    <t>1CARVALHO TEIXEIRA/PEDRO PAULO</t>
  </si>
  <si>
    <t>3HWUXE</t>
  </si>
  <si>
    <t>DE SOUZA MARANGONI/FERNANDO JOSE</t>
  </si>
  <si>
    <t>3JEHZK</t>
  </si>
  <si>
    <t>MORAES MARCONDES/GISLAINE</t>
  </si>
  <si>
    <t>PEREIRA DE SOUZA/VINILTON CEZAR</t>
  </si>
  <si>
    <t>NQQVOH</t>
  </si>
  <si>
    <t>42B67D</t>
  </si>
  <si>
    <t>LEITE DE OLIVEIRA FILHO/WELLINGTON MR</t>
  </si>
  <si>
    <t>KIFPQH</t>
  </si>
  <si>
    <t>46L5SV</t>
  </si>
  <si>
    <t>1.1GUIMARAES RODRIGUEZ MOURA/BRUNO</t>
  </si>
  <si>
    <t>4JQDWD</t>
  </si>
  <si>
    <t>kl</t>
  </si>
  <si>
    <t>CHANGSHENG/SHU</t>
  </si>
  <si>
    <t>3EJEA2</t>
  </si>
  <si>
    <t>lhr</t>
  </si>
  <si>
    <t>BARBOSA LIMA/ADSO</t>
  </si>
  <si>
    <t>55KS33</t>
  </si>
  <si>
    <t>2SDRZI</t>
  </si>
  <si>
    <t>Porto Alegre</t>
  </si>
  <si>
    <t>GODOI/SORAIA DE FATIMA</t>
  </si>
  <si>
    <t>55L27P</t>
  </si>
  <si>
    <t>2SKKKH</t>
  </si>
  <si>
    <t>FOR</t>
  </si>
  <si>
    <t>PORTELLA DE MELLO LIMA/VANESSA</t>
  </si>
  <si>
    <t>3KJVKY</t>
  </si>
  <si>
    <t>AMS/FOR</t>
  </si>
  <si>
    <t>BB6-1C176900B2E6</t>
  </si>
  <si>
    <t>3KLTRF</t>
  </si>
  <si>
    <t>AMS/POA</t>
  </si>
  <si>
    <t>0DE-D22B3A4FC278</t>
  </si>
  <si>
    <t>3KADHQ</t>
  </si>
  <si>
    <t>LCY</t>
  </si>
  <si>
    <t>ATHAYDE/MAURY MR</t>
  </si>
  <si>
    <t>4QKDZS</t>
  </si>
  <si>
    <t>CENCI/DIEGO MR</t>
  </si>
  <si>
    <t>4U5TDY</t>
  </si>
  <si>
    <t>DAL ZOTTO/ANNALISA</t>
  </si>
  <si>
    <t>4U7KZQ</t>
  </si>
  <si>
    <t>DAL ZOTTO/ENZO</t>
  </si>
  <si>
    <t>4U6RUL</t>
  </si>
  <si>
    <t>DAL ZOTTO/RENAN</t>
  </si>
  <si>
    <t>4L4PD8</t>
  </si>
  <si>
    <t>VEEN/NICOLAS(CHD)</t>
  </si>
  <si>
    <t>LOBQEQ</t>
  </si>
  <si>
    <t>22VGLA</t>
  </si>
  <si>
    <t>OSWALD/LUIZA</t>
  </si>
  <si>
    <t>NJPHQQ</t>
  </si>
  <si>
    <t>23ZPQG</t>
  </si>
  <si>
    <t>PEK//PVG</t>
  </si>
  <si>
    <t>MORGENSZTERN/GIL MR</t>
  </si>
  <si>
    <t>NIRSBM</t>
  </si>
  <si>
    <t>23Z7YN</t>
  </si>
  <si>
    <t>LOWENTHAL/FABIO MR</t>
  </si>
  <si>
    <t>24VAFT</t>
  </si>
  <si>
    <t>DOS SANTOS/ISAIAS JOSE MR</t>
  </si>
  <si>
    <t>LIMA COELHO/CINTIA PAIVA MRS</t>
  </si>
  <si>
    <t>LIMA COELHO/FERNANDO LOUREIRO MR</t>
  </si>
  <si>
    <t>VIEIRA/NATALIA ORMENEZ MRS</t>
  </si>
  <si>
    <t>5MNQWY</t>
  </si>
  <si>
    <t>28DUZR</t>
  </si>
  <si>
    <t>CORSINI SOARES ROCHA/HENRIQUE</t>
  </si>
  <si>
    <t>BISSACOT PROENCA/RODRIGO</t>
  </si>
  <si>
    <t>JEERSV</t>
  </si>
  <si>
    <t>23UJZD</t>
  </si>
  <si>
    <t>hkg</t>
  </si>
  <si>
    <t>GOMES DE OLIVEIRA/DIANA MRS</t>
  </si>
  <si>
    <t>KYVZJS</t>
  </si>
  <si>
    <t>22GFCO</t>
  </si>
  <si>
    <t>Leo silva</t>
  </si>
  <si>
    <t>ROCHA/FERNANDO</t>
  </si>
  <si>
    <t>NNLIFI</t>
  </si>
  <si>
    <t>33H96S</t>
  </si>
  <si>
    <t>CAPP/JOE MR</t>
  </si>
  <si>
    <t>IEARDI</t>
  </si>
  <si>
    <t>49PNHX</t>
  </si>
  <si>
    <t>VARANTE LEAL/LAURA ROSA MRS</t>
  </si>
  <si>
    <t>IIDQGA</t>
  </si>
  <si>
    <t>4AGBC7</t>
  </si>
  <si>
    <t>LEAL/FELIPE MR</t>
  </si>
  <si>
    <t>4KKOY2</t>
  </si>
  <si>
    <t>FARINCHO/ADRIANA</t>
  </si>
  <si>
    <t>MAIA NETO/OGENY PEDRO</t>
  </si>
  <si>
    <t>23UJMC</t>
  </si>
  <si>
    <t>AMS e CDG</t>
  </si>
  <si>
    <t>GONCALVES MACHADO/GUSTAVO</t>
  </si>
  <si>
    <t>247IIL</t>
  </si>
  <si>
    <t>CASAGRANDE E SILVA/PRICYLLA MRS(</t>
  </si>
  <si>
    <t>GKWGDV</t>
  </si>
  <si>
    <t>2BMMED</t>
  </si>
  <si>
    <t xml:space="preserve">sin </t>
  </si>
  <si>
    <t>MESQUITA RIBEIRO/MARIA LUIZA</t>
  </si>
  <si>
    <t>JVTIWV</t>
  </si>
  <si>
    <t>2L4AW7</t>
  </si>
  <si>
    <t>NOVACKI/JOAO</t>
  </si>
  <si>
    <t>GCUSSK</t>
  </si>
  <si>
    <t>2RBLY5</t>
  </si>
  <si>
    <t>PEREIRA/JEMERSON</t>
  </si>
  <si>
    <t>PEREIRA/FERNANDA</t>
  </si>
  <si>
    <t>5PYZBZ</t>
  </si>
  <si>
    <t>3LLFMU</t>
  </si>
  <si>
    <t>elisangela.rigobello@esferatur.com.br</t>
  </si>
  <si>
    <t>agt emitiu erroneamente sem bagagem</t>
  </si>
  <si>
    <t>74E-BD9CEAB74AA5</t>
  </si>
  <si>
    <t xml:space="preserve">SANTOS RIBEIRO/CAROLINE STEPHANYMRS </t>
  </si>
  <si>
    <t>ECQGTE</t>
  </si>
  <si>
    <t>3KX4HA</t>
  </si>
  <si>
    <t>SOUZA/THIAGO MR</t>
  </si>
  <si>
    <t>4YZUBG</t>
  </si>
  <si>
    <t>pvg</t>
  </si>
  <si>
    <t>HVODKJ</t>
  </si>
  <si>
    <t>2O4OI7</t>
  </si>
  <si>
    <t>AKKOUE</t>
  </si>
  <si>
    <t>2O5AQV</t>
  </si>
  <si>
    <t>5Z7TW3</t>
  </si>
  <si>
    <t>2ODTN4</t>
  </si>
  <si>
    <t>5Z7TYF</t>
  </si>
  <si>
    <t>2ODVQN</t>
  </si>
  <si>
    <t>5YXZMF</t>
  </si>
  <si>
    <t>2I257N</t>
  </si>
  <si>
    <t>HDVELD</t>
  </si>
  <si>
    <t>4IX4Z9</t>
  </si>
  <si>
    <t>FRANCIOTTI/LEILA SILVIA</t>
  </si>
  <si>
    <t>4UBOYQ</t>
  </si>
  <si>
    <t>DE FARIAS/LUCIANA</t>
  </si>
  <si>
    <t>4UKKLE</t>
  </si>
  <si>
    <t xml:space="preserve">LINS BIANCHINI/CAROLINA </t>
  </si>
  <si>
    <t>NUNES LINS/SORAYA</t>
  </si>
  <si>
    <t>68GV7N</t>
  </si>
  <si>
    <t>2E2JES</t>
  </si>
  <si>
    <t>Erick Silva</t>
  </si>
  <si>
    <t>FABRINI DE ARAUJO/MARCO ANTONIO</t>
  </si>
  <si>
    <t>FABRINI ARAUJO/PATRICIA</t>
  </si>
  <si>
    <t>FABRINI ARAUJO/PEDRO</t>
  </si>
  <si>
    <t>FABRINI ARAUJO/HELENA</t>
  </si>
  <si>
    <t>JUUCHW</t>
  </si>
  <si>
    <t>2J85IZ</t>
  </si>
  <si>
    <t>OLIVEIRA/ANDREW MR</t>
  </si>
  <si>
    <t>NOETZEL/CHRISTIAN MR</t>
  </si>
  <si>
    <t>38ET56</t>
  </si>
  <si>
    <t>BOTTON/WILSON</t>
  </si>
  <si>
    <t>DOS SANTOS BOTTON/ROSANA</t>
  </si>
  <si>
    <t>YALAGJ</t>
  </si>
  <si>
    <t>3VHOCE</t>
  </si>
  <si>
    <t>LOPES DE ARAUJO/TOMAS</t>
  </si>
  <si>
    <t>49V6P8</t>
  </si>
  <si>
    <t>DE SOUZA SANTOS SIMONINI/ELLEN</t>
  </si>
  <si>
    <t>6CVFHT</t>
  </si>
  <si>
    <t>4EAK3U</t>
  </si>
  <si>
    <t>TOLEDO NUNES/DOMINGAS</t>
  </si>
  <si>
    <t>ANTONICHELLI DE HELD/WALDIRA</t>
  </si>
  <si>
    <t>6CNTQL</t>
  </si>
  <si>
    <t>49Z2E9</t>
  </si>
  <si>
    <t>GIANGRECCO/CLAUDIO JOSE</t>
  </si>
  <si>
    <t>OLIVEIRA TREVIZOLI/MARIA CRISTINA</t>
  </si>
  <si>
    <t>FMUNFG</t>
  </si>
  <si>
    <t>4V5BE2</t>
  </si>
  <si>
    <t>BORSARI TURCATO/ERIKA</t>
  </si>
  <si>
    <t>TURCATO/WALDEMIR</t>
  </si>
  <si>
    <t>6F3BJC</t>
  </si>
  <si>
    <t>29FYIH</t>
  </si>
  <si>
    <t>CORTEZ CASAL DA VEIGA/PEDRO JOSE</t>
  </si>
  <si>
    <t>6G52PB</t>
  </si>
  <si>
    <t>33AHJC</t>
  </si>
  <si>
    <t>JANTSCH TOPPEL/MARCO ANTONIO</t>
  </si>
  <si>
    <t>6GQXJ8</t>
  </si>
  <si>
    <t>3EZ8AC</t>
  </si>
  <si>
    <t>DO NASCIMENTO/TIAGO SILVA</t>
  </si>
  <si>
    <t>3NYO5X</t>
  </si>
  <si>
    <t>CABRAL GARDNER/ANA CRISTINA</t>
  </si>
  <si>
    <t>GARDNER/LAUREN THEODORA</t>
  </si>
  <si>
    <t>LQXOJW</t>
  </si>
  <si>
    <t>4FW3NK</t>
  </si>
  <si>
    <t>SIMONINI/ELLEN</t>
  </si>
  <si>
    <t>4Y89A5</t>
  </si>
  <si>
    <t xml:space="preserve">MUC </t>
  </si>
  <si>
    <t>BRENDOLAN/EIDENIR MR</t>
  </si>
  <si>
    <t>4YEDG8</t>
  </si>
  <si>
    <t>BALDUINO SOUZA MASSARI/LUZIA</t>
  </si>
  <si>
    <t>6JVNFN</t>
  </si>
  <si>
    <t>24TFZ6</t>
  </si>
  <si>
    <t>jose.vistuba@rexturadvance.com.br</t>
  </si>
  <si>
    <t>DE OLIVEIRA/KESIA MRS</t>
  </si>
  <si>
    <t xml:space="preserve">DE CARVALHO/LUCAS MATEUS MR </t>
  </si>
  <si>
    <t>6JW816</t>
  </si>
  <si>
    <t>25DLBC</t>
  </si>
  <si>
    <t xml:space="preserve">DE OLIVEIRA/DEIVANMRS </t>
  </si>
  <si>
    <t>FWVXOM</t>
  </si>
  <si>
    <t>2XBZNG</t>
  </si>
  <si>
    <t>DORLITZ/RICARDO MR</t>
  </si>
  <si>
    <t>3U5MXS</t>
  </si>
  <si>
    <t>Rogério</t>
  </si>
  <si>
    <t>ALVES AMARAL MAURO/VERA MRS</t>
  </si>
  <si>
    <t>AMARAL MAURO GUIMARAES/ISABELLA MRS</t>
  </si>
  <si>
    <t>AMARAL MAURO/AMANDA</t>
  </si>
  <si>
    <t xml:space="preserve">HSU GUIMARAES/THIAGO MR </t>
  </si>
  <si>
    <t>ZANIN MAURO/MARCOS MR</t>
  </si>
  <si>
    <t>3U5QKL</t>
  </si>
  <si>
    <t>NICOLACI SANTO/RICARDO LUIZ MR</t>
  </si>
  <si>
    <t>6MTS9G</t>
  </si>
  <si>
    <t>3XVSCO</t>
  </si>
  <si>
    <t>BORZAGA BORTOLATO/MARIA APARECIDA</t>
  </si>
  <si>
    <t>6MTTL5</t>
  </si>
  <si>
    <t>3XWN86</t>
  </si>
  <si>
    <t>YAEGASHI HAINFELLNER/ROSA SATIKO</t>
  </si>
  <si>
    <t>3XXCZK</t>
  </si>
  <si>
    <t>CORREA LACERDA NETO/JOSE MR</t>
  </si>
  <si>
    <t>IEFSJP</t>
  </si>
  <si>
    <t>4UJ35O</t>
  </si>
  <si>
    <t>DE SOUZA KLAS/RODRIGO</t>
  </si>
  <si>
    <t>WRSHBQ</t>
  </si>
  <si>
    <t>4UBYSS</t>
  </si>
  <si>
    <t>LOPES/GABRIEL MR</t>
  </si>
  <si>
    <t>2JDJ8C</t>
  </si>
  <si>
    <t>CELIDONIO/MARIA DE FATIMA MRS</t>
  </si>
  <si>
    <t>REIS NETO/LAURO MR</t>
  </si>
  <si>
    <t>OWSPLS</t>
  </si>
  <si>
    <t>2NV5B2</t>
  </si>
  <si>
    <t>PERISSINOTO/SERGIO LUIS</t>
  </si>
  <si>
    <t>JVAWYG</t>
  </si>
  <si>
    <t>2OR8VJ</t>
  </si>
  <si>
    <t>SABINO/ANGELO SPOLIDORIO</t>
  </si>
  <si>
    <t>ESKDFU</t>
  </si>
  <si>
    <t>47L6UU</t>
  </si>
  <si>
    <t>REIS/ROBERTO</t>
  </si>
  <si>
    <t>FHKWDD</t>
  </si>
  <si>
    <t>285N4K</t>
  </si>
  <si>
    <t>1.1LIMA/RICARDO MR</t>
  </si>
  <si>
    <t>2.1LIMA/RENATA MRS</t>
  </si>
  <si>
    <t>4VGLG7</t>
  </si>
  <si>
    <t>MOTYKA/ANTONI</t>
  </si>
  <si>
    <t>2EZVD9</t>
  </si>
  <si>
    <t>3I24ER</t>
  </si>
  <si>
    <t>UDI</t>
  </si>
  <si>
    <t>patricia Kruger</t>
  </si>
  <si>
    <t>VIEIRA COSTA/ALICE GABRIELLE (chd)</t>
  </si>
  <si>
    <t>VIEIRA DA SILVA/MARILDA APARECIDA</t>
  </si>
  <si>
    <t>DMCHVS</t>
  </si>
  <si>
    <t>3IKQHN</t>
  </si>
  <si>
    <t>CONCORRECIA CIA</t>
  </si>
  <si>
    <t>MATIAS FRAGA/ALESSANDRA</t>
  </si>
  <si>
    <t>3IDE6G</t>
  </si>
  <si>
    <t>CAG</t>
  </si>
  <si>
    <t>MOURA DOS SANTOS/ANDERSON</t>
  </si>
  <si>
    <t>SALES BERBIZ DE OLIVEIRA/MICHELLE</t>
  </si>
  <si>
    <t>4HI5IX</t>
  </si>
  <si>
    <t>robison.corradini@rexturadvance.com.br</t>
  </si>
  <si>
    <t>CORAZZA/JOSE ANTONIO</t>
  </si>
  <si>
    <t>FELIPPE CORAZZA/NADIA MARIA</t>
  </si>
  <si>
    <t xml:space="preserve">GRU AMS // CDG GRU </t>
  </si>
  <si>
    <t>CELIDONIO/MARIA DE FATIMA</t>
  </si>
  <si>
    <t>REIS NETO/LAURO</t>
  </si>
  <si>
    <t>768CB8</t>
  </si>
  <si>
    <t>4IZQWO</t>
  </si>
  <si>
    <t>muta</t>
  </si>
  <si>
    <t>andrade/manoela</t>
  </si>
  <si>
    <t>YDYKOI</t>
  </si>
  <si>
    <t>4NU2E8</t>
  </si>
  <si>
    <t>PESSOA DE MAGALHAES FILHO/ROBERTO JOSE</t>
  </si>
  <si>
    <t>DTLGYU</t>
  </si>
  <si>
    <t>29OBPP</t>
  </si>
  <si>
    <t>SVG</t>
  </si>
  <si>
    <t>MARIO RIETMANN/EMILIO</t>
  </si>
  <si>
    <t>2DO6H7</t>
  </si>
  <si>
    <t>SHA</t>
  </si>
  <si>
    <t>DA CUNHA NARIYOSHI/JOAO FERNANDO</t>
  </si>
  <si>
    <t>2P4GNA</t>
  </si>
  <si>
    <t>COELHO/JOSE ROBERTO</t>
  </si>
  <si>
    <t xml:space="preserve">TUCUNDUVA ARANTES COELHO/WALKYRIA </t>
  </si>
  <si>
    <t xml:space="preserve">2TO2E2  </t>
  </si>
  <si>
    <t>rvn</t>
  </si>
  <si>
    <t>DIEGUEZ FERNANDEZ/MARIN</t>
  </si>
  <si>
    <t>GODOI DE OLIVEIRA/FABIO</t>
  </si>
  <si>
    <t>JUMGBY</t>
  </si>
  <si>
    <t>2UBW8R</t>
  </si>
  <si>
    <t>PIRES/JOAO MR</t>
  </si>
  <si>
    <t>OLIVEIRA/KAUE MR</t>
  </si>
  <si>
    <t>32JHG3</t>
  </si>
  <si>
    <t>DAVANSO/SOLANGE</t>
  </si>
  <si>
    <t>RIGHI/LUCIO</t>
  </si>
  <si>
    <t>YTXSDD</t>
  </si>
  <si>
    <t>37JPII</t>
  </si>
  <si>
    <t>Monica Hirt</t>
  </si>
  <si>
    <t>FERREIRA/SUELI</t>
  </si>
  <si>
    <t>DE CASTRO ALMEIDA/CELIA MARIA</t>
  </si>
  <si>
    <t>NWUJOQ</t>
  </si>
  <si>
    <t>48RNQT</t>
  </si>
  <si>
    <t>PALHARES GUERRA LAGES/RODRIGO</t>
  </si>
  <si>
    <t xml:space="preserve">PALHARES GUERRA LAGES/RODRIGO-1.1  </t>
  </si>
  <si>
    <t>4JIXGM</t>
  </si>
  <si>
    <t>DBV</t>
  </si>
  <si>
    <t>AMADO JOAO/SILVIA MARIA</t>
  </si>
  <si>
    <t>CASAROTTO/RAQUEL APARECIDA</t>
  </si>
  <si>
    <t>IKEISUMI/ELIZA AKEMI</t>
  </si>
  <si>
    <t>IKEISUMI/TIEMI MARINA</t>
  </si>
  <si>
    <t>JMOWJM</t>
  </si>
  <si>
    <t>4PTIRM</t>
  </si>
  <si>
    <t>DE CASTRO E MELO/MARCO MR</t>
  </si>
  <si>
    <t>ODAJHC</t>
  </si>
  <si>
    <t>4PPOLI</t>
  </si>
  <si>
    <t>FRANCO DE PAULA MORENO/MEILY MRS</t>
  </si>
  <si>
    <t>MVKKRU</t>
  </si>
  <si>
    <t>2AWNL5</t>
  </si>
  <si>
    <t>CARVALHO/CARLOS MR</t>
  </si>
  <si>
    <t>CARVALHO/HELOISA MRS</t>
  </si>
  <si>
    <t>CURZEM</t>
  </si>
  <si>
    <t>2G94BI</t>
  </si>
  <si>
    <t>DE OLIVEIRA POSWAR/FABIANO</t>
  </si>
  <si>
    <t>KTLAPY</t>
  </si>
  <si>
    <t>295Y56</t>
  </si>
  <si>
    <t>BSL</t>
  </si>
  <si>
    <t>CHANSKY/DOROTHEA MYRIAM MRS</t>
  </si>
  <si>
    <t>DAVID/DEISE VAINER MRS</t>
  </si>
  <si>
    <t xml:space="preserve">2AASJV                 </t>
  </si>
  <si>
    <t>AUGUSTO FILHO/MICHEL</t>
  </si>
  <si>
    <t>COIMBRA AUGUSTO/JUSSARA</t>
  </si>
  <si>
    <t>2R2BH9</t>
  </si>
  <si>
    <t>spu</t>
  </si>
  <si>
    <t>1.ALMEIDA/MARGARET</t>
  </si>
  <si>
    <t>SYKKQY</t>
  </si>
  <si>
    <t>3XHL5X</t>
  </si>
  <si>
    <t>bjs</t>
  </si>
  <si>
    <t>GABRIEL/LAURA HELENA</t>
  </si>
  <si>
    <t>GJPXRB</t>
  </si>
  <si>
    <t>4SDIT4</t>
  </si>
  <si>
    <t>F2C-A765AD7B4351</t>
  </si>
  <si>
    <t>KLAS/CRISTINA MARIA</t>
  </si>
  <si>
    <t>3BPVAK</t>
  </si>
  <si>
    <t>dub</t>
  </si>
  <si>
    <t>ANDREETTA/RODRIGO</t>
  </si>
  <si>
    <t>BLASCZAK ANDREETTA/CAROLINE</t>
  </si>
  <si>
    <t>SWYCYE</t>
  </si>
  <si>
    <t>25IQZB</t>
  </si>
  <si>
    <t>ALVES DE SOUZA/DJALMA</t>
  </si>
  <si>
    <t>RODRIGUES FERREIRA JULIO/JOAO RICARDO</t>
  </si>
  <si>
    <t>CJMORD</t>
  </si>
  <si>
    <t>25J73Y</t>
  </si>
  <si>
    <t>DE SOUZA FERREIRA JULIO/JOAQUIM</t>
  </si>
  <si>
    <t>EWWYLQ</t>
  </si>
  <si>
    <t>2CW9U5</t>
  </si>
  <si>
    <t>OGHRJM</t>
  </si>
  <si>
    <t>3DI2MN</t>
  </si>
  <si>
    <t>KUTSCKA/KIM MRS</t>
  </si>
  <si>
    <t>GONCALVES COBELO/KIM MR</t>
  </si>
  <si>
    <t>WRXEMU</t>
  </si>
  <si>
    <t>3I6ZJO</t>
  </si>
  <si>
    <t>CLEIM DE ANDRADE/CELIA MRS</t>
  </si>
  <si>
    <t>3NTZZU</t>
  </si>
  <si>
    <t>MOREIRA/BEATRIZ</t>
  </si>
  <si>
    <t>MOREIRA/CLAUDIO</t>
  </si>
  <si>
    <t>MOREIRA/ROSEMARY</t>
  </si>
  <si>
    <t>3Q8WM9</t>
  </si>
  <si>
    <t>beg</t>
  </si>
  <si>
    <t>COMFLEX ID 43F-A0221267641B</t>
  </si>
  <si>
    <t xml:space="preserve">DA SILVEIRA/BRUNA </t>
  </si>
  <si>
    <t>4UHEBI</t>
  </si>
  <si>
    <t>KELNER/DANIT</t>
  </si>
  <si>
    <t>4ZC5BD</t>
  </si>
  <si>
    <t>ALVES/BRENO</t>
  </si>
  <si>
    <t xml:space="preserve">SANTOS JUNIOR/FELIX  </t>
  </si>
  <si>
    <t>4ZBC54</t>
  </si>
  <si>
    <t>ALVES/SANDRO</t>
  </si>
  <si>
    <t>ALYWCB</t>
  </si>
  <si>
    <t>2OVCLV</t>
  </si>
  <si>
    <t>DA COSTA XAVIER/DIEGO</t>
  </si>
  <si>
    <t>CAPOBIANCO SILVA/THEO</t>
  </si>
  <si>
    <t>2TIVZ2</t>
  </si>
  <si>
    <t>DOS SANTOS/CARLOS EDUARDO</t>
  </si>
  <si>
    <t>OIXTAZ</t>
  </si>
  <si>
    <t>2YXJJF</t>
  </si>
  <si>
    <t>alvarogonzales@cvccorp.com.br</t>
  </si>
  <si>
    <t>ORK</t>
  </si>
  <si>
    <t>Alvaro</t>
  </si>
  <si>
    <t>SIMOES/WELLINGTON</t>
  </si>
  <si>
    <t>OJEHLM</t>
  </si>
  <si>
    <t>2YYARV</t>
  </si>
  <si>
    <t>ork</t>
  </si>
  <si>
    <t>SOUSA/EVAIR</t>
  </si>
  <si>
    <t>WTKFMG</t>
  </si>
  <si>
    <t>38XLQI</t>
  </si>
  <si>
    <t>VILELLA/PAULO HENRIQUE</t>
  </si>
  <si>
    <t>37T8T6</t>
  </si>
  <si>
    <t>378EDR</t>
  </si>
  <si>
    <t>38LADT</t>
  </si>
  <si>
    <t>BECK/IVANIA MARIA</t>
  </si>
  <si>
    <t>RODRIGUES DE FREITAS/CARLOS ALBERTO</t>
  </si>
  <si>
    <t>LIVHQB</t>
  </si>
  <si>
    <t>42R2RJ</t>
  </si>
  <si>
    <t>fechar venda</t>
  </si>
  <si>
    <t>KLAS/CRISTINA MRS</t>
  </si>
  <si>
    <t>NFPDHJ</t>
  </si>
  <si>
    <t>42REGG</t>
  </si>
  <si>
    <t>Fechar venda</t>
  </si>
  <si>
    <t>KLAS NETO/LAURO MR</t>
  </si>
  <si>
    <t>23NO53</t>
  </si>
  <si>
    <t>klisnna.rodrigues@cvccorp.com.br</t>
  </si>
  <si>
    <t>Klisnna Rodrigues</t>
  </si>
  <si>
    <t>ARAUJO DE OLIVEIRA/MARCOS MR</t>
  </si>
  <si>
    <t>DA COSTA FAVELA/JAILTON MR</t>
  </si>
  <si>
    <t xml:space="preserve">VERONEZI/LEANDRO MR </t>
  </si>
  <si>
    <t>ZANON DIAS/IGOR MR</t>
  </si>
  <si>
    <t>KJFYKI</t>
  </si>
  <si>
    <t>3H4UAJ</t>
  </si>
  <si>
    <t>POUSADA/ANA</t>
  </si>
  <si>
    <t>2NSABF </t>
  </si>
  <si>
    <t>WXZUPU</t>
  </si>
  <si>
    <t>3QPYR4</t>
  </si>
  <si>
    <t>Rafael Veira</t>
  </si>
  <si>
    <t>OLIVEIRA SOUZA ALMEIDA/ELIANE</t>
  </si>
  <si>
    <t>89P8XB</t>
  </si>
  <si>
    <t>3QMFXE</t>
  </si>
  <si>
    <t>DE ALMEIDA/MARCELO</t>
  </si>
  <si>
    <t>3QZJI8</t>
  </si>
  <si>
    <t>fra</t>
  </si>
  <si>
    <t xml:space="preserve">CIMINO/CARLA MRS </t>
  </si>
  <si>
    <t>CREDIDIO/GIULIANA MRS</t>
  </si>
  <si>
    <t>3X5LM9</t>
  </si>
  <si>
    <t>ROHNELT CARRILHO/CECILIA</t>
  </si>
  <si>
    <t>3X5X8Y</t>
  </si>
  <si>
    <t>GOMES CARRILHO/LUCIANO</t>
  </si>
  <si>
    <t>IMYEUU</t>
  </si>
  <si>
    <t>497CDH</t>
  </si>
  <si>
    <t>ID-F81</t>
  </si>
  <si>
    <t>TERRANOVA/ANDREA</t>
  </si>
  <si>
    <t>2QITHD</t>
  </si>
  <si>
    <t>Fernando Brizotti</t>
  </si>
  <si>
    <t>CARRARA/RODOLFO MR</t>
  </si>
  <si>
    <t>399AN4</t>
  </si>
  <si>
    <t>Kivan Floiz</t>
  </si>
  <si>
    <t>TAKIYAMA/BRENO NORIO MR</t>
  </si>
  <si>
    <t>4ADSG5</t>
  </si>
  <si>
    <t>Klisnna Rogrigues</t>
  </si>
  <si>
    <t>BELCHIOR TORRES/RICARDO MR</t>
  </si>
  <si>
    <t>4YJYOF</t>
  </si>
  <si>
    <t>8379DC2ADA74</t>
  </si>
  <si>
    <t>FERREIRA/GERALDINO</t>
  </si>
  <si>
    <t>4Y66X4</t>
  </si>
  <si>
    <t>LONGARCO/CARLOS EDUARDO</t>
  </si>
  <si>
    <t>4Y6YXX</t>
  </si>
  <si>
    <t>RABELO LONGARCO/LORENZO</t>
  </si>
  <si>
    <t>MIPDFX</t>
  </si>
  <si>
    <t>35GQER</t>
  </si>
  <si>
    <t>TERMINI/LARA</t>
  </si>
  <si>
    <t>MPDKNF</t>
  </si>
  <si>
    <t>3GS4VU</t>
  </si>
  <si>
    <t>YJCYWH</t>
  </si>
  <si>
    <t>4BQYKB</t>
  </si>
  <si>
    <t>DIETRICH/ROSELEIDE</t>
  </si>
  <si>
    <t>YLADNG</t>
  </si>
  <si>
    <t xml:space="preserve">4BSYLJ </t>
  </si>
  <si>
    <t>CAMPOS/JULIA</t>
  </si>
  <si>
    <t>EHYQUS</t>
  </si>
  <si>
    <t>4ZPHCV</t>
  </si>
  <si>
    <t>adrianomonteiro@cvccorp.com.br</t>
  </si>
  <si>
    <t>DINIZ LAGE/NATALIA</t>
  </si>
  <si>
    <t>2SWVMC</t>
  </si>
  <si>
    <t>BRAGANHOLO LEAL/BRUNO</t>
  </si>
  <si>
    <t>SILVA/JAMES</t>
  </si>
  <si>
    <t>CLHPME</t>
  </si>
  <si>
    <t>2QFM9Q</t>
  </si>
  <si>
    <t>DIRETOR AGT</t>
  </si>
  <si>
    <t>OLIVEIRA/RENATA</t>
  </si>
  <si>
    <t>OLIVEIRA/LETICIA</t>
  </si>
  <si>
    <t>CARVALHO/JOSE RENATO</t>
  </si>
  <si>
    <t>OLIVEIRA/LUANA</t>
  </si>
  <si>
    <t>57B-FDCD3B93DF17</t>
  </si>
  <si>
    <t>3TBJOC</t>
  </si>
  <si>
    <t>Roberta Couto</t>
  </si>
  <si>
    <t>060-F3E8CE11A4A2</t>
  </si>
  <si>
    <t xml:space="preserve">RODRIGUES/PEDRO HENRIQUE </t>
  </si>
  <si>
    <t>JWESGQ</t>
  </si>
  <si>
    <t>3ZI3E4</t>
  </si>
  <si>
    <t>ALVES DE ALMEIDA/LUCIANO</t>
  </si>
  <si>
    <t>ALVES DE ALMEIDA/LUIS HENRIQUE</t>
  </si>
  <si>
    <t>IFHMYU</t>
  </si>
  <si>
    <t>42DGQP</t>
  </si>
  <si>
    <t>SANCHES TIMPANARO/TALITA</t>
  </si>
  <si>
    <t>42UXN4</t>
  </si>
  <si>
    <t>lindolfecoutinho@cvccorp.com.br</t>
  </si>
  <si>
    <t>SVQ</t>
  </si>
  <si>
    <t>COSMAI/PEDRO</t>
  </si>
  <si>
    <t>YXJGMY</t>
  </si>
  <si>
    <t>43BHFQ</t>
  </si>
  <si>
    <t>ERRO OPERACIONAL</t>
  </si>
  <si>
    <t xml:space="preserve">Erick Silva </t>
  </si>
  <si>
    <t>DANTAS GERALDI/NICOLAS</t>
  </si>
  <si>
    <t>LDEKSU</t>
  </si>
  <si>
    <t>4EIUR5</t>
  </si>
  <si>
    <t>BARBOSA/VALERIA</t>
  </si>
  <si>
    <t>BERNUSSI/SYRLEID</t>
  </si>
  <si>
    <t>23HZ8U</t>
  </si>
  <si>
    <t>MCGTXX</t>
  </si>
  <si>
    <t>GAMA ARRUDA/RODRIGO</t>
  </si>
  <si>
    <t>MICELI DE ABREU ARRUDA/DANIELLE</t>
  </si>
  <si>
    <t>3LNAX9</t>
  </si>
  <si>
    <t>klisnna.rodrigues@esferatur.com.br</t>
  </si>
  <si>
    <t>OLIVEIRA SANTOS/VINICIUS WAGNER MR</t>
  </si>
  <si>
    <t>EIIAIS</t>
  </si>
  <si>
    <t>3SQSXD</t>
  </si>
  <si>
    <t>SOUSA LUCAS DE ANDRADE/CINTIA MRS</t>
  </si>
  <si>
    <t>DE ANDRADE/ALAN FERNANDO MR</t>
  </si>
  <si>
    <t>3A69WO</t>
  </si>
  <si>
    <t>Rogério Matheus</t>
  </si>
  <si>
    <t>OLIVEIRA MOTA MENDES/RICARDO MR</t>
  </si>
  <si>
    <t>SUVYVB</t>
  </si>
  <si>
    <t>44DEFU</t>
  </si>
  <si>
    <t>MALUHY FILHO/MILTON</t>
  </si>
  <si>
    <t>DSSFSM</t>
  </si>
  <si>
    <t>4YB2FH</t>
  </si>
  <si>
    <t>BRABO/ADRIANO mr</t>
  </si>
  <si>
    <t>ECLFLJ</t>
  </si>
  <si>
    <t>37TDBM</t>
  </si>
  <si>
    <t>Alejandro Bueno</t>
  </si>
  <si>
    <t>PENALTY FEE WAIVED CMFLX BA1-C76F6FEA4296</t>
  </si>
  <si>
    <t>MORCHEL FILHO/EDUARDO</t>
  </si>
  <si>
    <t>STEFFEN BECKER/VICTOR CEZAR</t>
  </si>
  <si>
    <t>LBDOWO</t>
  </si>
  <si>
    <t>4HTOMD</t>
  </si>
  <si>
    <t xml:space="preserve"> 9A8-6431EDDDCB8A</t>
  </si>
  <si>
    <t>BARRETO/RENATOMR</t>
  </si>
  <si>
    <t>CHAGAS DA SILVA/ANA LUIZAMRS</t>
  </si>
  <si>
    <t>2OPVBK</t>
  </si>
  <si>
    <t>ALVES PECANHA GROSSI/FABIANA APARECIDA</t>
  </si>
  <si>
    <t>DE SOUZA GROSSI/JOAO EDUARDO</t>
  </si>
  <si>
    <t>4M7OTC</t>
  </si>
  <si>
    <t>NND5N5</t>
  </si>
  <si>
    <t>771-7811EF37F8DC</t>
  </si>
  <si>
    <t>GALVAO PHILETO/ANA CLARA</t>
  </si>
  <si>
    <t>JESUS DOS SANTOS/TATIANA</t>
  </si>
  <si>
    <t>REIS DOS SANTOS/ADAILTON</t>
  </si>
  <si>
    <t>REIS DOS SANTOS/ANA BEATRIZ</t>
  </si>
  <si>
    <t>REIS DOS SANTOS JUNIOR/ADAILTON</t>
  </si>
  <si>
    <t>8C0-D25E5E71491A</t>
  </si>
  <si>
    <t>EJXXVL</t>
  </si>
  <si>
    <t>45U32D</t>
  </si>
  <si>
    <t>C05-DAACE8ED425E</t>
  </si>
  <si>
    <t>HERRERO GOMEZ/XAVIER MR</t>
  </si>
  <si>
    <t>26VFG9</t>
  </si>
  <si>
    <t>JHM76T</t>
  </si>
  <si>
    <t>7C4-DF3E01DFD908</t>
  </si>
  <si>
    <t>DA COSTA FONSECA/DULCE ANTONIA</t>
  </si>
  <si>
    <t>DA SILVA/LUANA</t>
  </si>
  <si>
    <t>NETZ/GERSON EDUARDO</t>
  </si>
  <si>
    <t>NETZ/LIVIA MARIA</t>
  </si>
  <si>
    <t>SOARES JUNIOR/JAIR</t>
  </si>
  <si>
    <t>ASV5FN</t>
  </si>
  <si>
    <t>28D-3D4B964C6DE9</t>
  </si>
  <si>
    <t>ABREU DOS SANTOS/MARIA CLARA MRS</t>
  </si>
  <si>
    <t>FERREIRA MORAES/MARIA ALICE MRS</t>
  </si>
  <si>
    <t>PALLOTA ABREU DOS SANTOS/MARCELO MR</t>
  </si>
  <si>
    <t>CZGFLR</t>
  </si>
  <si>
    <t>regina.degrossoli@rexturadvance.com.br</t>
  </si>
  <si>
    <t>HAM // BSL</t>
  </si>
  <si>
    <t>9DD-A6C9634D05A1</t>
  </si>
  <si>
    <t>DOS REIS/LUIZ FERNANDO</t>
  </si>
  <si>
    <t>FINOCCHIO MARTINS/PAULO GUSTAVO</t>
  </si>
  <si>
    <t>SILVA LOPES/EVELYSE</t>
  </si>
  <si>
    <t xml:space="preserve">BTLXKG  </t>
  </si>
  <si>
    <t>CHIODI SILVA/MAICON FELIPE</t>
  </si>
  <si>
    <t xml:space="preserve"> BAD3DV</t>
  </si>
  <si>
    <t>ZL99UM</t>
  </si>
  <si>
    <t>07443123324808</t>
  </si>
  <si>
    <t>C8D-39BE38BD8A36</t>
  </si>
  <si>
    <t>TORRECILHAS BERTUCO/CESAR AUGUSTO</t>
  </si>
  <si>
    <t>C5NWNW</t>
  </si>
  <si>
    <t>HENRIQUES DIAS DA SILVA/MARIA ALICE</t>
  </si>
  <si>
    <t>C5HMWI</t>
  </si>
  <si>
    <t>XGA8DL</t>
  </si>
  <si>
    <t>475-A584EDDE7A58</t>
  </si>
  <si>
    <t>SAMMARONE/MALVINA JANE</t>
  </si>
  <si>
    <t>EVLUTM</t>
  </si>
  <si>
    <t>B98AUF</t>
  </si>
  <si>
    <t>Leticia Spirlandelli</t>
  </si>
  <si>
    <t>C35-1B4CCEF3C038</t>
  </si>
  <si>
    <t>ZAIA SANCHES/ADRIANA MARIA</t>
  </si>
  <si>
    <t>NZKIGR</t>
  </si>
  <si>
    <t>CTSFNR</t>
  </si>
  <si>
    <t>MACEDO FARIAS/JOEDSON MR</t>
  </si>
  <si>
    <t>AQVDHP</t>
  </si>
  <si>
    <t>erro de data da agência</t>
  </si>
  <si>
    <t>BD2-92B32352B7CB</t>
  </si>
  <si>
    <t>AMIEIRO/CAROLINA</t>
  </si>
  <si>
    <t>AO8GQ7</t>
  </si>
  <si>
    <r>
      <t>929-E6AF3B844AD0</t>
    </r>
    <r>
      <rPr>
        <sz val="10"/>
        <color rgb="FF002451"/>
        <rFont val="Arial"/>
        <charset val="1"/>
      </rPr>
      <t>.</t>
    </r>
  </si>
  <si>
    <t>KERESTES DE FARIA/RAFAEL MR</t>
  </si>
  <si>
    <t>EFYDEK</t>
  </si>
  <si>
    <t>BQK7A3</t>
  </si>
  <si>
    <t>POZ</t>
  </si>
  <si>
    <t>D46-F7029B08899E</t>
  </si>
  <si>
    <t>CASTRO CALDERON/MARIA FERNANDA</t>
  </si>
  <si>
    <t>B5U4WM</t>
  </si>
  <si>
    <t>SCARPI/CECILIA</t>
  </si>
  <si>
    <t>AQTBRV</t>
  </si>
  <si>
    <t>CJHBYO</t>
  </si>
  <si>
    <t>GIG/AMSM</t>
  </si>
  <si>
    <t>DBE-F257B7CEC5C5</t>
  </si>
  <si>
    <t>ALMEIDA ARIANE/JESSIKA LAYANE MRS</t>
  </si>
  <si>
    <t>ARIANE DE PAULA/TOMAS BRENER MSTR</t>
  </si>
  <si>
    <t>C5XDUG</t>
  </si>
  <si>
    <t>579-A30029C0BD03</t>
  </si>
  <si>
    <t>MONTEIRO NETO/CARLOS EDISON</t>
  </si>
  <si>
    <t>AOOY2P</t>
  </si>
  <si>
    <t>0744131545045-46</t>
  </si>
  <si>
    <t>BBC-1CBC3E7DCBAF</t>
  </si>
  <si>
    <t>ANDRADE MATOS/VINICIUS</t>
  </si>
  <si>
    <t>0744131545047-48</t>
  </si>
  <si>
    <t>GALVAO/MURILLO CESAR</t>
  </si>
  <si>
    <t>0744131545049-50</t>
  </si>
  <si>
    <t>MARTINES FURLAN/JULIANA</t>
  </si>
  <si>
    <t>BN6U3Y</t>
  </si>
  <si>
    <t>DPS</t>
  </si>
  <si>
    <t>GOMES DA SILVA FERREIRA/GUILHERME AUGUSTO</t>
  </si>
  <si>
    <t>GOMES DA SILVA FERREIRA/MURILLO</t>
  </si>
  <si>
    <t>HKG/PAR/GRU</t>
  </si>
  <si>
    <t>C26-4B3F79C2FB94</t>
  </si>
  <si>
    <t>AOYBNO</t>
  </si>
  <si>
    <t>TLL</t>
  </si>
  <si>
    <t>Rafael</t>
  </si>
  <si>
    <t>C15-19EDD041312D</t>
  </si>
  <si>
    <t>PAPA/JOSE NETO</t>
  </si>
  <si>
    <t>AH8G5J</t>
  </si>
  <si>
    <t>BOG1A01TT</t>
  </si>
  <si>
    <t>CARVALHO DE CAMARGO/CAROLINA</t>
  </si>
  <si>
    <t>A7CYBW</t>
  </si>
  <si>
    <t>MNL</t>
  </si>
  <si>
    <t>DE OLIVEIRA CACHAFEIRO/MARIANA</t>
  </si>
  <si>
    <t>BANWAA</t>
  </si>
  <si>
    <t>ZIMVVG</t>
  </si>
  <si>
    <t>anayamada@rexturadvance.com.br</t>
  </si>
  <si>
    <t>Erro de voo agencia</t>
  </si>
  <si>
    <t>PENALTY WAIVED</t>
  </si>
  <si>
    <t>DIAS/GISELA</t>
  </si>
  <si>
    <t>LKRLHO</t>
  </si>
  <si>
    <t>AYFRGO</t>
  </si>
  <si>
    <t>345-15F700BFE250</t>
  </si>
  <si>
    <t>AGRA DA SILVA/ELISA MRS</t>
  </si>
  <si>
    <t>SILVA/DALTON JOSE MR</t>
  </si>
  <si>
    <t>AAWE7I</t>
  </si>
  <si>
    <t>Maria Oliveira</t>
  </si>
  <si>
    <t>30E-34AEA4CAE279</t>
  </si>
  <si>
    <t>ARAUJO CARDOSO GONTIJO/BRUNA</t>
  </si>
  <si>
    <t>ACZ7VH</t>
  </si>
  <si>
    <t>PAUNOVIC/DAVI</t>
  </si>
  <si>
    <t>CHAMQP</t>
  </si>
  <si>
    <t>Z985A6</t>
  </si>
  <si>
    <t>409-A27CF6DDE5D1</t>
  </si>
  <si>
    <t>CUOGHI PACINI/VALENTINA</t>
  </si>
  <si>
    <r>
      <t xml:space="preserve">Verba de Gestos Comercias </t>
    </r>
    <r>
      <rPr>
        <b/>
        <sz val="16"/>
        <color theme="1"/>
        <rFont val="Calibri"/>
        <family val="2"/>
        <scheme val="minor"/>
      </rPr>
      <t>AGENCIA X</t>
    </r>
    <r>
      <rPr>
        <sz val="16"/>
        <color theme="1"/>
        <rFont val="Calibri"/>
        <family val="2"/>
        <scheme val="minor"/>
      </rPr>
      <t xml:space="preserve"> / </t>
    </r>
    <r>
      <rPr>
        <b/>
        <sz val="16"/>
        <color theme="1"/>
        <rFont val="Calibri"/>
        <family val="2"/>
        <scheme val="minor"/>
      </rPr>
      <t>MÊS XXX/2023</t>
    </r>
  </si>
  <si>
    <t>Regras emissão Match Fare</t>
  </si>
  <si>
    <t>Regra de emissão de assentos e bagagem</t>
  </si>
  <si>
    <t>Air France</t>
  </si>
  <si>
    <t>KLM</t>
  </si>
  <si>
    <r>
      <rPr>
        <sz val="11"/>
        <color rgb="FF000000"/>
        <rFont val="Calibri"/>
      </rPr>
      <t xml:space="preserve">Não permitido na cabine econômica.
Ficam excluídas as classes: </t>
    </r>
    <r>
      <rPr>
        <b/>
        <sz val="11"/>
        <color rgb="FFFF0000"/>
        <rFont val="Calibri"/>
      </rPr>
      <t>P, J, W</t>
    </r>
    <r>
      <rPr>
        <sz val="11"/>
        <color rgb="FF000000"/>
        <rFont val="Calibri"/>
      </rPr>
      <t xml:space="preserve"> e toda a cabine econômica</t>
    </r>
  </si>
  <si>
    <r>
      <rPr>
        <sz val="11"/>
        <color rgb="FF000000"/>
        <rFont val="Calibri"/>
        <family val="2"/>
        <scheme val="minor"/>
      </rPr>
      <t xml:space="preserve">Envie seu pedido para: </t>
    </r>
    <r>
      <rPr>
        <b/>
        <sz val="11"/>
        <color rgb="FF000000"/>
        <rFont val="Calibri"/>
        <family val="2"/>
        <scheme val="minor"/>
      </rPr>
      <t>mail.indoorsales.br@airfrance.fr</t>
    </r>
  </si>
  <si>
    <r>
      <rPr>
        <sz val="11"/>
        <color rgb="FF000000"/>
        <rFont val="Calibri"/>
      </rPr>
      <t xml:space="preserve">Não permitido para CHD/INF.
</t>
    </r>
    <r>
      <rPr>
        <b/>
        <sz val="11"/>
        <color rgb="FFFF0000"/>
        <rFont val="Calibri"/>
      </rPr>
      <t>Não permitido em brands LIGHT (qualquer cabine)</t>
    </r>
  </si>
  <si>
    <t xml:space="preserve">Pedidos podem ser efetudas a partir das 9hs da segunda-feira até no máximo 12hs da sexta-feira. 
</t>
  </si>
  <si>
    <t>Valor mensal</t>
  </si>
  <si>
    <t>Desconto máximo:</t>
  </si>
  <si>
    <t>Economica: não aplica</t>
  </si>
  <si>
    <t>Não é possível tratar solicitações em dias de feriado nacional</t>
  </si>
  <si>
    <t>First/Executiva/Premium: até 20%</t>
  </si>
  <si>
    <t>Pedidos devem ser efetuados com 72hs de atencedência do voo</t>
  </si>
  <si>
    <t>Produtos</t>
  </si>
  <si>
    <t>Match Fare</t>
  </si>
  <si>
    <t>Somente origem Brasil</t>
  </si>
  <si>
    <t>Efetue a marcação do assento diretamente no seu GDS</t>
  </si>
  <si>
    <t>Não permitido para PAR</t>
  </si>
  <si>
    <t>Não permitido para AMS</t>
  </si>
  <si>
    <t>Não é pemitido voos off-line.</t>
  </si>
  <si>
    <t>A emissão do EMD será tratada pela equipe do Indoor Sales</t>
  </si>
  <si>
    <t>Codeshare é premitido *AF ou *KL</t>
  </si>
  <si>
    <r>
      <rPr>
        <sz val="11"/>
        <color rgb="FF000000"/>
        <rFont val="Calibri"/>
        <scheme val="minor"/>
      </rPr>
      <t xml:space="preserve">Somente voos online - não permitido codeshare - </t>
    </r>
    <r>
      <rPr>
        <b/>
        <sz val="11"/>
        <color rgb="FFFF0000"/>
        <rFont val="Calibri"/>
        <scheme val="minor"/>
      </rPr>
      <t>não permitido brand light</t>
    </r>
  </si>
  <si>
    <t>Os bilhetes devem ser reportados no dia seguinte da emissão do bilhete, via forms</t>
  </si>
  <si>
    <r>
      <rPr>
        <b/>
        <sz val="16"/>
        <color rgb="FF000000"/>
        <rFont val="Calibri"/>
        <scheme val="minor"/>
      </rPr>
      <t>Regras de isenção de multa</t>
    </r>
    <r>
      <rPr>
        <b/>
        <sz val="16"/>
        <color rgb="FFFF0000"/>
        <rFont val="Calibri"/>
        <scheme val="minor"/>
      </rPr>
      <t xml:space="preserve"> (exceto tarifas LIGHT)</t>
    </r>
  </si>
  <si>
    <t>qualquer tipo</t>
  </si>
  <si>
    <r>
      <t xml:space="preserve">Reemissão: Solicite um código de isenção para </t>
    </r>
    <r>
      <rPr>
        <b/>
        <sz val="11"/>
        <color rgb="FFFF0000"/>
        <rFont val="Calibri"/>
        <family val="2"/>
        <scheme val="minor"/>
      </rPr>
      <t>mail.indoorsales.br@airfrance.fr</t>
    </r>
    <r>
      <rPr>
        <sz val="11"/>
        <color rgb="FFFF0000"/>
        <rFont val="Calibri"/>
        <family val="2"/>
        <scheme val="minor"/>
      </rPr>
      <t>, antes de efetuar a remissão do bilhete</t>
    </r>
  </si>
  <si>
    <t>Deve ser emitido em tarifa IT  </t>
  </si>
  <si>
    <r>
      <rPr>
        <sz val="11"/>
        <color rgb="FF000000"/>
        <rFont val="Calibri"/>
      </rPr>
      <t xml:space="preserve">Obrigatório inserir Tour code: </t>
    </r>
    <r>
      <rPr>
        <b/>
        <sz val="11"/>
        <color rgb="FF000000"/>
        <rFont val="Calibri"/>
      </rPr>
      <t>GOODWILL</t>
    </r>
  </si>
  <si>
    <r>
      <t xml:space="preserve">Reembolso: Solicite um código de isenção para </t>
    </r>
    <r>
      <rPr>
        <b/>
        <sz val="11"/>
        <color theme="1"/>
        <rFont val="Calibri"/>
        <family val="2"/>
        <scheme val="minor"/>
      </rPr>
      <t xml:space="preserve">mail.indoorsales.br@airfrance.fr </t>
    </r>
    <r>
      <rPr>
        <sz val="11"/>
        <color theme="1"/>
        <rFont val="Calibri"/>
        <family val="2"/>
        <scheme val="minor"/>
      </rPr>
      <t>antes de inserir o reembolso no BSP-link ou GDS</t>
    </r>
  </si>
  <si>
    <t>apenas para 1º peça</t>
  </si>
  <si>
    <t>Não há incentivo para bilhete emitidos com Match fare</t>
  </si>
  <si>
    <t xml:space="preserve">Em caso de reemissão, o desconto não será aplicado novamente. </t>
  </si>
  <si>
    <t>Isenção de multa</t>
  </si>
  <si>
    <t>Reemissão ou Reembolso</t>
  </si>
  <si>
    <t>Para emissões com cartão de crédito, cobrar adicional de:</t>
  </si>
  <si>
    <t>1.90% para emissões com Visa, Mastercard e Elo</t>
  </si>
  <si>
    <t>Match fare não é permitido para reemissão ou diferença de tarifa</t>
  </si>
  <si>
    <t>2.80% para emissões com American express</t>
  </si>
  <si>
    <t>Não é permitido utlizar a verba para emissão de bilhetes/EMDs para funcionários da agência</t>
  </si>
  <si>
    <t>Na emissão com tarifa IT, por favor verifiquem com o suporte do seu GDS o comando correto para aplicação. Lembrando que é obrigatórios que os campos FARE e FARE CALCULATION apareçam como IT após emissão.</t>
  </si>
  <si>
    <t>Verifique as regras de emissão de cada produto</t>
  </si>
  <si>
    <r>
      <t xml:space="preserve">Bilhetes ou EMDs não reportados são passiveis de ADM - </t>
    </r>
    <r>
      <rPr>
        <b/>
        <sz val="14"/>
        <color rgb="FFFF0000"/>
        <rFont val="Calibri"/>
        <family val="2"/>
        <scheme val="minor"/>
      </rPr>
      <t>não disputável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</si>
</sst>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[$-416]mmm\-yy;@"/>
    <numFmt numFmtId="165" formatCode="&quot;R$&quot;\ #,##0.00"/>
    <numFmt numFmtId="166" formatCode="[$USD]\ #,##0.00"/>
    <numFmt numFmtId="167" formatCode="[$€-2]\ #,##0.00"/>
    <numFmt numFmtId="168" formatCode="[$€-2]\ #,##0"/>
    <numFmt numFmtId="169" formatCode="0000000000000"/>
    <numFmt numFmtId="170" formatCode="[$EUR]\ #,##0.00"/>
    <numFmt numFmtId="171" formatCode="_-[$€-2]\ * #,##0.00_-;\-[$€-2]\ * #,##0.00_-;_-[$€-2]\ * &quot;-&quot;??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ourier New"/>
      <family val="3"/>
      <charset val="1"/>
    </font>
    <font>
      <sz val="12"/>
      <color rgb="FF000000"/>
      <name val="Calibri"/>
      <family val="2"/>
      <charset val="1"/>
    </font>
    <font>
      <sz val="11"/>
      <color rgb="FF242424"/>
      <name val="Calibri"/>
      <family val="2"/>
      <charset val="1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charset val="1"/>
    </font>
    <font>
      <sz val="11"/>
      <color rgb="FF242424"/>
      <name val="Segoe UI"/>
      <charset val="1"/>
    </font>
    <font>
      <sz val="11"/>
      <color rgb="FF242424"/>
      <name val="Calibri"/>
      <scheme val="minor"/>
    </font>
    <font>
      <sz val="11"/>
      <color rgb="FF242424"/>
      <name val="Calibri"/>
      <family val="2"/>
      <scheme val="minor"/>
    </font>
    <font>
      <sz val="12"/>
      <color rgb="FF000000"/>
      <name val="Calibri"/>
      <charset val="1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 Light"/>
      <scheme val="major"/>
    </font>
    <font>
      <b/>
      <sz val="10.5"/>
      <color rgb="FF000000"/>
      <name val="Calibri Light"/>
      <scheme val="major"/>
    </font>
    <font>
      <b/>
      <sz val="10"/>
      <color rgb="FF000000"/>
      <name val="Calibri Light"/>
      <scheme val="major"/>
    </font>
    <font>
      <b/>
      <sz val="16"/>
      <color rgb="FF000000"/>
      <name val="Calibri"/>
      <scheme val="minor"/>
    </font>
    <font>
      <b/>
      <sz val="16"/>
      <color rgb="FFFF0000"/>
      <name val="Calibri"/>
      <scheme val="minor"/>
    </font>
    <font>
      <b/>
      <sz val="16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  <scheme val="minor"/>
    </font>
    <font>
      <b/>
      <sz val="11"/>
      <color rgb="FFFF0000"/>
      <name val="Calibri"/>
      <scheme val="minor"/>
    </font>
    <font>
      <sz val="10"/>
      <color rgb="FF002451"/>
      <name val="Arial"/>
      <charset val="1"/>
    </font>
    <font>
      <sz val="11"/>
      <color rgb="FF242424"/>
      <name val="Aptos Narrow"/>
      <charset val="1"/>
    </font>
    <font>
      <sz val="9"/>
      <color rgb="FF051039"/>
      <name val="Universal Sans Text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/>
    <xf numFmtId="14" fontId="0" fillId="2" borderId="0" xfId="0" applyNumberFormat="1" applyFill="1"/>
    <xf numFmtId="0" fontId="0" fillId="0" borderId="0" xfId="0" applyAlignment="1">
      <alignment wrapText="1"/>
    </xf>
    <xf numFmtId="164" fontId="0" fillId="0" borderId="0" xfId="0" applyNumberFormat="1" applyAlignment="1">
      <alignment horizontal="left"/>
    </xf>
    <xf numFmtId="17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fill"/>
    </xf>
    <xf numFmtId="0" fontId="0" fillId="0" borderId="0" xfId="0" applyAlignment="1">
      <alignment horizontal="fill"/>
    </xf>
    <xf numFmtId="0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67" fontId="0" fillId="0" borderId="0" xfId="0" applyNumberFormat="1"/>
    <xf numFmtId="167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7" xfId="0" applyBorder="1" applyAlignment="1">
      <alignment horizontal="left" vertical="top" wrapText="1"/>
    </xf>
    <xf numFmtId="170" fontId="8" fillId="0" borderId="1" xfId="0" applyNumberFormat="1" applyFont="1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left" indent="2"/>
    </xf>
    <xf numFmtId="0" fontId="0" fillId="0" borderId="10" xfId="0" applyBorder="1"/>
    <xf numFmtId="0" fontId="0" fillId="0" borderId="8" xfId="0" applyBorder="1"/>
    <xf numFmtId="0" fontId="0" fillId="0" borderId="9" xfId="0" applyBorder="1" applyAlignment="1">
      <alignment horizontal="left" indent="2"/>
    </xf>
    <xf numFmtId="0" fontId="7" fillId="0" borderId="12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17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7" fillId="0" borderId="20" xfId="0" applyFont="1" applyBorder="1" applyAlignment="1">
      <alignment horizontal="center"/>
    </xf>
    <xf numFmtId="0" fontId="0" fillId="0" borderId="9" xfId="0" applyBorder="1"/>
    <xf numFmtId="0" fontId="0" fillId="0" borderId="20" xfId="0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23" xfId="0" applyBorder="1"/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/>
    </xf>
    <xf numFmtId="168" fontId="0" fillId="0" borderId="0" xfId="1" applyNumberFormat="1" applyFont="1" applyAlignment="1">
      <alignment horizontal="right"/>
    </xf>
    <xf numFmtId="169" fontId="0" fillId="0" borderId="0" xfId="1" applyNumberFormat="1" applyFont="1" applyAlignment="1">
      <alignment horizontal="center"/>
    </xf>
    <xf numFmtId="166" fontId="0" fillId="0" borderId="0" xfId="1" applyNumberFormat="1" applyFont="1" applyAlignment="1"/>
    <xf numFmtId="168" fontId="0" fillId="0" borderId="0" xfId="0" applyNumberFormat="1" applyAlignment="1">
      <alignment horizontal="center"/>
    </xf>
    <xf numFmtId="166" fontId="0" fillId="0" borderId="0" xfId="0" applyNumberFormat="1" applyAlignment="1">
      <alignment horizontal="fill"/>
    </xf>
    <xf numFmtId="0" fontId="13" fillId="0" borderId="7" xfId="0" applyFont="1" applyBorder="1"/>
    <xf numFmtId="0" fontId="16" fillId="0" borderId="0" xfId="0" applyFont="1"/>
    <xf numFmtId="0" fontId="17" fillId="0" borderId="0" xfId="0" applyFont="1"/>
    <xf numFmtId="1" fontId="16" fillId="0" borderId="0" xfId="0" applyNumberFormat="1" applyFont="1" applyAlignment="1">
      <alignment horizontal="center"/>
    </xf>
    <xf numFmtId="0" fontId="18" fillId="2" borderId="0" xfId="0" applyFont="1" applyFill="1"/>
    <xf numFmtId="0" fontId="19" fillId="2" borderId="0" xfId="0" applyFont="1" applyFill="1"/>
    <xf numFmtId="0" fontId="20" fillId="0" borderId="0" xfId="0" applyFont="1" applyAlignment="1">
      <alignment horizontal="left"/>
    </xf>
    <xf numFmtId="0" fontId="18" fillId="0" borderId="0" xfId="0" applyFont="1"/>
    <xf numFmtId="0" fontId="15" fillId="0" borderId="0" xfId="0" applyFont="1"/>
    <xf numFmtId="169" fontId="21" fillId="0" borderId="0" xfId="1" applyNumberFormat="1" applyFont="1" applyAlignment="1">
      <alignment horizontal="center"/>
    </xf>
    <xf numFmtId="0" fontId="0" fillId="2" borderId="0" xfId="0" quotePrefix="1" applyFill="1"/>
    <xf numFmtId="0" fontId="21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5" fillId="2" borderId="0" xfId="0" applyFont="1" applyFill="1"/>
    <xf numFmtId="16" fontId="0" fillId="2" borderId="0" xfId="0" applyNumberFormat="1" applyFill="1"/>
    <xf numFmtId="0" fontId="26" fillId="0" borderId="22" xfId="0" applyFont="1" applyBorder="1"/>
    <xf numFmtId="0" fontId="28" fillId="2" borderId="0" xfId="0" applyFont="1" applyFill="1" applyAlignment="1">
      <alignment horizontal="left"/>
    </xf>
    <xf numFmtId="0" fontId="29" fillId="2" borderId="0" xfId="0" applyFont="1" applyFill="1" applyAlignment="1">
      <alignment horizontal="left"/>
    </xf>
    <xf numFmtId="0" fontId="30" fillId="2" borderId="0" xfId="0" applyFont="1" applyFill="1"/>
    <xf numFmtId="0" fontId="30" fillId="3" borderId="0" xfId="0" applyFont="1" applyFill="1"/>
    <xf numFmtId="169" fontId="0" fillId="0" borderId="0" xfId="1" quotePrefix="1" applyNumberFormat="1" applyFont="1" applyAlignment="1">
      <alignment horizontal="center"/>
    </xf>
    <xf numFmtId="169" fontId="0" fillId="0" borderId="0" xfId="1" applyNumberFormat="1" applyFont="1" applyAlignment="1">
      <alignment horizontal="center" wrapText="1"/>
    </xf>
    <xf numFmtId="0" fontId="33" fillId="0" borderId="4" xfId="0" applyFont="1" applyBorder="1" applyAlignment="1">
      <alignment horizontal="center"/>
    </xf>
    <xf numFmtId="0" fontId="0" fillId="2" borderId="0" xfId="0" applyFill="1" applyAlignment="1">
      <alignment wrapText="1"/>
    </xf>
    <xf numFmtId="49" fontId="0" fillId="0" borderId="0" xfId="1" quotePrefix="1" applyNumberFormat="1" applyFont="1" applyAlignment="1">
      <alignment horizontal="center"/>
    </xf>
    <xf numFmtId="49" fontId="0" fillId="2" borderId="0" xfId="0" applyNumberFormat="1" applyFill="1" applyAlignment="1">
      <alignment horizontal="right"/>
    </xf>
    <xf numFmtId="49" fontId="0" fillId="2" borderId="0" xfId="0" applyNumberFormat="1" applyFill="1" applyAlignment="1">
      <alignment horizontal="right" wrapText="1"/>
    </xf>
    <xf numFmtId="0" fontId="39" fillId="2" borderId="0" xfId="0" applyFont="1" applyFill="1"/>
    <xf numFmtId="171" fontId="0" fillId="0" borderId="0" xfId="0" applyNumberFormat="1"/>
    <xf numFmtId="168" fontId="0" fillId="0" borderId="0" xfId="0" applyNumberFormat="1" applyAlignment="1">
      <alignment horizontal="right"/>
    </xf>
    <xf numFmtId="166" fontId="0" fillId="0" borderId="0" xfId="0" applyNumberFormat="1"/>
    <xf numFmtId="49" fontId="0" fillId="0" borderId="0" xfId="1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40" fillId="0" borderId="0" xfId="0" applyFont="1"/>
    <xf numFmtId="0" fontId="0" fillId="0" borderId="0" xfId="0" applyAlignment="1">
      <alignment horizontal="right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5" fillId="0" borderId="15" xfId="0" applyFont="1" applyBorder="1" applyAlignment="1">
      <alignment horizontal="left" wrapText="1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35" fillId="0" borderId="5" xfId="0" applyFont="1" applyBorder="1" applyAlignment="1">
      <alignment horizontal="left" vertical="center" wrapText="1"/>
    </xf>
    <xf numFmtId="0" fontId="35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7" fillId="0" borderId="1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9" fillId="0" borderId="5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1" fillId="0" borderId="21" xfId="0" applyFont="1" applyBorder="1"/>
  </cellXfs>
  <cellStyles count="3">
    <cellStyle name="Hyperlink" xfId="2" xr:uid="{00000000-000B-0000-0000-000008000000}"/>
    <cellStyle name="Normal" xfId="0" builtinId="0"/>
    <cellStyle name="Porcentagem" xfId="1" builtinId="5"/>
  </cellStyles>
  <dxfs count="112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8" formatCode="[$€-2]\ #,##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/>
    </dxf>
    <dxf>
      <numFmt numFmtId="167" formatCode="[$€-2]\ #,##0.00"/>
      <alignment horizontal="center"/>
    </dxf>
    <dxf>
      <numFmt numFmtId="167" formatCode="[$€-2]\ #,##0.00"/>
    </dxf>
    <dxf>
      <numFmt numFmtId="167" formatCode="[$€-2]\ #,##0.00"/>
    </dxf>
    <dxf>
      <numFmt numFmtId="164" formatCode="[$-416]mmm\-yy;@"/>
    </dxf>
    <dxf>
      <alignment horizontal="center" vertical="bottom" textRotation="0" wrapText="0" indent="0" justifyLastLine="0" shrinkToFit="0" readingOrder="0"/>
    </dxf>
    <dxf>
      <numFmt numFmtId="0" formatCode="General"/>
      <alignment horizontal="fill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</dxf>
    <dxf>
      <numFmt numFmtId="19" formatCode="dd/mm/yyyy"/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6" formatCode="[$USD]\ #,##0.00"/>
      <alignment horizontal="fil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USD]\ 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USD]\ #,##0.00"/>
      <alignment horizontal="fil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[$€-2]\ 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[$€-2]\ #,##0"/>
      <alignment horizontal="right" vertical="bottom" textRotation="0" wrapText="0" indent="0" justifyLastLine="0" shrinkToFit="0" readingOrder="0"/>
    </dxf>
    <dxf>
      <numFmt numFmtId="169" formatCode="0000000000000"/>
      <alignment horizontal="center" vertical="bottom" textRotation="0" wrapText="0" indent="0" justifyLastLine="0" shrinkToFit="0" readingOrder="0"/>
    </dxf>
    <dxf>
      <numFmt numFmtId="1" formatCode="0"/>
      <alignment horizontal="center"/>
    </dxf>
    <dxf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 patternType="solid">
          <bgColor rgb="FFFFC000"/>
        </patternFill>
      </fill>
      <border>
        <vertical/>
        <horizontal/>
      </border>
    </dxf>
    <dxf>
      <font>
        <color auto="1"/>
      </font>
      <fill>
        <patternFill patternType="solid">
          <bgColor rgb="FFFFC000"/>
        </patternFill>
      </fill>
      <border>
        <vertical/>
        <horizontal/>
      </border>
    </dxf>
    <dxf>
      <font>
        <color auto="1"/>
      </font>
      <fill>
        <patternFill patternType="solid">
          <bgColor rgb="FFFFC000"/>
        </patternFill>
      </fill>
      <border>
        <vertical/>
        <horizontal/>
      </border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0"/>
      </font>
      <fill>
        <patternFill>
          <bgColor rgb="FFF0903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8" formatCode="[$€-2]\ #,##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/>
    </dxf>
    <dxf>
      <numFmt numFmtId="167" formatCode="[$€-2]\ #,##0.00"/>
      <alignment horizontal="center"/>
    </dxf>
    <dxf>
      <numFmt numFmtId="167" formatCode="[$€-2]\ #,##0.00"/>
    </dxf>
    <dxf>
      <numFmt numFmtId="167" formatCode="[$€-2]\ #,##0.00"/>
    </dxf>
    <dxf>
      <numFmt numFmtId="164" formatCode="[$-416]mmm\-yy;@"/>
    </dxf>
    <dxf>
      <alignment horizontal="center" vertical="bottom" textRotation="0" wrapText="0" indent="0" justifyLastLine="0" shrinkToFit="0" readingOrder="0"/>
    </dxf>
    <dxf>
      <numFmt numFmtId="0" formatCode="General"/>
      <alignment horizontal="fill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</dxf>
    <dxf>
      <numFmt numFmtId="19" formatCode="dd/mm/yyyy"/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6" formatCode="[$USD]\ #,##0.00"/>
      <alignment horizontal="fil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USD]\ #,##0.00"/>
      <alignment horizontal="general" vertical="bottom" textRotation="0" wrapText="0" indent="0" justifyLastLine="0" shrinkToFit="0" readingOrder="0"/>
    </dxf>
    <dxf>
      <numFmt numFmtId="166" formatCode="[$USD]\ #,##0.00"/>
      <alignment horizontal="fil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[$€-2]\ 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[$€-2]\ #,##0"/>
      <alignment horizontal="right" vertical="bottom" textRotation="0" wrapText="0" indent="0" justifyLastLine="0" shrinkToFit="0" readingOrder="0"/>
    </dxf>
    <dxf>
      <numFmt numFmtId="169" formatCode="0000000000000"/>
      <alignment horizontal="center" vertical="bottom" textRotation="0" wrapText="0" indent="0" justifyLastLine="0" shrinkToFit="0" readingOrder="0"/>
    </dxf>
    <dxf>
      <numFmt numFmtId="1" formatCode="0"/>
      <alignment horizontal="center"/>
    </dxf>
    <dxf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 patternType="solid">
          <bgColor rgb="FFFFC000"/>
        </patternFill>
      </fill>
      <border>
        <vertical/>
        <horizontal/>
      </border>
    </dxf>
    <dxf>
      <font>
        <color auto="1"/>
      </font>
      <fill>
        <patternFill patternType="solid">
          <bgColor rgb="FFFFC000"/>
        </patternFill>
      </fill>
      <border>
        <vertical/>
        <horizontal/>
      </border>
    </dxf>
    <dxf>
      <font>
        <color auto="1"/>
      </font>
      <fill>
        <patternFill patternType="solid">
          <bgColor rgb="FFFFC000"/>
        </patternFill>
      </fill>
      <border>
        <vertical/>
        <horizontal/>
      </border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0"/>
      </font>
      <fill>
        <patternFill>
          <bgColor rgb="FFF0903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border>
        <left style="thin">
          <color rgb="FF9832EC"/>
        </left>
      </border>
    </dxf>
    <dxf>
      <border>
        <left style="thin">
          <color rgb="FF9832EC"/>
        </left>
      </border>
    </dxf>
    <dxf>
      <border>
        <top style="thin">
          <color rgb="FF9832EC"/>
        </top>
      </border>
    </dxf>
    <dxf>
      <border>
        <top style="thin">
          <color rgb="FF9832EC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rgb="FF9832EC"/>
        </top>
      </border>
    </dxf>
    <dxf>
      <font>
        <b/>
        <color theme="0"/>
      </font>
      <fill>
        <patternFill patternType="solid">
          <fgColor theme="5"/>
          <bgColor rgb="FF9832EC"/>
        </patternFill>
      </fill>
    </dxf>
    <dxf>
      <font>
        <color theme="1"/>
      </font>
      <border>
        <left style="thin">
          <color rgb="FF9832EC"/>
        </left>
        <right style="thin">
          <color rgb="FF9832EC"/>
        </right>
        <top style="thin">
          <color rgb="FF9832EC"/>
        </top>
        <bottom style="thin">
          <color rgb="FF9832EC"/>
        </bottom>
      </border>
    </dxf>
    <dxf>
      <fill>
        <patternFill patternType="solid">
          <fgColor theme="5" tint="0.59999389629810485"/>
          <bgColor rgb="FFD3ADF9"/>
        </patternFill>
      </fill>
    </dxf>
    <dxf>
      <fill>
        <patternFill patternType="solid">
          <fgColor theme="5" tint="0.59999389629810485"/>
          <bgColor rgb="FFD3ADF9"/>
        </patternFill>
      </fill>
    </dxf>
    <dxf>
      <font>
        <b/>
        <color theme="0"/>
      </font>
      <fill>
        <patternFill patternType="solid">
          <fgColor theme="5"/>
          <bgColor rgb="FF9832EC"/>
        </patternFill>
      </fill>
    </dxf>
    <dxf>
      <font>
        <b/>
        <color theme="0"/>
      </font>
      <fill>
        <patternFill patternType="solid">
          <fgColor theme="5"/>
          <bgColor rgb="FF9832EC"/>
        </patternFill>
      </fill>
    </dxf>
    <dxf>
      <font>
        <b/>
        <color theme="0"/>
      </font>
      <fill>
        <patternFill patternType="solid">
          <fgColor theme="5"/>
          <bgColor rgb="FF9832EC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5"/>
          <bgColor rgb="FF9832EC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5" tint="0.79995117038483843"/>
          <bgColor rgb="FFEBD6FC"/>
        </patternFill>
      </fill>
      <border>
        <vertical style="thin">
          <color theme="0"/>
        </vertical>
        <horizontal style="thin">
          <color theme="0"/>
        </horizontal>
      </border>
    </dxf>
    <dxf>
      <border>
        <left style="thin">
          <color rgb="FFA4800C"/>
        </left>
      </border>
    </dxf>
    <dxf>
      <border>
        <left style="thin">
          <color rgb="FFA4800C"/>
        </left>
      </border>
    </dxf>
    <dxf>
      <border>
        <top style="thin">
          <color rgb="FFA4800C"/>
        </top>
      </border>
    </dxf>
    <dxf>
      <border>
        <top style="thin">
          <color rgb="FFA4800C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rgb="FFA4800C"/>
        </top>
      </border>
    </dxf>
    <dxf>
      <font>
        <b/>
        <color theme="0"/>
      </font>
      <fill>
        <patternFill patternType="solid">
          <fgColor theme="5"/>
          <bgColor rgb="FFA4800C"/>
        </patternFill>
      </fill>
    </dxf>
    <dxf>
      <font>
        <color theme="1"/>
      </font>
      <border>
        <left style="thin">
          <color rgb="FFA4800C"/>
        </left>
        <right style="thin">
          <color rgb="FFA4800C"/>
        </right>
        <top style="thin">
          <color rgb="FFA4800C"/>
        </top>
        <bottom style="thin">
          <color rgb="FFA4800C"/>
        </bottom>
      </border>
    </dxf>
    <dxf>
      <fill>
        <patternFill patternType="solid">
          <fgColor theme="5" tint="0.59999389629810485"/>
          <bgColor rgb="FFF9E1AD"/>
        </patternFill>
      </fill>
    </dxf>
    <dxf>
      <fill>
        <patternFill patternType="solid">
          <fgColor theme="5" tint="0.59999389629810485"/>
          <bgColor rgb="FFF9E1AD"/>
        </patternFill>
      </fill>
    </dxf>
    <dxf>
      <font>
        <b/>
        <color theme="0"/>
      </font>
      <fill>
        <patternFill patternType="solid">
          <fgColor theme="5"/>
          <bgColor rgb="FFA4800C"/>
        </patternFill>
      </fill>
    </dxf>
    <dxf>
      <font>
        <b/>
        <color theme="0"/>
      </font>
      <fill>
        <patternFill patternType="solid">
          <fgColor theme="5"/>
          <bgColor rgb="FFA4800C"/>
        </patternFill>
      </fill>
    </dxf>
    <dxf>
      <font>
        <b/>
        <color theme="0"/>
      </font>
      <fill>
        <patternFill patternType="solid">
          <fgColor theme="5"/>
          <bgColor rgb="FFA4800C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5"/>
          <bgColor rgb="FFA4800C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5" tint="0.79995117038483843"/>
          <bgColor rgb="FFFDF4D5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4" defaultTableStyle="TableStyleMedium2" defaultPivotStyle="PivotStyleLight16">
    <tableStyle name="Esferatur1" pivot="0" count="7" xr9:uid="{68CD9FB6-0289-4C2D-A603-05A627800A05}">
      <tableStyleElement type="wholeTable" dxfId="111"/>
      <tableStyleElement type="headerRow" dxfId="110"/>
      <tableStyleElement type="totalRow" dxfId="109"/>
      <tableStyleElement type="firstColumn" dxfId="108"/>
      <tableStyleElement type="lastColumn" dxfId="107"/>
      <tableStyleElement type="firstRowStripe" dxfId="106"/>
      <tableStyleElement type="firstColumnStripe" dxfId="105"/>
    </tableStyle>
    <tableStyle name="Esferatur2" pivot="0" count="9" xr9:uid="{A7B744A5-6CA7-488E-A6AE-3692D560CBA0}">
      <tableStyleElement type="wholeTable" dxfId="104"/>
      <tableStyleElement type="headerRow" dxfId="103"/>
      <tableStyleElement type="totalRow" dxfId="102"/>
      <tableStyleElement type="firstColumn" dxfId="101"/>
      <tableStyleElement type="lastColumn" dxfId="100"/>
      <tableStyleElement type="firstRowStripe" dxfId="99"/>
      <tableStyleElement type="secondRowStripe" dxfId="98"/>
      <tableStyleElement type="firstColumnStripe" dxfId="97"/>
      <tableStyleElement type="secondColumnStripe" dxfId="96"/>
    </tableStyle>
    <tableStyle name="RexturAdvance1" pivot="0" count="7" xr9:uid="{029EEABA-7901-4D29-98F9-082E599AF9D6}">
      <tableStyleElement type="wholeTable" dxfId="95"/>
      <tableStyleElement type="headerRow" dxfId="94"/>
      <tableStyleElement type="totalRow" dxfId="93"/>
      <tableStyleElement type="firstColumn" dxfId="92"/>
      <tableStyleElement type="lastColumn" dxfId="91"/>
      <tableStyleElement type="firstRowStripe" dxfId="90"/>
      <tableStyleElement type="firstColumnStripe" dxfId="89"/>
    </tableStyle>
    <tableStyle name="RexturAdvance2" pivot="0" count="9" xr9:uid="{AE573D83-43B0-419F-8D7C-C56C144E2AE8}">
      <tableStyleElement type="wholeTable" dxfId="88"/>
      <tableStyleElement type="headerRow" dxfId="87"/>
      <tableStyleElement type="totalRow" dxfId="86"/>
      <tableStyleElement type="firstColumn" dxfId="85"/>
      <tableStyleElement type="lastColumn" dxfId="84"/>
      <tableStyleElement type="firstRowStripe" dxfId="83"/>
      <tableStyleElement type="secondRowStripe" dxfId="82"/>
      <tableStyleElement type="firstColumnStripe" dxfId="81"/>
      <tableStyleElement type="secondColumnStripe" dxfId="80"/>
    </tableStyle>
  </tableStyles>
  <colors>
    <mruColors>
      <color rgb="FFF09030"/>
      <color rgb="FFFF6969"/>
      <color rgb="FFE2AC00"/>
      <color rgb="FFC89800"/>
      <color rgb="FFA4800C"/>
      <color rgb="FFF9E1AD"/>
      <color rgb="FFFDF4D5"/>
      <color rgb="FFEFC12F"/>
      <color rgb="FF9832EC"/>
      <color rgb="FFD1A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leber Luciano - RexturAdvance" id="{18FB2C18-D7C6-44E3-96D4-FB88A5AF97A5}" userId="S::cleber.luciano@rexturadvance.com.br::f2537786-77af-4232-ab37-6671c623ae4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F4358-4CA3-43E4-A7C4-B26D45E9F6DC}" name="ProtocolosAF" displayName="ProtocolosAF" ref="A15:W921" totalsRowShown="0">
  <autoFilter ref="A15:W921" xr:uid="{BBFF4358-4CA3-43E4-A7C4-B26D45E9F6DC}">
    <filterColumn colId="0">
      <filters>
        <dateGroupItem year="2026" month="10" dateTimeGrouping="month"/>
      </filters>
    </filterColumn>
    <filterColumn colId="11" hiddenButton="1"/>
  </autoFilter>
  <tableColumns count="23">
    <tableColumn id="2" xr3:uid="{B1E6AF6E-CFD1-4FD0-8D9C-BF2E3E96C696}" name="DATA" dataDxfId="68"/>
    <tableColumn id="3" xr3:uid="{F26BFF9E-311D-413D-931D-3648157D02DD}" name="UNIDADE"/>
    <tableColumn id="9" xr3:uid="{921B0548-D38D-4C55-AB7D-2E8721E21584}" name="LOC GDS"/>
    <tableColumn id="4" xr3:uid="{97C279D6-607B-4BC0-BFE5-BFAF2AF41490}" name="LOC CIA" dataDxfId="67"/>
    <tableColumn id="13" xr3:uid="{C39D2D21-F7F9-46C1-B258-2C9B56DD7B85}" name="TIPO" dataDxfId="66"/>
    <tableColumn id="11" xr3:uid="{F0ECF1EB-B36F-4AFF-BC07-3CFBD4F5B8AA}" name="IATA" dataDxfId="65"/>
    <tableColumn id="6" xr3:uid="{2B11A889-E7B9-44AF-A450-8492C668FAF5}" name="BILHETE/EMD" dataDxfId="64"/>
    <tableColumn id="19" xr3:uid="{34116443-E16E-490E-B13F-E3120A90491C}" name="TARIFA ORIG MULTA SERVIÇO EUR" dataDxfId="63"/>
    <tableColumn id="20" xr3:uid="{DA4D416E-67F5-4F75-80EF-4C0D7DF3723C}" name="% DESC" dataDxfId="62"/>
    <tableColumn id="23" xr3:uid="{B62DC7BB-7834-4303-874A-4DDB848FDCC1}" name="VALOR COTA EUR" dataDxfId="61">
      <calculatedColumnFormula array="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calculatedColumnFormula>
    </tableColumn>
    <tableColumn id="21" xr3:uid="{A6292E13-E482-443F-9413-068EF02BD54C}" name="SOLICITANTE" dataDxfId="60"/>
    <tableColumn id="22" xr3:uid="{EF1947B5-7B59-4B9C-BA5F-E0A67D6632B8}" name="JUSTIFICATIVA" dataDxfId="59"/>
    <tableColumn id="15" xr3:uid="{BA8270DB-451A-46E4-A821-C23324EFEA54}" name="STATUS" dataDxfId="58"/>
    <tableColumn id="16" xr3:uid="{A672029E-4881-48C1-9BE9-A2E337928412}" name="APROVADOR" dataDxfId="57"/>
    <tableColumn id="30" xr3:uid="{680F6110-65B9-4899-8FC2-0E258F328DDA}" name="DESTINO" dataDxfId="56"/>
    <tableColumn id="29" xr3:uid="{32C11305-3CCA-4ADA-A988-945812438EE0}" name="ADVP" dataDxfId="55"/>
    <tableColumn id="7" xr3:uid="{002C035B-9354-4347-BABA-AF156A01151C}" name="RESPONSÁVEL PELA PROTEÇÃO" dataDxfId="54"/>
    <tableColumn id="8" xr3:uid="{B774F545-0256-4C17-B96C-EE8CBE59EEEA}" name="DATA DA PROTEÇÃO" dataDxfId="53"/>
    <tableColumn id="10" xr3:uid="{33857DBB-F7BB-4806-AE47-557FAEE71E57}" name="WAIVER" dataDxfId="52"/>
    <tableColumn id="18" xr3:uid="{708D174A-684A-436C-B8C3-52CB8A641EF2}" name="PNTKT" dataDxfId="51">
      <calculatedColumnFormula>IF(AND(ProtocolosAF[[#This Row],[STATUS]]="APROVADO",ProtocolosAF[[#This Row],[BILHETE/EMD]]=""),"Y","")</calculatedColumnFormula>
    </tableColumn>
    <tableColumn id="1" xr3:uid="{4B6B823A-8B4A-4C98-BFEC-C25743A1E423}" name="NOME PAX"/>
    <tableColumn id="12" xr3:uid="{2D153493-8EEF-443D-BE6B-478617674450}" name="REF" dataDxfId="50">
      <calculatedColumnFormula>_xlfn.CONCAT(C16,U16)</calculatedColumnFormula>
    </tableColumn>
    <tableColumn id="5" xr3:uid="{3E50E054-D6D4-4398-BB0F-C531B2AEDFE9}" name="ID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B855FD-92D6-4E75-81A9-403F74F5C869}" name="ResumoAF" displayName="ResumoAF" ref="A1:D13" totalsRowShown="0" headerRowDxfId="49">
  <tableColumns count="4">
    <tableColumn id="1" xr3:uid="{7B3BFA52-FC06-4774-AB53-E956E0EAA583}" name="MÊS" dataDxfId="48"/>
    <tableColumn id="2" xr3:uid="{DE254447-A8EF-45B1-A4BD-34A1778C047C}" name="COTA" dataDxfId="47"/>
    <tableColumn id="3" xr3:uid="{3E96464E-BC5F-4A35-8C48-E5765FB6CCE2}" name="UTILIZADO" dataDxfId="46">
      <calculatedColumnFormula>IF(SUMIFS(ProtocolosAF[VALOR COTA EUR],ProtocolosAF[BILHETE/EMD],"&lt;&gt;"&amp;"",ProtocolosAF[STATUS],"="&amp;"APROVADO",ProtocolosAF[TIPO],"&lt;&gt;"&amp;"FARE MATCH",ProtocolosAF[DATA],"&gt;="&amp;A2,ProtocolosAF[DATA],"&lt;="&amp;EOMONTH(A2,0))&lt;&gt;0,SUMIFS(ProtocolosAF[VALOR COTA EUR],ProtocolosAF[BILHETE/EMD],"&lt;&gt;"&amp;"",ProtocolosAF[STATUS],"="&amp;"APROVADO",ProtocolosAF[TIPO],"&lt;&gt;"&amp;"FARE MATCH",ProtocolosAF[DATA],"&gt;="&amp;A2,ProtocolosAF[DATA],"&lt;="&amp;EOMONTH(A2,0)),"")</calculatedColumnFormula>
    </tableColumn>
    <tableColumn id="4" xr3:uid="{9B5911E6-3248-4B44-8486-29AFD46BEEB4}" name="DISPONÍVEL" dataDxfId="45">
      <calculatedColumnFormula>IFERROR(B2-C2,"")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F26D8C-F1F2-4B28-8822-E59A3A64DF06}" name="TabelaErroAF" displayName="TabelaErroAF" ref="E2:I10" totalsRowShown="0">
  <tableColumns count="5">
    <tableColumn id="1" xr3:uid="{280D04BD-5900-47F1-BF54-32A71AD59615}" name="UNIDADE" dataDxfId="44"/>
    <tableColumn id="2" xr3:uid="{C9A3CB1F-3709-48C1-9EBE-799774F00273}" name="PEND ANÁLISE" dataDxfId="43">
      <calculatedColumnFormula>IF(SUM(COUNTIFS(ProtocolosAF[STATUS],"&lt;&gt;"&amp;"APROVADO",ProtocolosAF[BILHETE/EMD],"&lt;&gt;"&amp;"",ProtocolosAF[UNIDADE],"="&amp;TabelaErroAF[[#This Row],[UNIDADE]]),COUNTIFS(ProtocolosAF[PNTKT],"Y",ProtocolosAF[UNIDADE],"="&amp;TabelaErroAF[[#This Row],[UNIDADE]]))&gt;0,SUM(COUNTIFS(ProtocolosAF[STATUS],"&lt;&gt;"&amp;"APROVADO",ProtocolosAF[BILHETE/EMD],"&lt;&gt;"&amp;"",ProtocolosAF[UNIDADE],"="&amp;TabelaErroAF[[#This Row],[UNIDADE]]),COUNTIFS(ProtocolosAF[PNTKT],"Y",ProtocolosAF[UNIDADE],"="&amp;TabelaErroAF[[#This Row],[UNIDADE]])),"")</calculatedColumnFormula>
    </tableColumn>
    <tableColumn id="3" xr3:uid="{A915E89B-19D4-4849-A96E-A4E5D343B80D}" name="UTILIZADO" dataDxfId="42">
      <calculatedColumnFormula>IF(SUMIFS(ProtocolosAF[VALOR COTA EUR],ProtocolosAF[BILHETE/EMD],"&lt;&gt;"&amp;"",ProtocolosAF[STATUS],"="&amp;"APROVADO",ProtocolosAF[UNIDADE],"="&amp;TabelaErroAF[[#This Row],[UNIDADE]],ProtocolosAF[DATA],"&gt;="&amp;$H$1,ProtocolosAF[DATA],"&lt;="&amp;EOMONTH($H$1,0))&lt;&gt;0,SUMIFS(ProtocolosAF[VALOR COTA EUR],ProtocolosAF[BILHETE/EMD],"&lt;&gt;"&amp;"",ProtocolosAF[STATUS],"="&amp;"APROVADO",ProtocolosAF[UNIDADE],"="&amp;TabelaErroAF[[#This Row],[UNIDADE]],ProtocolosAF[DATA],"&gt;="&amp;$H$1,ProtocolosAF[DATA],"&lt;="&amp;EOMONTH($H$1,0)),"")</calculatedColumnFormula>
    </tableColumn>
    <tableColumn id="4" xr3:uid="{213EE982-9AC4-420C-AC85-2D14DD5B45AF}" name="SHARE" dataDxfId="41">
      <calculatedColumnFormula>IFERROR(TabelaErroAF[[#This Row],[UTILIZADO]]/SUM(TabelaErroAF[UTILIZADO]),"")</calculatedColumnFormula>
    </tableColumn>
    <tableColumn id="5" xr3:uid="{B8C31B34-B19B-46CB-8B8B-9D62F6D380AD}" name="PN PROT" dataDxfId="40">
      <calculatedColumnFormula>IF(SUM(COUNTIFS(ProtocolosAF[BILHETE/EMD],"&lt;&gt;"&amp;"",ProtocolosAF[STATUS],"="&amp;"APROVADO",ProtocolosAF[WAIVER],"="&amp;"",ProtocolosAF[UNIDADE],"="&amp;TabelaErroAF[[#This Row],[UNIDADE]]))&gt;0,COUNTIFS(ProtocolosAF[BILHETE/EMD],"&lt;&gt;"&amp;"",ProtocolosAF[STATUS],"="&amp;"APROVADO",ProtocolosAF[WAIVER],"="&amp;"",ProtocolosAF[UNIDADE],"="&amp;TabelaErroAF[[#This Row],[UNIDADE]]),"")</calculatedColumn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9A7A75-893C-4473-B408-F90FD01028CC}" name="ProtocolosKL" displayName="ProtocolosKL" ref="A15:W436" totalsRowShown="0">
  <autoFilter ref="A15:W436" xr:uid="{D89A7A75-893C-4473-B408-F90FD01028CC}">
    <filterColumn colId="0">
      <filters>
        <dateGroupItem year="2026" month="8" dateTimeGrouping="month"/>
        <dateGroupItem year="2026" month="9" dateTimeGrouping="month"/>
        <dateGroupItem year="2026" month="10" dateTimeGrouping="month"/>
      </filters>
    </filterColumn>
  </autoFilter>
  <sortState xmlns:xlrd2="http://schemas.microsoft.com/office/spreadsheetml/2017/richdata2" ref="A16:W367">
    <sortCondition ref="A15:A367"/>
  </sortState>
  <tableColumns count="23">
    <tableColumn id="2" xr3:uid="{BC42BBAD-1416-4736-B6C4-A4E4EE00CB91}" name="DATA" dataDxfId="28"/>
    <tableColumn id="3" xr3:uid="{ACC324BE-DD95-437F-B73E-162B2C747082}" name="UNIDADE"/>
    <tableColumn id="9" xr3:uid="{E1BB5B7F-E579-4B2B-95B3-774C4A35EB70}" name="LOC GDS"/>
    <tableColumn id="4" xr3:uid="{D31F235F-566D-4D43-BD64-9BCA66C0F4E0}" name="LOC CIA" dataDxfId="27"/>
    <tableColumn id="13" xr3:uid="{E6AF15AA-F236-48A4-B11E-ABDC7FE05F6A}" name="TIPO" dataDxfId="26"/>
    <tableColumn id="11" xr3:uid="{90724108-0890-4F02-A05C-BA666302E83A}" name="IATA" dataDxfId="25"/>
    <tableColumn id="6" xr3:uid="{9C6AA472-F28B-42B4-A597-7F26E65120C5}" name="BILHETE/EMD" dataDxfId="24"/>
    <tableColumn id="19" xr3:uid="{1C7342F8-30BD-4E8A-A560-1F65EBBFE5DE}" name="TARIFA ORIG MULTA SERVIÇO EUR" dataDxfId="23"/>
    <tableColumn id="20" xr3:uid="{E5E094BA-27D6-4290-924C-9A3F41938459}" name="% DESC" dataDxfId="22"/>
    <tableColumn id="23" xr3:uid="{9F06F585-2A74-4AED-A053-3060364A9579}" name="VALOR COTA EUR" dataDxfId="21">
      <calculatedColumnFormula array="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calculatedColumnFormula>
    </tableColumn>
    <tableColumn id="21" xr3:uid="{CEEE467A-F7DD-411A-9FFD-5D041ADD7AF0}" name="SOLICITANTE" dataDxfId="20"/>
    <tableColumn id="22" xr3:uid="{C52F9D73-EB78-41F8-B9B2-9E9533EC83EF}" name="JUSTIFICATIVA" dataDxfId="19"/>
    <tableColumn id="15" xr3:uid="{C7543AD7-FE89-4A92-9A8E-0C7F7DE88FEA}" name="STATUS" dataDxfId="18"/>
    <tableColumn id="16" xr3:uid="{7A402088-B73F-45D4-8CE2-FA3A114498BF}" name="APROVADOR" dataDxfId="17"/>
    <tableColumn id="30" xr3:uid="{49723A8C-6AD0-4A06-90EF-7F4D155EB575}" name="DESTINO" dataDxfId="16"/>
    <tableColumn id="29" xr3:uid="{7430619F-883B-42FC-A144-3AA1E8537201}" name="ADVP" dataDxfId="15"/>
    <tableColumn id="7" xr3:uid="{B2B424CF-0DEA-460B-A8C5-29C4C395FBB5}" name="RESPONSÁVEL PELA PROTEÇÃO" dataDxfId="14"/>
    <tableColumn id="8" xr3:uid="{6F979977-37FE-4EBB-B5F5-7814C29297C5}" name="DATA DA PROTEÇÃO" dataDxfId="13"/>
    <tableColumn id="10" xr3:uid="{ED0F1AFE-18AB-445F-BFC8-9C9625235EFE}" name="WAIVER" dataDxfId="12"/>
    <tableColumn id="18" xr3:uid="{7C76543B-3DA5-4921-AB2A-2881006AE2C0}" name="PNTKT" dataDxfId="11">
      <calculatedColumnFormula>IF(AND(ProtocolosKL[[#This Row],[STATUS]]="APROVADO",ProtocolosKL[[#This Row],[WAIVER]]=""),"Y","")</calculatedColumnFormula>
    </tableColumn>
    <tableColumn id="1" xr3:uid="{E1DD2870-9DA7-4A8D-94D9-38658ADDB3C3}" name="NOME PAX"/>
    <tableColumn id="12" xr3:uid="{DC32191E-184E-4943-B90B-783FC91CE081}" name="REF" dataDxfId="10">
      <calculatedColumnFormula>_xlfn.CONCAT(C16,U16)</calculatedColumnFormula>
    </tableColumn>
    <tableColumn id="5" xr3:uid="{0EC74A18-78F3-427B-A9BE-D25A2E2F8AB3}" name="ID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158545-4563-46FA-B6CB-A97AEE383226}" name="ResumoKL" displayName="ResumoKL" ref="A1:D13" totalsRowShown="0" headerRowDxfId="9">
  <tableColumns count="4">
    <tableColumn id="1" xr3:uid="{59F36835-BCA8-4236-A8F8-6617E49C97B3}" name="MÊS" dataDxfId="8"/>
    <tableColumn id="2" xr3:uid="{C488C0DA-C2EC-429B-A439-1910B1CD39ED}" name="COTA" dataDxfId="7"/>
    <tableColumn id="3" xr3:uid="{88456FB4-468E-43ED-B803-1D704F3587BE}" name="UTILIZADO" dataDxfId="6">
      <calculatedColumnFormula>IF(SUMIFS(ProtocolosKL[VALOR COTA EUR],ProtocolosKL[BILHETE/EMD],"&lt;&gt;"&amp;"",ProtocolosKL[STATUS],"="&amp;"APROVADO",ProtocolosKL[TIPO],"&lt;&gt;"&amp;"FARE MATCH",ProtocolosKL[DATA],"&gt;="&amp;A2,ProtocolosKL[DATA],"&lt;="&amp;EOMONTH(A2,0))&lt;&gt;0,SUMIFS(ProtocolosKL[VALOR COTA EUR],ProtocolosKL[BILHETE/EMD],"&lt;&gt;"&amp;"",ProtocolosKL[STATUS],"="&amp;"APROVADO",ProtocolosKL[TIPO],"&lt;&gt;"&amp;"FARE MATCH",ProtocolosKL[DATA],"&gt;="&amp;A2,ProtocolosKL[DATA],"&lt;="&amp;EOMONTH(A2,0)),"")</calculatedColumnFormula>
    </tableColumn>
    <tableColumn id="4" xr3:uid="{57E71CB6-8397-4DB2-A9FE-8A92D2843677}" name="DISPONÍVEL" dataDxfId="5">
      <calculatedColumnFormula>IFERROR(B2-C2,"")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1F96E8-4D55-4892-986E-5273AE24DD77}" name="TabelaErroKL" displayName="TabelaErroKL" ref="E2:I10" totalsRowShown="0">
  <tableColumns count="5">
    <tableColumn id="1" xr3:uid="{C8AEF844-D678-44DF-B6AD-C2AFCCF821E0}" name="UNIDADE" dataDxfId="4"/>
    <tableColumn id="2" xr3:uid="{51A10ABB-2DA1-4BC3-9099-FF23D0819383}" name="PEND ANÁLISE" dataDxfId="3">
      <calculatedColumnFormula>IF(SUM(COUNTIFS(ProtocolosKL[STATUS],"&lt;&gt;"&amp;"APROVADO",ProtocolosKL[BILHETE/EMD],"&lt;&gt;"&amp;"",ProtocolosKL[UNIDADE],"="&amp;TabelaErroKL[[#This Row],[UNIDADE]]),COUNTIFS(ProtocolosKL[PNTKT],"Y",ProtocolosKL[UNIDADE],"="&amp;TabelaErroKL[[#This Row],[UNIDADE]]))&gt;0,SUM(COUNTIFS(ProtocolosKL[STATUS],"&lt;&gt;"&amp;"APROVADO",ProtocolosKL[BILHETE/EMD],"&lt;&gt;"&amp;"",ProtocolosKL[UNIDADE],"="&amp;TabelaErroKL[[#This Row],[UNIDADE]]),COUNTIFS(ProtocolosKL[PNTKT],"Y",ProtocolosKL[UNIDADE],"="&amp;TabelaErroKL[[#This Row],[UNIDADE]])),"")</calculatedColumnFormula>
    </tableColumn>
    <tableColumn id="3" xr3:uid="{12A96F59-775C-4447-BEE8-9B910AB9278A}" name="UTILIZADO" dataDxfId="2">
      <calculatedColumnFormula>IF(SUMIFS(ProtocolosKL[VALOR COTA EUR],ProtocolosKL[BILHETE/EMD],"&lt;&gt;"&amp;"",ProtocolosKL[STATUS],"="&amp;"APROVADO",ProtocolosKL[UNIDADE],"="&amp;TabelaErroKL[[#This Row],[UNIDADE]],ProtocolosKL[DATA],"&gt;="&amp;$H$1,ProtocolosKL[DATA],"&lt;="&amp;EOMONTH($H$1,0))&lt;&gt;0,SUMIFS(ProtocolosKL[VALOR COTA EUR],ProtocolosKL[BILHETE/EMD],"&lt;&gt;"&amp;"",ProtocolosKL[STATUS],"="&amp;"APROVADO",ProtocolosKL[UNIDADE],"="&amp;TabelaErroKL[[#This Row],[UNIDADE]],ProtocolosKL[DATA],"&gt;="&amp;$H$1,ProtocolosKL[DATA],"&lt;="&amp;EOMONTH($H$1,0)),"")</calculatedColumnFormula>
    </tableColumn>
    <tableColumn id="4" xr3:uid="{E79C3128-F996-466A-A550-C8B54C214632}" name="SHARE" dataDxfId="1">
      <calculatedColumnFormula>IFERROR(TabelaErroKL[[#This Row],[UTILIZADO]]/SUM(TabelaErroKL[UTILIZADO]),"")</calculatedColumnFormula>
    </tableColumn>
    <tableColumn id="5" xr3:uid="{CFEAF7DF-8E59-472A-81F2-0D090CDF5AF2}" name="PN PROT" dataDxfId="0">
      <calculatedColumnFormula>IF(SUM(COUNTIFS(ProtocolosKL[BILHETE/EMD],"&lt;&gt;"&amp;"",ProtocolosKL[STATUS],"="&amp;"APROVADO",ProtocolosKL[WAIVER],"="&amp;"",ProtocolosKL[UNIDADE],"="&amp;TabelaErroKL[[#This Row],[UNIDADE]]))&gt;0,COUNTIFS(ProtocolosKL[BILHETE/EMD],"&lt;&gt;"&amp;"",ProtocolosKL[STATUS],"="&amp;"APROVADO",ProtocolosKL[WAIVER],"="&amp;"",ProtocolosKL[UNIDADE],"="&amp;TabelaErroKL[[#This Row],[UNIDADE]]),"")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80" dT="2026-06-11T15:24:48.44" personId="{18FB2C18-D7C6-44E3-96D4-FB88A5AF97A5}" id="{DADE970F-14B8-4758-9B2B-CE160D266B24}">
    <text xml:space="preserve">0574238087968
0574238087969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nielle.parascandalo@rexturadvance.com.br" TargetMode="External"/><Relationship Id="rId13" Type="http://schemas.openxmlformats.org/officeDocument/2006/relationships/hyperlink" Target="mailto:vivianeregina@cvccorp.com.br" TargetMode="External"/><Relationship Id="rId18" Type="http://schemas.openxmlformats.org/officeDocument/2006/relationships/hyperlink" Target="mailto:leonardo.thereziano@rexturadvance.com.br" TargetMode="External"/><Relationship Id="rId26" Type="http://schemas.openxmlformats.org/officeDocument/2006/relationships/comments" Target="../comments1.xml"/><Relationship Id="rId3" Type="http://schemas.openxmlformats.org/officeDocument/2006/relationships/hyperlink" Target="mailto:leandro.galdino@rexturadvance.com.br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alanavelhan@rexturadvance.com.br" TargetMode="External"/><Relationship Id="rId12" Type="http://schemas.openxmlformats.org/officeDocument/2006/relationships/hyperlink" Target="mailto:danielle.parascandalo@rexturadvance.com.br" TargetMode="External"/><Relationship Id="rId17" Type="http://schemas.openxmlformats.org/officeDocument/2006/relationships/hyperlink" Target="mailto:kivanfloiz@cvccorp.com.br" TargetMode="External"/><Relationship Id="rId25" Type="http://schemas.openxmlformats.org/officeDocument/2006/relationships/table" Target="../tables/table3.xml"/><Relationship Id="rId2" Type="http://schemas.openxmlformats.org/officeDocument/2006/relationships/hyperlink" Target="mailto:natan.costa@rexturadvance.com.br" TargetMode="External"/><Relationship Id="rId16" Type="http://schemas.openxmlformats.org/officeDocument/2006/relationships/hyperlink" Target="mailto:leonardo.thereziano@rexturadvance.com.br" TargetMode="External"/><Relationship Id="rId20" Type="http://schemas.openxmlformats.org/officeDocument/2006/relationships/hyperlink" Target="mailto:alanavelhan@rexturadvance.com.br" TargetMode="External"/><Relationship Id="rId1" Type="http://schemas.openxmlformats.org/officeDocument/2006/relationships/hyperlink" Target="mailto:karen.ribeiro@rexturadvance.com.br" TargetMode="External"/><Relationship Id="rId6" Type="http://schemas.openxmlformats.org/officeDocument/2006/relationships/hyperlink" Target="mailto:danielle.parascandalo@rexturadvance.com.br" TargetMode="External"/><Relationship Id="rId11" Type="http://schemas.openxmlformats.org/officeDocument/2006/relationships/hyperlink" Target="mailto:alanavelhan@rexturadvance.com.br" TargetMode="External"/><Relationship Id="rId24" Type="http://schemas.openxmlformats.org/officeDocument/2006/relationships/table" Target="../tables/table2.xml"/><Relationship Id="rId5" Type="http://schemas.openxmlformats.org/officeDocument/2006/relationships/hyperlink" Target="mailto:alanavelhan@rexturadvance.com.br" TargetMode="External"/><Relationship Id="rId15" Type="http://schemas.openxmlformats.org/officeDocument/2006/relationships/hyperlink" Target="mailto:leonardo.thereziano@rexturadvance.com.br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mailto:danielle.parascandalo@rexturadvance.com.br" TargetMode="External"/><Relationship Id="rId19" Type="http://schemas.openxmlformats.org/officeDocument/2006/relationships/hyperlink" Target="mailto:alanavelhan@rexturadvance.com.br" TargetMode="External"/><Relationship Id="rId4" Type="http://schemas.openxmlformats.org/officeDocument/2006/relationships/hyperlink" Target="mailto:alves.cardoso@rexturadvance.com.br" TargetMode="External"/><Relationship Id="rId9" Type="http://schemas.openxmlformats.org/officeDocument/2006/relationships/hyperlink" Target="mailto:alanavelhan@rexturadvance.com.br" TargetMode="External"/><Relationship Id="rId14" Type="http://schemas.openxmlformats.org/officeDocument/2006/relationships/hyperlink" Target="mailto:vivianeregina@cvccorp.com.br" TargetMode="External"/><Relationship Id="rId22" Type="http://schemas.openxmlformats.org/officeDocument/2006/relationships/vmlDrawing" Target="../drawings/vmlDrawing1.vml"/><Relationship Id="rId27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lanavelhan@rexturadvance.com.br" TargetMode="Externa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E6DC-F407-4531-9C33-32CBAD7E0285}">
  <dimension ref="A1:W923"/>
  <sheetViews>
    <sheetView showGridLines="0" tabSelected="1" topLeftCell="A11" zoomScaleNormal="100" workbookViewId="0">
      <selection activeCell="E922" sqref="E922"/>
    </sheetView>
  </sheetViews>
  <sheetFormatPr defaultRowHeight="14.45"/>
  <cols>
    <col min="1" max="1" width="11.42578125" bestFit="1" customWidth="1"/>
    <col min="2" max="2" width="12.42578125" bestFit="1" customWidth="1"/>
    <col min="3" max="3" width="10.7109375" bestFit="1" customWidth="1"/>
    <col min="4" max="4" width="11.85546875" style="3" customWidth="1"/>
    <col min="5" max="5" width="18.7109375" style="3" bestFit="1" customWidth="1"/>
    <col min="6" max="6" width="14.42578125" bestFit="1" customWidth="1"/>
    <col min="7" max="7" width="26" bestFit="1" customWidth="1"/>
    <col min="8" max="8" width="13.28515625" bestFit="1" customWidth="1"/>
    <col min="9" max="9" width="9" bestFit="1" customWidth="1"/>
    <col min="10" max="10" width="9" customWidth="1"/>
    <col min="11" max="11" width="36.5703125" bestFit="1" customWidth="1"/>
    <col min="12" max="12" width="31.85546875" bestFit="1" customWidth="1"/>
    <col min="13" max="13" width="15.140625" bestFit="1" customWidth="1"/>
    <col min="14" max="14" width="41.28515625" customWidth="1"/>
    <col min="15" max="15" width="39.7109375" customWidth="1"/>
    <col min="16" max="16" width="6.140625" bestFit="1" customWidth="1"/>
    <col min="17" max="17" width="20" bestFit="1" customWidth="1"/>
    <col min="18" max="18" width="12.5703125" customWidth="1"/>
    <col min="19" max="19" width="26.7109375" customWidth="1"/>
    <col min="20" max="20" width="9.42578125" customWidth="1"/>
    <col min="21" max="21" width="46" bestFit="1" customWidth="1"/>
    <col min="22" max="22" width="54.42578125" bestFit="1" customWidth="1"/>
    <col min="23" max="23" width="4.42578125" bestFit="1" customWidth="1"/>
  </cols>
  <sheetData>
    <row r="1" spans="1:23">
      <c r="A1" s="3" t="s">
        <v>0</v>
      </c>
      <c r="B1" s="3" t="s">
        <v>1</v>
      </c>
      <c r="C1" s="3" t="s">
        <v>2</v>
      </c>
      <c r="D1" s="3" t="s">
        <v>3</v>
      </c>
      <c r="F1" s="95" t="s">
        <v>4</v>
      </c>
      <c r="G1" s="95"/>
      <c r="H1" s="13">
        <v>46266</v>
      </c>
    </row>
    <row r="2" spans="1:23">
      <c r="A2" s="2">
        <v>46023</v>
      </c>
      <c r="B2" s="21"/>
      <c r="C2" s="21" t="str">
        <f>IF(SUMIFS(ProtocolosAF[VALOR COTA EUR],ProtocolosAF[BILHETE/EMD],"&lt;&gt;"&amp;"",ProtocolosAF[STATUS],"="&amp;"APROVADO",ProtocolosAF[TIPO],"&lt;&gt;"&amp;"FARE MATCH",ProtocolosAF[DATA],"&gt;="&amp;A2,ProtocolosAF[DATA],"&lt;="&amp;EOMONTH(A2,0))&lt;&gt;0,SUMIFS(ProtocolosAF[VALOR COTA EUR],ProtocolosAF[BILHETE/EMD],"&lt;&gt;"&amp;"",ProtocolosAF[STATUS],"="&amp;"APROVADO",ProtocolosAF[TIPO],"&lt;&gt;"&amp;"FARE MATCH",ProtocolosAF[DATA],"&gt;="&amp;A2,ProtocolosAF[DATA],"&lt;="&amp;EOMONTH(A2,0)),"")</f>
        <v/>
      </c>
      <c r="D2" s="22" t="str">
        <f>IFERROR(B2-C2,"")</f>
        <v/>
      </c>
      <c r="E2" s="3" t="s">
        <v>5</v>
      </c>
      <c r="F2" s="3" t="s">
        <v>6</v>
      </c>
      <c r="G2" s="3" t="s">
        <v>2</v>
      </c>
      <c r="H2" s="14" t="s">
        <v>7</v>
      </c>
      <c r="I2" t="s">
        <v>8</v>
      </c>
    </row>
    <row r="3" spans="1:23">
      <c r="A3" s="2">
        <v>46054</v>
      </c>
      <c r="B3" s="21"/>
      <c r="C3" s="21" t="str">
        <f>IF(SUMIFS(ProtocolosAF[VALOR COTA EUR],ProtocolosAF[BILHETE/EMD],"&lt;&gt;"&amp;"",ProtocolosAF[STATUS],"="&amp;"APROVADO",ProtocolosAF[TIPO],"&lt;&gt;"&amp;"FARE MATCH",ProtocolosAF[DATA],"&gt;="&amp;A3,ProtocolosAF[DATA],"&lt;="&amp;EOMONTH(A3,0))&lt;&gt;0,SUMIFS(ProtocolosAF[VALOR COTA EUR],ProtocolosAF[BILHETE/EMD],"&lt;&gt;"&amp;"",ProtocolosAF[STATUS],"="&amp;"APROVADO",ProtocolosAF[TIPO],"&lt;&gt;"&amp;"FARE MATCH",ProtocolosAF[DATA],"&gt;="&amp;A3,ProtocolosAF[DATA],"&lt;="&amp;EOMONTH(A3,0)),"")</f>
        <v/>
      </c>
      <c r="D3" s="22" t="str">
        <f t="shared" ref="D3:D13" si="0">IFERROR(B3-C3,"")</f>
        <v/>
      </c>
      <c r="E3" s="3" t="s">
        <v>9</v>
      </c>
      <c r="F3" s="3" t="str">
        <f>IF(SUM(COUNTIFS(ProtocolosAF[STATUS],"&lt;&gt;"&amp;"APROVADO",ProtocolosAF[BILHETE/EMD],"&lt;&gt;"&amp;"",ProtocolosAF[UNIDADE],"="&amp;TabelaErroAF[[#This Row],[UNIDADE]]),COUNTIFS(ProtocolosAF[PNTKT],"Y",ProtocolosAF[UNIDADE],"="&amp;TabelaErroAF[[#This Row],[UNIDADE]]))&gt;0,SUM(COUNTIFS(ProtocolosAF[STATUS],"&lt;&gt;"&amp;"APROVADO",ProtocolosAF[BILHETE/EMD],"&lt;&gt;"&amp;"",ProtocolosAF[UNIDADE],"="&amp;TabelaErroAF[[#This Row],[UNIDADE]]),COUNTIFS(ProtocolosAF[PNTKT],"Y",ProtocolosAF[UNIDADE],"="&amp;TabelaErroAF[[#This Row],[UNIDADE]])),"")</f>
        <v/>
      </c>
      <c r="G3" s="55" t="str">
        <f>IF(SUMIFS(ProtocolosAF[VALOR COTA EUR],ProtocolosAF[BILHETE/EMD],"&lt;&gt;"&amp;"",ProtocolosAF[STATUS],"="&amp;"APROVADO",ProtocolosAF[UNIDADE],"="&amp;TabelaErroAF[[#This Row],[UNIDADE]],ProtocolosAF[DATA],"&gt;="&amp;$H$1,ProtocolosAF[DATA],"&lt;="&amp;EOMONTH($H$1,0))&lt;&gt;0,SUMIFS(ProtocolosAF[VALOR COTA EUR],ProtocolosAF[BILHETE/EMD],"&lt;&gt;"&amp;"",ProtocolosAF[STATUS],"="&amp;"APROVADO",ProtocolosAF[UNIDADE],"="&amp;TabelaErroAF[[#This Row],[UNIDADE]],ProtocolosAF[DATA],"&gt;="&amp;$H$1,ProtocolosAF[DATA],"&lt;="&amp;EOMONTH($H$1,0)),"")</f>
        <v/>
      </c>
      <c r="H3" s="5" t="str">
        <f>IFERROR(TabelaErroAF[[#This Row],[UTILIZADO]]/SUM(TabelaErroAF[UTILIZADO]),"")</f>
        <v/>
      </c>
      <c r="I3" s="3" t="str">
        <f>IF(SUM(COUNTIFS(ProtocolosAF[BILHETE/EMD],"&lt;&gt;"&amp;"",ProtocolosAF[STATUS],"="&amp;"APROVADO",ProtocolosAF[WAIVER],"="&amp;"",ProtocolosAF[UNIDADE],"="&amp;TabelaErroAF[[#This Row],[UNIDADE]]))&gt;0,COUNTIFS(ProtocolosAF[BILHETE/EMD],"&lt;&gt;"&amp;"",ProtocolosAF[STATUS],"="&amp;"APROVADO",ProtocolosAF[WAIVER],"="&amp;"",ProtocolosAF[UNIDADE],"="&amp;TabelaErroAF[[#This Row],[UNIDADE]]),"")</f>
        <v/>
      </c>
    </row>
    <row r="4" spans="1:23">
      <c r="A4" s="2">
        <v>46082</v>
      </c>
      <c r="B4" s="21">
        <v>2471</v>
      </c>
      <c r="C4" s="21">
        <f>IF(SUMIFS(ProtocolosAF[VALOR COTA EUR],ProtocolosAF[BILHETE/EMD],"&lt;&gt;"&amp;"",ProtocolosAF[STATUS],"="&amp;"APROVADO",ProtocolosAF[TIPO],"&lt;&gt;"&amp;"FARE MATCH",ProtocolosAF[DATA],"&gt;="&amp;A4,ProtocolosAF[DATA],"&lt;="&amp;EOMONTH(A4,0))&lt;&gt;0,SUMIFS(ProtocolosAF[VALOR COTA EUR],ProtocolosAF[BILHETE/EMD],"&lt;&gt;"&amp;"",ProtocolosAF[STATUS],"="&amp;"APROVADO",ProtocolosAF[TIPO],"&lt;&gt;"&amp;"FARE MATCH",ProtocolosAF[DATA],"&gt;="&amp;A4,ProtocolosAF[DATA],"&lt;="&amp;EOMONTH(A4,0)),"")</f>
        <v>1441</v>
      </c>
      <c r="D4" s="22">
        <f t="shared" si="0"/>
        <v>1030</v>
      </c>
      <c r="E4" s="3" t="s">
        <v>10</v>
      </c>
      <c r="F4" s="3" t="str">
        <f>IF(SUM(COUNTIFS(ProtocolosAF[STATUS],"&lt;&gt;"&amp;"APROVADO",ProtocolosAF[BILHETE/EMD],"&lt;&gt;"&amp;"",ProtocolosAF[UNIDADE],"="&amp;TabelaErroAF[[#This Row],[UNIDADE]]),COUNTIFS(ProtocolosAF[PNTKT],"Y",ProtocolosAF[UNIDADE],"="&amp;TabelaErroAF[[#This Row],[UNIDADE]]))&gt;0,SUM(COUNTIFS(ProtocolosAF[STATUS],"&lt;&gt;"&amp;"APROVADO",ProtocolosAF[BILHETE/EMD],"&lt;&gt;"&amp;"",ProtocolosAF[UNIDADE],"="&amp;TabelaErroAF[[#This Row],[UNIDADE]]),COUNTIFS(ProtocolosAF[PNTKT],"Y",ProtocolosAF[UNIDADE],"="&amp;TabelaErroAF[[#This Row],[UNIDADE]])),"")</f>
        <v/>
      </c>
      <c r="G4" s="55" t="str">
        <f>IF(SUMIFS(ProtocolosAF[VALOR COTA EUR],ProtocolosAF[BILHETE/EMD],"&lt;&gt;"&amp;"",ProtocolosAF[STATUS],"="&amp;"APROVADO",ProtocolosAF[UNIDADE],"="&amp;TabelaErroAF[[#This Row],[UNIDADE]],ProtocolosAF[DATA],"&gt;="&amp;$H$1,ProtocolosAF[DATA],"&lt;="&amp;EOMONTH($H$1,0))&lt;&gt;0,SUMIFS(ProtocolosAF[VALOR COTA EUR],ProtocolosAF[BILHETE/EMD],"&lt;&gt;"&amp;"",ProtocolosAF[STATUS],"="&amp;"APROVADO",ProtocolosAF[UNIDADE],"="&amp;TabelaErroAF[[#This Row],[UNIDADE]],ProtocolosAF[DATA],"&gt;="&amp;$H$1,ProtocolosAF[DATA],"&lt;="&amp;EOMONTH($H$1,0)),"")</f>
        <v/>
      </c>
      <c r="H4" s="5" t="str">
        <f>IFERROR(TabelaErroAF[[#This Row],[UTILIZADO]]/SUM(TabelaErroAF[UTILIZADO]),"")</f>
        <v/>
      </c>
      <c r="I4" s="3" t="str">
        <f>IF(SUM(COUNTIFS(ProtocolosAF[BILHETE/EMD],"&lt;&gt;"&amp;"",ProtocolosAF[STATUS],"="&amp;"APROVADO",ProtocolosAF[WAIVER],"="&amp;"",ProtocolosAF[UNIDADE],"="&amp;TabelaErroAF[[#This Row],[UNIDADE]]))&gt;0,COUNTIFS(ProtocolosAF[BILHETE/EMD],"&lt;&gt;"&amp;"",ProtocolosAF[STATUS],"="&amp;"APROVADO",ProtocolosAF[WAIVER],"="&amp;"",ProtocolosAF[UNIDADE],"="&amp;TabelaErroAF[[#This Row],[UNIDADE]]),"")</f>
        <v/>
      </c>
    </row>
    <row r="5" spans="1:23">
      <c r="A5" s="2">
        <v>46113</v>
      </c>
      <c r="B5" s="21">
        <v>2471</v>
      </c>
      <c r="C5" s="21">
        <f>IF(SUMIFS(ProtocolosAF[VALOR COTA EUR],ProtocolosAF[BILHETE/EMD],"&lt;&gt;"&amp;"",ProtocolosAF[STATUS],"="&amp;"APROVADO",ProtocolosAF[TIPO],"&lt;&gt;"&amp;"FARE MATCH",ProtocolosAF[DATA],"&gt;="&amp;A5,ProtocolosAF[DATA],"&lt;="&amp;EOMONTH(A5,0))&lt;&gt;0,SUMIFS(ProtocolosAF[VALOR COTA EUR],ProtocolosAF[BILHETE/EMD],"&lt;&gt;"&amp;"",ProtocolosAF[STATUS],"="&amp;"APROVADO",ProtocolosAF[TIPO],"&lt;&gt;"&amp;"FARE MATCH",ProtocolosAF[DATA],"&gt;="&amp;A5,ProtocolosAF[DATA],"&lt;="&amp;EOMONTH(A5,0)),"")</f>
        <v>1168</v>
      </c>
      <c r="D5" s="22">
        <f t="shared" si="0"/>
        <v>1303</v>
      </c>
      <c r="E5" s="3" t="s">
        <v>11</v>
      </c>
      <c r="F5" s="3" t="str">
        <f>IF(SUM(COUNTIFS(ProtocolosAF[STATUS],"&lt;&gt;"&amp;"APROVADO",ProtocolosAF[BILHETE/EMD],"&lt;&gt;"&amp;"",ProtocolosAF[UNIDADE],"="&amp;TabelaErroAF[[#This Row],[UNIDADE]]),COUNTIFS(ProtocolosAF[PNTKT],"Y",ProtocolosAF[UNIDADE],"="&amp;TabelaErroAF[[#This Row],[UNIDADE]]))&gt;0,SUM(COUNTIFS(ProtocolosAF[STATUS],"&lt;&gt;"&amp;"APROVADO",ProtocolosAF[BILHETE/EMD],"&lt;&gt;"&amp;"",ProtocolosAF[UNIDADE],"="&amp;TabelaErroAF[[#This Row],[UNIDADE]]),COUNTIFS(ProtocolosAF[PNTKT],"Y",ProtocolosAF[UNIDADE],"="&amp;TabelaErroAF[[#This Row],[UNIDADE]])),"")</f>
        <v/>
      </c>
      <c r="G5" s="55" t="str">
        <f>IF(SUMIFS(ProtocolosAF[VALOR COTA EUR],ProtocolosAF[BILHETE/EMD],"&lt;&gt;"&amp;"",ProtocolosAF[STATUS],"="&amp;"APROVADO",ProtocolosAF[UNIDADE],"="&amp;TabelaErroAF[[#This Row],[UNIDADE]],ProtocolosAF[DATA],"&gt;="&amp;$H$1,ProtocolosAF[DATA],"&lt;="&amp;EOMONTH($H$1,0))&lt;&gt;0,SUMIFS(ProtocolosAF[VALOR COTA EUR],ProtocolosAF[BILHETE/EMD],"&lt;&gt;"&amp;"",ProtocolosAF[STATUS],"="&amp;"APROVADO",ProtocolosAF[UNIDADE],"="&amp;TabelaErroAF[[#This Row],[UNIDADE]],ProtocolosAF[DATA],"&gt;="&amp;$H$1,ProtocolosAF[DATA],"&lt;="&amp;EOMONTH($H$1,0)),"")</f>
        <v/>
      </c>
      <c r="H5" s="5" t="str">
        <f>IFERROR(TabelaErroAF[[#This Row],[UTILIZADO]]/SUM(TabelaErroAF[UTILIZADO]),"")</f>
        <v/>
      </c>
      <c r="I5" s="3" t="str">
        <f>IF(SUM(COUNTIFS(ProtocolosAF[BILHETE/EMD],"&lt;&gt;"&amp;"",ProtocolosAF[STATUS],"="&amp;"APROVADO",ProtocolosAF[WAIVER],"="&amp;"",ProtocolosAF[UNIDADE],"="&amp;TabelaErroAF[[#This Row],[UNIDADE]]))&gt;0,COUNTIFS(ProtocolosAF[BILHETE/EMD],"&lt;&gt;"&amp;"",ProtocolosAF[STATUS],"="&amp;"APROVADO",ProtocolosAF[WAIVER],"="&amp;"",ProtocolosAF[UNIDADE],"="&amp;TabelaErroAF[[#This Row],[UNIDADE]]),"")</f>
        <v/>
      </c>
      <c r="K5" s="88"/>
    </row>
    <row r="6" spans="1:23">
      <c r="A6" s="2">
        <v>46143</v>
      </c>
      <c r="B6" s="21">
        <v>2471</v>
      </c>
      <c r="C6" s="21">
        <f>IF(SUMIFS(ProtocolosAF[VALOR COTA EUR],ProtocolosAF[BILHETE/EMD],"&lt;&gt;"&amp;"",ProtocolosAF[STATUS],"="&amp;"APROVADO",ProtocolosAF[TIPO],"&lt;&gt;"&amp;"FARE MATCH",ProtocolosAF[DATA],"&gt;="&amp;A6,ProtocolosAF[DATA],"&lt;="&amp;EOMONTH(A6,0))&lt;&gt;0,SUMIFS(ProtocolosAF[VALOR COTA EUR],ProtocolosAF[BILHETE/EMD],"&lt;&gt;"&amp;"",ProtocolosAF[STATUS],"="&amp;"APROVADO",ProtocolosAF[TIPO],"&lt;&gt;"&amp;"FARE MATCH",ProtocolosAF[DATA],"&gt;="&amp;A6,ProtocolosAF[DATA],"&lt;="&amp;EOMONTH(A6,0)),"")</f>
        <v>993</v>
      </c>
      <c r="D6" s="22">
        <f t="shared" si="0"/>
        <v>1478</v>
      </c>
      <c r="E6" s="3" t="s">
        <v>12</v>
      </c>
      <c r="F6" s="3" t="str">
        <f>IF(SUM(COUNTIFS(ProtocolosAF[STATUS],"&lt;&gt;"&amp;"APROVADO",ProtocolosAF[BILHETE/EMD],"&lt;&gt;"&amp;"",ProtocolosAF[UNIDADE],"="&amp;TabelaErroAF[[#This Row],[UNIDADE]]),COUNTIFS(ProtocolosAF[PNTKT],"Y",ProtocolosAF[UNIDADE],"="&amp;TabelaErroAF[[#This Row],[UNIDADE]]))&gt;0,SUM(COUNTIFS(ProtocolosAF[STATUS],"&lt;&gt;"&amp;"APROVADO",ProtocolosAF[BILHETE/EMD],"&lt;&gt;"&amp;"",ProtocolosAF[UNIDADE],"="&amp;TabelaErroAF[[#This Row],[UNIDADE]]),COUNTIFS(ProtocolosAF[PNTKT],"Y",ProtocolosAF[UNIDADE],"="&amp;TabelaErroAF[[#This Row],[UNIDADE]])),"")</f>
        <v/>
      </c>
      <c r="G6" s="55" t="str">
        <f>IF(SUMIFS(ProtocolosAF[VALOR COTA EUR],ProtocolosAF[BILHETE/EMD],"&lt;&gt;"&amp;"",ProtocolosAF[STATUS],"="&amp;"APROVADO",ProtocolosAF[UNIDADE],"="&amp;TabelaErroAF[[#This Row],[UNIDADE]],ProtocolosAF[DATA],"&gt;="&amp;$H$1,ProtocolosAF[DATA],"&lt;="&amp;EOMONTH($H$1,0))&lt;&gt;0,SUMIFS(ProtocolosAF[VALOR COTA EUR],ProtocolosAF[BILHETE/EMD],"&lt;&gt;"&amp;"",ProtocolosAF[STATUS],"="&amp;"APROVADO",ProtocolosAF[UNIDADE],"="&amp;TabelaErroAF[[#This Row],[UNIDADE]],ProtocolosAF[DATA],"&gt;="&amp;$H$1,ProtocolosAF[DATA],"&lt;="&amp;EOMONTH($H$1,0)),"")</f>
        <v/>
      </c>
      <c r="H6" s="5" t="str">
        <f>IFERROR(TabelaErroAF[[#This Row],[UTILIZADO]]/SUM(TabelaErroAF[UTILIZADO]),"")</f>
        <v/>
      </c>
      <c r="I6" s="3" t="str">
        <f>IF(SUM(COUNTIFS(ProtocolosAF[BILHETE/EMD],"&lt;&gt;"&amp;"",ProtocolosAF[STATUS],"="&amp;"APROVADO",ProtocolosAF[WAIVER],"="&amp;"",ProtocolosAF[UNIDADE],"="&amp;TabelaErroAF[[#This Row],[UNIDADE]]))&gt;0,COUNTIFS(ProtocolosAF[BILHETE/EMD],"&lt;&gt;"&amp;"",ProtocolosAF[STATUS],"="&amp;"APROVADO",ProtocolosAF[WAIVER],"="&amp;"",ProtocolosAF[UNIDADE],"="&amp;TabelaErroAF[[#This Row],[UNIDADE]]),"")</f>
        <v/>
      </c>
    </row>
    <row r="7" spans="1:23">
      <c r="A7" s="2">
        <v>46174</v>
      </c>
      <c r="B7" s="21">
        <v>3578</v>
      </c>
      <c r="C7" s="21">
        <f>IF(SUMIFS(ProtocolosAF[VALOR COTA EUR],ProtocolosAF[BILHETE/EMD],"&lt;&gt;"&amp;"",ProtocolosAF[STATUS],"="&amp;"APROVADO",ProtocolosAF[TIPO],"&lt;&gt;"&amp;"FARE MATCH",ProtocolosAF[DATA],"&gt;="&amp;A7,ProtocolosAF[DATA],"&lt;="&amp;EOMONTH(A7,0))&lt;&gt;0,SUMIFS(ProtocolosAF[VALOR COTA EUR],ProtocolosAF[BILHETE/EMD],"&lt;&gt;"&amp;"",ProtocolosAF[STATUS],"="&amp;"APROVADO",ProtocolosAF[TIPO],"&lt;&gt;"&amp;"FARE MATCH",ProtocolosAF[DATA],"&gt;="&amp;A7,ProtocolosAF[DATA],"&lt;="&amp;EOMONTH(A7,0)),"")</f>
        <v>2317</v>
      </c>
      <c r="D7" s="22">
        <f t="shared" si="0"/>
        <v>1261</v>
      </c>
      <c r="E7" s="3" t="s">
        <v>13</v>
      </c>
      <c r="F7" s="3" t="str">
        <f>IF(SUM(COUNTIFS(ProtocolosAF[STATUS],"&lt;&gt;"&amp;"APROVADO",ProtocolosAF[BILHETE/EMD],"&lt;&gt;"&amp;"",ProtocolosAF[UNIDADE],"="&amp;TabelaErroAF[[#This Row],[UNIDADE]]),COUNTIFS(ProtocolosAF[PNTKT],"Y",ProtocolosAF[UNIDADE],"="&amp;TabelaErroAF[[#This Row],[UNIDADE]]))&gt;0,SUM(COUNTIFS(ProtocolosAF[STATUS],"&lt;&gt;"&amp;"APROVADO",ProtocolosAF[BILHETE/EMD],"&lt;&gt;"&amp;"",ProtocolosAF[UNIDADE],"="&amp;TabelaErroAF[[#This Row],[UNIDADE]]),COUNTIFS(ProtocolosAF[PNTKT],"Y",ProtocolosAF[UNIDADE],"="&amp;TabelaErroAF[[#This Row],[UNIDADE]])),"")</f>
        <v/>
      </c>
      <c r="G7" s="55" t="str">
        <f>IF(SUMIFS(ProtocolosAF[VALOR COTA EUR],ProtocolosAF[BILHETE/EMD],"&lt;&gt;"&amp;"",ProtocolosAF[STATUS],"="&amp;"APROVADO",ProtocolosAF[UNIDADE],"="&amp;TabelaErroAF[[#This Row],[UNIDADE]],ProtocolosAF[DATA],"&gt;="&amp;$H$1,ProtocolosAF[DATA],"&lt;="&amp;EOMONTH($H$1,0))&lt;&gt;0,SUMIFS(ProtocolosAF[VALOR COTA EUR],ProtocolosAF[BILHETE/EMD],"&lt;&gt;"&amp;"",ProtocolosAF[STATUS],"="&amp;"APROVADO",ProtocolosAF[UNIDADE],"="&amp;TabelaErroAF[[#This Row],[UNIDADE]],ProtocolosAF[DATA],"&gt;="&amp;$H$1,ProtocolosAF[DATA],"&lt;="&amp;EOMONTH($H$1,0)),"")</f>
        <v/>
      </c>
      <c r="H7" s="5" t="str">
        <f>IFERROR(TabelaErroAF[[#This Row],[UTILIZADO]]/SUM(TabelaErroAF[UTILIZADO]),"")</f>
        <v/>
      </c>
      <c r="I7" s="3" t="str">
        <f>IF(SUM(COUNTIFS(ProtocolosAF[BILHETE/EMD],"&lt;&gt;"&amp;"",ProtocolosAF[STATUS],"="&amp;"APROVADO",ProtocolosAF[WAIVER],"="&amp;"",ProtocolosAF[UNIDADE],"="&amp;TabelaErroAF[[#This Row],[UNIDADE]]))&gt;0,COUNTIFS(ProtocolosAF[BILHETE/EMD],"&lt;&gt;"&amp;"",ProtocolosAF[STATUS],"="&amp;"APROVADO",ProtocolosAF[WAIVER],"="&amp;"",ProtocolosAF[UNIDADE],"="&amp;TabelaErroAF[[#This Row],[UNIDADE]]),"")</f>
        <v/>
      </c>
    </row>
    <row r="8" spans="1:23">
      <c r="A8" s="2">
        <v>46204</v>
      </c>
      <c r="B8" s="21">
        <v>3578.69</v>
      </c>
      <c r="C8" s="21">
        <f>IF(SUMIFS(ProtocolosAF[VALOR COTA EUR],ProtocolosAF[BILHETE/EMD],"&lt;&gt;"&amp;"",ProtocolosAF[STATUS],"="&amp;"APROVADO",ProtocolosAF[TIPO],"&lt;&gt;"&amp;"FARE MATCH",ProtocolosAF[DATA],"&gt;="&amp;A8,ProtocolosAF[DATA],"&lt;="&amp;EOMONTH(A8,0))&lt;&gt;0,SUMIFS(ProtocolosAF[VALOR COTA EUR],ProtocolosAF[BILHETE/EMD],"&lt;&gt;"&amp;"",ProtocolosAF[STATUS],"="&amp;"APROVADO",ProtocolosAF[TIPO],"&lt;&gt;"&amp;"FARE MATCH",ProtocolosAF[DATA],"&gt;="&amp;A8,ProtocolosAF[DATA],"&lt;="&amp;EOMONTH(A8,0)),"")</f>
        <v>219</v>
      </c>
      <c r="D8" s="22">
        <f t="shared" si="0"/>
        <v>3359.69</v>
      </c>
      <c r="E8" s="3" t="s">
        <v>14</v>
      </c>
      <c r="F8" s="3" t="str">
        <f>IF(SUM(COUNTIFS(ProtocolosAF[STATUS],"&lt;&gt;"&amp;"APROVADO",ProtocolosAF[BILHETE/EMD],"&lt;&gt;"&amp;"",ProtocolosAF[UNIDADE],"="&amp;TabelaErroAF[[#This Row],[UNIDADE]]),COUNTIFS(ProtocolosAF[PNTKT],"Y",ProtocolosAF[UNIDADE],"="&amp;TabelaErroAF[[#This Row],[UNIDADE]]))&gt;0,SUM(COUNTIFS(ProtocolosAF[STATUS],"&lt;&gt;"&amp;"APROVADO",ProtocolosAF[BILHETE/EMD],"&lt;&gt;"&amp;"",ProtocolosAF[UNIDADE],"="&amp;TabelaErroAF[[#This Row],[UNIDADE]]),COUNTIFS(ProtocolosAF[PNTKT],"Y",ProtocolosAF[UNIDADE],"="&amp;TabelaErroAF[[#This Row],[UNIDADE]])),"")</f>
        <v/>
      </c>
      <c r="G8" s="55">
        <f>IF(SUMIFS(ProtocolosAF[VALOR COTA EUR],ProtocolosAF[BILHETE/EMD],"&lt;&gt;"&amp;"",ProtocolosAF[STATUS],"="&amp;"APROVADO",ProtocolosAF[UNIDADE],"="&amp;TabelaErroAF[[#This Row],[UNIDADE]],ProtocolosAF[DATA],"&gt;="&amp;$H$1,ProtocolosAF[DATA],"&lt;="&amp;EOMONTH($H$1,0))&lt;&gt;0,SUMIFS(ProtocolosAF[VALOR COTA EUR],ProtocolosAF[BILHETE/EMD],"&lt;&gt;"&amp;"",ProtocolosAF[STATUS],"="&amp;"APROVADO",ProtocolosAF[UNIDADE],"="&amp;TabelaErroAF[[#This Row],[UNIDADE]],ProtocolosAF[DATA],"&gt;="&amp;$H$1,ProtocolosAF[DATA],"&lt;="&amp;EOMONTH($H$1,0)),"")</f>
        <v>3290</v>
      </c>
      <c r="H8" s="5">
        <f>IFERROR(TabelaErroAF[[#This Row],[UTILIZADO]]/SUM(TabelaErroAF[UTILIZADO]),"")</f>
        <v>0.84315735520246027</v>
      </c>
      <c r="I8" s="3" t="str">
        <f>IF(SUM(COUNTIFS(ProtocolosAF[BILHETE/EMD],"&lt;&gt;"&amp;"",ProtocolosAF[STATUS],"="&amp;"APROVADO",ProtocolosAF[WAIVER],"="&amp;"",ProtocolosAF[UNIDADE],"="&amp;TabelaErroAF[[#This Row],[UNIDADE]]))&gt;0,COUNTIFS(ProtocolosAF[BILHETE/EMD],"&lt;&gt;"&amp;"",ProtocolosAF[STATUS],"="&amp;"APROVADO",ProtocolosAF[WAIVER],"="&amp;"",ProtocolosAF[UNIDADE],"="&amp;TabelaErroAF[[#This Row],[UNIDADE]]),"")</f>
        <v/>
      </c>
    </row>
    <row r="9" spans="1:23">
      <c r="A9" s="2">
        <v>46235</v>
      </c>
      <c r="B9" s="21">
        <v>2563.31</v>
      </c>
      <c r="C9" s="21">
        <f>IF(SUMIFS(ProtocolosAF[VALOR COTA EUR],ProtocolosAF[BILHETE/EMD],"&lt;&gt;"&amp;"",ProtocolosAF[STATUS],"="&amp;"APROVADO",ProtocolosAF[TIPO],"&lt;&gt;"&amp;"FARE MATCH",ProtocolosAF[DATA],"&gt;="&amp;A9,ProtocolosAF[DATA],"&lt;="&amp;EOMONTH(A9,0))&lt;&gt;0,SUMIFS(ProtocolosAF[VALOR COTA EUR],ProtocolosAF[BILHETE/EMD],"&lt;&gt;"&amp;"",ProtocolosAF[STATUS],"="&amp;"APROVADO",ProtocolosAF[TIPO],"&lt;&gt;"&amp;"FARE MATCH",ProtocolosAF[DATA],"&gt;="&amp;A9,ProtocolosAF[DATA],"&lt;="&amp;EOMONTH(A9,0)),"")</f>
        <v>2170</v>
      </c>
      <c r="D9" s="22">
        <f>IFERROR(B9-C9,"")</f>
        <v>393.30999999999995</v>
      </c>
      <c r="E9" s="3" t="s">
        <v>15</v>
      </c>
      <c r="F9" s="3" t="str">
        <f>IF(SUM(COUNTIFS(ProtocolosAF[STATUS],"&lt;&gt;"&amp;"APROVADO",ProtocolosAF[BILHETE/EMD],"&lt;&gt;"&amp;"",ProtocolosAF[UNIDADE],"="&amp;TabelaErroAF[[#This Row],[UNIDADE]]),COUNTIFS(ProtocolosAF[PNTKT],"Y",ProtocolosAF[UNIDADE],"="&amp;TabelaErroAF[[#This Row],[UNIDADE]]))&gt;0,SUM(COUNTIFS(ProtocolosAF[STATUS],"&lt;&gt;"&amp;"APROVADO",ProtocolosAF[BILHETE/EMD],"&lt;&gt;"&amp;"",ProtocolosAF[UNIDADE],"="&amp;TabelaErroAF[[#This Row],[UNIDADE]]),COUNTIFS(ProtocolosAF[PNTKT],"Y",ProtocolosAF[UNIDADE],"="&amp;TabelaErroAF[[#This Row],[UNIDADE]])),"")</f>
        <v/>
      </c>
      <c r="G9" s="55" t="str">
        <f>IF(SUMIFS(ProtocolosAF[VALOR COTA EUR],ProtocolosAF[BILHETE/EMD],"&lt;&gt;"&amp;"",ProtocolosAF[STATUS],"="&amp;"APROVADO",ProtocolosAF[UNIDADE],"="&amp;TabelaErroAF[[#This Row],[UNIDADE]],ProtocolosAF[DATA],"&gt;="&amp;$H$1,ProtocolosAF[DATA],"&lt;="&amp;EOMONTH($H$1,0))&lt;&gt;0,SUMIFS(ProtocolosAF[VALOR COTA EUR],ProtocolosAF[BILHETE/EMD],"&lt;&gt;"&amp;"",ProtocolosAF[STATUS],"="&amp;"APROVADO",ProtocolosAF[UNIDADE],"="&amp;TabelaErroAF[[#This Row],[UNIDADE]],ProtocolosAF[DATA],"&gt;="&amp;$H$1,ProtocolosAF[DATA],"&lt;="&amp;EOMONTH($H$1,0)),"")</f>
        <v/>
      </c>
      <c r="H9" s="5" t="str">
        <f>IFERROR(TabelaErroAF[[#This Row],[UTILIZADO]]/SUM(TabelaErroAF[UTILIZADO]),"")</f>
        <v/>
      </c>
      <c r="I9" s="3" t="str">
        <f>IF(SUM(COUNTIFS(ProtocolosAF[BILHETE/EMD],"&lt;&gt;"&amp;"",ProtocolosAF[STATUS],"="&amp;"APROVADO",ProtocolosAF[WAIVER],"="&amp;"",ProtocolosAF[UNIDADE],"="&amp;TabelaErroAF[[#This Row],[UNIDADE]]))&gt;0,COUNTIFS(ProtocolosAF[BILHETE/EMD],"&lt;&gt;"&amp;"",ProtocolosAF[STATUS],"="&amp;"APROVADO",ProtocolosAF[WAIVER],"="&amp;"",ProtocolosAF[UNIDADE],"="&amp;TabelaErroAF[[#This Row],[UNIDADE]]),"")</f>
        <v/>
      </c>
    </row>
    <row r="10" spans="1:23">
      <c r="A10" s="2">
        <v>46266</v>
      </c>
      <c r="B10" s="21">
        <v>2563.31</v>
      </c>
      <c r="C10" s="21">
        <f>IF(SUMIFS(ProtocolosAF[VALOR COTA EUR],ProtocolosAF[BILHETE/EMD],"&lt;&gt;"&amp;"",ProtocolosAF[STATUS],"="&amp;"APROVADO",ProtocolosAF[TIPO],"&lt;&gt;"&amp;"FARE MATCH",ProtocolosAF[DATA],"&gt;="&amp;A10,ProtocolosAF[DATA],"&lt;="&amp;EOMONTH(A10,0))&lt;&gt;0,SUMIFS(ProtocolosAF[VALOR COTA EUR],ProtocolosAF[BILHETE/EMD],"&lt;&gt;"&amp;"",ProtocolosAF[STATUS],"="&amp;"APROVADO",ProtocolosAF[TIPO],"&lt;&gt;"&amp;"FARE MATCH",ProtocolosAF[DATA],"&gt;="&amp;A10,ProtocolosAF[DATA],"&lt;="&amp;EOMONTH(A10,0)),"")</f>
        <v>3902</v>
      </c>
      <c r="D10" s="22">
        <f t="shared" si="0"/>
        <v>-1338.69</v>
      </c>
      <c r="E10" s="3" t="s">
        <v>16</v>
      </c>
      <c r="F10" s="3">
        <f>IF(SUM(COUNTIFS(ProtocolosAF[STATUS],"&lt;&gt;"&amp;"APROVADO",ProtocolosAF[BILHETE/EMD],"&lt;&gt;"&amp;"",ProtocolosAF[UNIDADE],"="&amp;TabelaErroAF[[#This Row],[UNIDADE]]),COUNTIFS(ProtocolosAF[PNTKT],"Y",ProtocolosAF[UNIDADE],"="&amp;TabelaErroAF[[#This Row],[UNIDADE]]))&gt;0,SUM(COUNTIFS(ProtocolosAF[STATUS],"&lt;&gt;"&amp;"APROVADO",ProtocolosAF[BILHETE/EMD],"&lt;&gt;"&amp;"",ProtocolosAF[UNIDADE],"="&amp;TabelaErroAF[[#This Row],[UNIDADE]]),COUNTIFS(ProtocolosAF[PNTKT],"Y",ProtocolosAF[UNIDADE],"="&amp;TabelaErroAF[[#This Row],[UNIDADE]])),"")</f>
        <v>3</v>
      </c>
      <c r="G10" s="55">
        <f>IF(SUMIFS(ProtocolosAF[VALOR COTA EUR],ProtocolosAF[BILHETE/EMD],"&lt;&gt;"&amp;"",ProtocolosAF[STATUS],"="&amp;"APROVADO",ProtocolosAF[UNIDADE],"="&amp;TabelaErroAF[[#This Row],[UNIDADE]],ProtocolosAF[DATA],"&gt;="&amp;$H$1,ProtocolosAF[DATA],"&lt;="&amp;EOMONTH($H$1,0))&lt;&gt;0,SUMIFS(ProtocolosAF[VALOR COTA EUR],ProtocolosAF[BILHETE/EMD],"&lt;&gt;"&amp;"",ProtocolosAF[STATUS],"="&amp;"APROVADO",ProtocolosAF[UNIDADE],"="&amp;TabelaErroAF[[#This Row],[UNIDADE]],ProtocolosAF[DATA],"&gt;="&amp;$H$1,ProtocolosAF[DATA],"&lt;="&amp;EOMONTH($H$1,0)),"")</f>
        <v>612</v>
      </c>
      <c r="H10" s="5">
        <f>IFERROR(TabelaErroAF[[#This Row],[UTILIZADO]]/SUM(TabelaErroAF[UTILIZADO]),"")</f>
        <v>0.15684264479753973</v>
      </c>
      <c r="I10" s="3" t="str">
        <f>IF(SUM(COUNTIFS(ProtocolosAF[BILHETE/EMD],"&lt;&gt;"&amp;"",ProtocolosAF[STATUS],"="&amp;"APROVADO",ProtocolosAF[WAIVER],"="&amp;"",ProtocolosAF[UNIDADE],"="&amp;TabelaErroAF[[#This Row],[UNIDADE]]))&gt;0,COUNTIFS(ProtocolosAF[BILHETE/EMD],"&lt;&gt;"&amp;"",ProtocolosAF[STATUS],"="&amp;"APROVADO",ProtocolosAF[WAIVER],"="&amp;"",ProtocolosAF[UNIDADE],"="&amp;TabelaErroAF[[#This Row],[UNIDADE]]),"")</f>
        <v/>
      </c>
    </row>
    <row r="11" spans="1:23">
      <c r="A11" s="2">
        <v>46296</v>
      </c>
      <c r="B11" s="21"/>
      <c r="C11" s="21">
        <f>IF(SUMIFS(ProtocolosAF[VALOR COTA EUR],ProtocolosAF[BILHETE/EMD],"&lt;&gt;"&amp;"",ProtocolosAF[STATUS],"="&amp;"APROVADO",ProtocolosAF[TIPO],"&lt;&gt;"&amp;"FARE MATCH",ProtocolosAF[DATA],"&gt;="&amp;A11,ProtocolosAF[DATA],"&lt;="&amp;EOMONTH(A11,0))&lt;&gt;0,SUMIFS(ProtocolosAF[VALOR COTA EUR],ProtocolosAF[BILHETE/EMD],"&lt;&gt;"&amp;"",ProtocolosAF[STATUS],"="&amp;"APROVADO",ProtocolosAF[TIPO],"&lt;&gt;"&amp;"FARE MATCH",ProtocolosAF[DATA],"&gt;="&amp;A11,ProtocolosAF[DATA],"&lt;="&amp;EOMONTH(A11,0)),"")</f>
        <v>1147</v>
      </c>
      <c r="D11" s="22">
        <f t="shared" si="0"/>
        <v>-1147</v>
      </c>
      <c r="E11" s="18"/>
    </row>
    <row r="12" spans="1:23">
      <c r="A12" s="2">
        <v>46327</v>
      </c>
      <c r="B12" s="21"/>
      <c r="C12" s="21" t="str">
        <f>IF(SUMIFS(ProtocolosAF[VALOR COTA EUR],ProtocolosAF[BILHETE/EMD],"&lt;&gt;"&amp;"",ProtocolosAF[STATUS],"="&amp;"APROVADO",ProtocolosAF[TIPO],"&lt;&gt;"&amp;"FARE MATCH",ProtocolosAF[DATA],"&gt;="&amp;A12,ProtocolosAF[DATA],"&lt;="&amp;EOMONTH(A12,0))&lt;&gt;0,SUMIFS(ProtocolosAF[VALOR COTA EUR],ProtocolosAF[BILHETE/EMD],"&lt;&gt;"&amp;"",ProtocolosAF[STATUS],"="&amp;"APROVADO",ProtocolosAF[TIPO],"&lt;&gt;"&amp;"FARE MATCH",ProtocolosAF[DATA],"&gt;="&amp;A12,ProtocolosAF[DATA],"&lt;="&amp;EOMONTH(A12,0)),"")</f>
        <v/>
      </c>
      <c r="D12" s="22" t="str">
        <f t="shared" si="0"/>
        <v/>
      </c>
      <c r="E12" s="18"/>
    </row>
    <row r="13" spans="1:23">
      <c r="A13" s="2">
        <v>46357</v>
      </c>
      <c r="B13" s="21"/>
      <c r="C13" s="21" t="str">
        <f>IF(SUMIFS(ProtocolosAF[VALOR COTA EUR],ProtocolosAF[BILHETE/EMD],"&lt;&gt;"&amp;"",ProtocolosAF[STATUS],"="&amp;"APROVADO",ProtocolosAF[TIPO],"&lt;&gt;"&amp;"FARE MATCH",ProtocolosAF[DATA],"&gt;="&amp;A13,ProtocolosAF[DATA],"&lt;="&amp;EOMONTH(A13,0))&lt;&gt;0,SUMIFS(ProtocolosAF[VALOR COTA EUR],ProtocolosAF[BILHETE/EMD],"&lt;&gt;"&amp;"",ProtocolosAF[STATUS],"="&amp;"APROVADO",ProtocolosAF[TIPO],"&lt;&gt;"&amp;"FARE MATCH",ProtocolosAF[DATA],"&gt;="&amp;A13,ProtocolosAF[DATA],"&lt;="&amp;EOMONTH(A13,0)),"")</f>
        <v/>
      </c>
      <c r="D13" s="22" t="str">
        <f t="shared" si="0"/>
        <v/>
      </c>
      <c r="E13" s="18"/>
    </row>
    <row r="15" spans="1:23" ht="43.5">
      <c r="A15" s="6" t="s">
        <v>17</v>
      </c>
      <c r="B15" s="6" t="s">
        <v>5</v>
      </c>
      <c r="C15" s="6" t="s">
        <v>18</v>
      </c>
      <c r="D15" s="6" t="s">
        <v>19</v>
      </c>
      <c r="E15" s="6" t="s">
        <v>20</v>
      </c>
      <c r="F15" s="6" t="s">
        <v>21</v>
      </c>
      <c r="G15" s="20" t="s">
        <v>22</v>
      </c>
      <c r="H15" s="4" t="s">
        <v>23</v>
      </c>
      <c r="I15" s="20" t="s">
        <v>24</v>
      </c>
      <c r="J15" s="20" t="s">
        <v>25</v>
      </c>
      <c r="K15" s="6" t="s">
        <v>26</v>
      </c>
      <c r="L15" s="6" t="s">
        <v>27</v>
      </c>
      <c r="M15" s="4" t="s">
        <v>28</v>
      </c>
      <c r="N15" s="4" t="s">
        <v>29</v>
      </c>
      <c r="O15" s="6" t="s">
        <v>30</v>
      </c>
      <c r="P15" s="6" t="s">
        <v>31</v>
      </c>
      <c r="Q15" s="7" t="s">
        <v>32</v>
      </c>
      <c r="R15" s="8" t="s">
        <v>33</v>
      </c>
      <c r="S15" s="9" t="s">
        <v>34</v>
      </c>
      <c r="T15" s="12" t="s">
        <v>35</v>
      </c>
      <c r="U15" t="s">
        <v>36</v>
      </c>
      <c r="V15" t="s">
        <v>37</v>
      </c>
      <c r="W15" t="s">
        <v>38</v>
      </c>
    </row>
    <row r="16" spans="1:23" hidden="1">
      <c r="A16" s="1">
        <v>45002</v>
      </c>
      <c r="B16" t="s">
        <v>11</v>
      </c>
      <c r="C16" t="s">
        <v>39</v>
      </c>
      <c r="D16" s="23" t="s">
        <v>40</v>
      </c>
      <c r="E16" t="s">
        <v>41</v>
      </c>
      <c r="F16" s="19">
        <v>57564931</v>
      </c>
      <c r="G16" s="53">
        <v>579728256027</v>
      </c>
      <c r="H16" s="52">
        <v>1463</v>
      </c>
      <c r="I16" s="5">
        <v>7.0000000000000007E-2</v>
      </c>
      <c r="J16" s="52" cm="1">
        <f t="array" ref="J1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103</v>
      </c>
      <c r="K16" s="16" t="s">
        <v>42</v>
      </c>
      <c r="L16" s="54"/>
      <c r="M16" t="s">
        <v>43</v>
      </c>
      <c r="N16" s="15" t="s">
        <v>44</v>
      </c>
      <c r="O16" s="5" t="s">
        <v>45</v>
      </c>
      <c r="P16" s="17" t="s">
        <v>46</v>
      </c>
      <c r="Q16" s="10" t="s">
        <v>47</v>
      </c>
      <c r="R16" s="11">
        <v>45005</v>
      </c>
      <c r="S16" s="10" t="s">
        <v>48</v>
      </c>
      <c r="T16" s="3" t="str">
        <f>IF(AND(ProtocolosAF[[#This Row],[STATUS]]="APROVADO",ProtocolosAF[[#This Row],[WAIVER]]=""),"Y","")</f>
        <v/>
      </c>
      <c r="U16" t="s">
        <v>49</v>
      </c>
      <c r="V16" s="16" t="str">
        <f t="shared" ref="V16:V23" si="1">_xlfn.CONCAT(C16,U16)</f>
        <v>TUBVDQDE OLIVEIRA BORGES/VANIA MAIA</v>
      </c>
    </row>
    <row r="17" spans="1:23" hidden="1">
      <c r="A17" s="1">
        <v>45002</v>
      </c>
      <c r="B17" t="s">
        <v>11</v>
      </c>
      <c r="C17" t="s">
        <v>39</v>
      </c>
      <c r="D17" s="23" t="s">
        <v>40</v>
      </c>
      <c r="E17" t="s">
        <v>41</v>
      </c>
      <c r="F17" s="19">
        <v>57564931</v>
      </c>
      <c r="G17" s="53">
        <v>579728256029</v>
      </c>
      <c r="H17" s="52">
        <v>1463</v>
      </c>
      <c r="I17" s="5">
        <v>7.0000000000000007E-2</v>
      </c>
      <c r="J17" s="52" cm="1">
        <f t="array" ref="J1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103</v>
      </c>
      <c r="K17" s="16" t="s">
        <v>42</v>
      </c>
      <c r="L17" s="54"/>
      <c r="M17" t="s">
        <v>43</v>
      </c>
      <c r="N17" s="15" t="s">
        <v>44</v>
      </c>
      <c r="O17" s="5" t="s">
        <v>45</v>
      </c>
      <c r="P17" s="17" t="s">
        <v>46</v>
      </c>
      <c r="Q17" s="10" t="s">
        <v>47</v>
      </c>
      <c r="R17" s="11">
        <v>45005</v>
      </c>
      <c r="S17" s="10" t="s">
        <v>48</v>
      </c>
      <c r="T17" s="3" t="str">
        <f>IF(AND(ProtocolosAF[[#This Row],[STATUS]]="APROVADO",ProtocolosAF[[#This Row],[WAIVER]]=""),"Y","")</f>
        <v/>
      </c>
      <c r="U17" t="s">
        <v>50</v>
      </c>
      <c r="V17" s="16" t="str">
        <f t="shared" si="1"/>
        <v>TUBVDQDE OLIVEIRA BORGES/CARLOS ROBERTO</v>
      </c>
    </row>
    <row r="18" spans="1:23" hidden="1">
      <c r="A18" s="1">
        <v>45002</v>
      </c>
      <c r="B18" t="s">
        <v>11</v>
      </c>
      <c r="C18" t="s">
        <v>51</v>
      </c>
      <c r="D18" s="23" t="s">
        <v>52</v>
      </c>
      <c r="E18" t="s">
        <v>41</v>
      </c>
      <c r="F18" s="19">
        <v>57564931</v>
      </c>
      <c r="G18" s="53">
        <v>579728255971</v>
      </c>
      <c r="H18" s="52">
        <v>1463</v>
      </c>
      <c r="I18" s="5">
        <v>7.0000000000000007E-2</v>
      </c>
      <c r="J18" s="52" cm="1">
        <f t="array" ref="J1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103</v>
      </c>
      <c r="K18" s="16" t="s">
        <v>42</v>
      </c>
      <c r="L18" s="54"/>
      <c r="M18" t="s">
        <v>43</v>
      </c>
      <c r="N18" s="15" t="s">
        <v>44</v>
      </c>
      <c r="O18" s="5" t="s">
        <v>45</v>
      </c>
      <c r="P18" s="17" t="s">
        <v>46</v>
      </c>
      <c r="Q18" s="10" t="s">
        <v>47</v>
      </c>
      <c r="R18" s="11">
        <v>45005</v>
      </c>
      <c r="S18" s="10" t="s">
        <v>48</v>
      </c>
      <c r="T18" s="3" t="str">
        <f>IF(AND(ProtocolosAF[[#This Row],[STATUS]]="APROVADO",ProtocolosAF[[#This Row],[WAIVER]]=""),"Y","")</f>
        <v/>
      </c>
      <c r="U18" t="s">
        <v>53</v>
      </c>
      <c r="V18" s="16" t="str">
        <f t="shared" si="1"/>
        <v>KEKWSXBARION/ROMMEL</v>
      </c>
    </row>
    <row r="19" spans="1:23" hidden="1">
      <c r="A19" s="1">
        <v>45002</v>
      </c>
      <c r="B19" t="s">
        <v>11</v>
      </c>
      <c r="C19" t="s">
        <v>51</v>
      </c>
      <c r="D19" s="23" t="s">
        <v>52</v>
      </c>
      <c r="E19" t="s">
        <v>41</v>
      </c>
      <c r="F19" s="19">
        <v>57564931</v>
      </c>
      <c r="G19" s="53">
        <v>579728255973</v>
      </c>
      <c r="H19" s="52">
        <v>1463</v>
      </c>
      <c r="I19" s="5">
        <v>7.0000000000000007E-2</v>
      </c>
      <c r="J19" s="52" cm="1">
        <f t="array" ref="J1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103</v>
      </c>
      <c r="K19" s="16" t="s">
        <v>42</v>
      </c>
      <c r="L19" s="54"/>
      <c r="M19" t="s">
        <v>43</v>
      </c>
      <c r="N19" s="15" t="s">
        <v>44</v>
      </c>
      <c r="O19" s="5" t="s">
        <v>45</v>
      </c>
      <c r="P19" s="17" t="s">
        <v>46</v>
      </c>
      <c r="Q19" s="10" t="s">
        <v>47</v>
      </c>
      <c r="R19" s="11">
        <v>45005</v>
      </c>
      <c r="S19" s="10" t="s">
        <v>48</v>
      </c>
      <c r="T19" s="3" t="str">
        <f>IF(AND(ProtocolosAF[[#This Row],[STATUS]]="APROVADO",ProtocolosAF[[#This Row],[WAIVER]]=""),"Y","")</f>
        <v/>
      </c>
      <c r="U19" t="s">
        <v>54</v>
      </c>
      <c r="V19" s="16" t="str">
        <f t="shared" si="1"/>
        <v>KEKWSXRANDO BARION/MARIA DE JESUS</v>
      </c>
    </row>
    <row r="20" spans="1:23" hidden="1">
      <c r="A20" s="1">
        <v>45002</v>
      </c>
      <c r="B20" t="s">
        <v>11</v>
      </c>
      <c r="C20" t="s">
        <v>55</v>
      </c>
      <c r="D20" s="23" t="s">
        <v>56</v>
      </c>
      <c r="E20" t="s">
        <v>41</v>
      </c>
      <c r="F20" s="19">
        <v>57564931</v>
      </c>
      <c r="G20" s="53">
        <v>579728255985</v>
      </c>
      <c r="H20" s="52">
        <v>1463</v>
      </c>
      <c r="I20" s="5">
        <v>7.0000000000000007E-2</v>
      </c>
      <c r="J20" s="52" cm="1">
        <f t="array" ref="J2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103</v>
      </c>
      <c r="K20" s="16" t="s">
        <v>42</v>
      </c>
      <c r="L20" s="54"/>
      <c r="M20" t="s">
        <v>43</v>
      </c>
      <c r="N20" s="15" t="s">
        <v>44</v>
      </c>
      <c r="O20" s="5" t="s">
        <v>45</v>
      </c>
      <c r="P20" s="17" t="s">
        <v>46</v>
      </c>
      <c r="Q20" s="10" t="s">
        <v>47</v>
      </c>
      <c r="R20" s="11">
        <v>45005</v>
      </c>
      <c r="S20" s="10" t="s">
        <v>48</v>
      </c>
      <c r="T20" s="3" t="str">
        <f>IF(AND(ProtocolosAF[[#This Row],[STATUS]]="APROVADO",ProtocolosAF[[#This Row],[WAIVER]]=""),"Y","")</f>
        <v/>
      </c>
      <c r="U20" t="s">
        <v>57</v>
      </c>
      <c r="V20" s="16" t="str">
        <f t="shared" si="1"/>
        <v>VZQETLHILGENBERG NETO/MIGUEL FREDERICO</v>
      </c>
    </row>
    <row r="21" spans="1:23" hidden="1">
      <c r="A21" s="1">
        <v>45002</v>
      </c>
      <c r="B21" t="s">
        <v>11</v>
      </c>
      <c r="C21" t="s">
        <v>55</v>
      </c>
      <c r="D21" s="23" t="s">
        <v>56</v>
      </c>
      <c r="E21" t="s">
        <v>41</v>
      </c>
      <c r="F21" s="19">
        <v>57564931</v>
      </c>
      <c r="G21" s="53">
        <v>579728255987</v>
      </c>
      <c r="H21" s="52">
        <v>1463</v>
      </c>
      <c r="I21" s="5">
        <v>7.0000000000000007E-2</v>
      </c>
      <c r="J21" s="52" cm="1">
        <f t="array" ref="J2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103</v>
      </c>
      <c r="K21" s="16" t="s">
        <v>42</v>
      </c>
      <c r="L21" s="54"/>
      <c r="M21" t="s">
        <v>43</v>
      </c>
      <c r="N21" s="15" t="s">
        <v>44</v>
      </c>
      <c r="O21" s="5" t="s">
        <v>45</v>
      </c>
      <c r="P21" s="17" t="s">
        <v>46</v>
      </c>
      <c r="Q21" s="10" t="s">
        <v>47</v>
      </c>
      <c r="R21" s="11">
        <v>45005</v>
      </c>
      <c r="S21" s="10" t="s">
        <v>48</v>
      </c>
      <c r="T21" s="3" t="str">
        <f>IF(AND(ProtocolosAF[[#This Row],[STATUS]]="APROVADO",ProtocolosAF[[#This Row],[WAIVER]]=""),"Y","")</f>
        <v/>
      </c>
      <c r="U21" t="s">
        <v>58</v>
      </c>
      <c r="V21" s="16" t="str">
        <f t="shared" si="1"/>
        <v>VZQETLBRENNER HILGENBERG/NEYLA MARIA</v>
      </c>
    </row>
    <row r="22" spans="1:23" hidden="1">
      <c r="A22" s="1">
        <v>45002</v>
      </c>
      <c r="B22" t="s">
        <v>11</v>
      </c>
      <c r="C22" t="s">
        <v>59</v>
      </c>
      <c r="D22" s="23" t="s">
        <v>60</v>
      </c>
      <c r="E22" t="s">
        <v>41</v>
      </c>
      <c r="F22" s="19">
        <v>57564931</v>
      </c>
      <c r="G22" s="53">
        <v>579728256009</v>
      </c>
      <c r="H22" s="52">
        <v>1463</v>
      </c>
      <c r="I22" s="5">
        <v>7.0000000000000007E-2</v>
      </c>
      <c r="J22" s="52" cm="1">
        <f t="array" ref="J2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103</v>
      </c>
      <c r="K22" s="16" t="s">
        <v>42</v>
      </c>
      <c r="L22" s="54"/>
      <c r="M22" t="s">
        <v>43</v>
      </c>
      <c r="N22" s="15" t="s">
        <v>44</v>
      </c>
      <c r="O22" s="5" t="s">
        <v>45</v>
      </c>
      <c r="P22" s="17" t="s">
        <v>46</v>
      </c>
      <c r="Q22" s="10" t="s">
        <v>47</v>
      </c>
      <c r="R22" s="11">
        <v>45005</v>
      </c>
      <c r="S22" s="10" t="s">
        <v>48</v>
      </c>
      <c r="T22" s="3" t="str">
        <f>IF(AND(ProtocolosAF[[#This Row],[STATUS]]="APROVADO",ProtocolosAF[[#This Row],[WAIVER]]=""),"Y","")</f>
        <v/>
      </c>
      <c r="U22" t="s">
        <v>61</v>
      </c>
      <c r="V22" s="16" t="str">
        <f t="shared" si="1"/>
        <v>LUYGBSBALLIN/CARLOS ROBERTO</v>
      </c>
    </row>
    <row r="23" spans="1:23" hidden="1">
      <c r="A23" s="1">
        <v>45002</v>
      </c>
      <c r="B23" t="s">
        <v>11</v>
      </c>
      <c r="C23" t="s">
        <v>59</v>
      </c>
      <c r="D23" s="23" t="s">
        <v>60</v>
      </c>
      <c r="E23" t="s">
        <v>41</v>
      </c>
      <c r="F23" s="19">
        <v>57564931</v>
      </c>
      <c r="G23" s="53">
        <v>579728256011</v>
      </c>
      <c r="H23" s="52">
        <v>1463</v>
      </c>
      <c r="I23" s="5">
        <v>7.0000000000000007E-2</v>
      </c>
      <c r="J23" s="52" cm="1">
        <f t="array" ref="J2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103</v>
      </c>
      <c r="K23" s="16" t="s">
        <v>42</v>
      </c>
      <c r="L23" s="54"/>
      <c r="M23" t="s">
        <v>43</v>
      </c>
      <c r="N23" s="15" t="s">
        <v>44</v>
      </c>
      <c r="O23" s="5" t="s">
        <v>45</v>
      </c>
      <c r="P23" s="17" t="s">
        <v>46</v>
      </c>
      <c r="Q23" s="10" t="s">
        <v>47</v>
      </c>
      <c r="R23" s="11">
        <v>45005</v>
      </c>
      <c r="S23" s="10" t="s">
        <v>48</v>
      </c>
      <c r="T23" s="3" t="str">
        <f>IF(AND(ProtocolosAF[[#This Row],[STATUS]]="APROVADO",ProtocolosAF[[#This Row],[WAIVER]]=""),"Y","")</f>
        <v/>
      </c>
      <c r="U23" t="s">
        <v>62</v>
      </c>
      <c r="V23" s="16" t="str">
        <f t="shared" si="1"/>
        <v>LUYGBSGALEB BALLIN/ROSANGELA MARIA</v>
      </c>
    </row>
    <row r="24" spans="1:23" hidden="1">
      <c r="A24" s="1">
        <v>45006</v>
      </c>
      <c r="B24" t="s">
        <v>10</v>
      </c>
      <c r="C24" t="s">
        <v>63</v>
      </c>
      <c r="D24" s="23" t="s">
        <v>64</v>
      </c>
      <c r="E24" t="s">
        <v>41</v>
      </c>
      <c r="F24" s="19">
        <v>57564931</v>
      </c>
      <c r="G24" s="53">
        <v>579728270952</v>
      </c>
      <c r="H24" s="52">
        <v>3892</v>
      </c>
      <c r="I24" s="5">
        <v>0.1</v>
      </c>
      <c r="J24" s="52" cm="1">
        <f t="array" ref="J2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390</v>
      </c>
      <c r="K24" s="56" t="s">
        <v>65</v>
      </c>
      <c r="L24" s="54" t="s">
        <v>66</v>
      </c>
      <c r="M24" t="s">
        <v>43</v>
      </c>
      <c r="N24" s="15" t="s">
        <v>67</v>
      </c>
      <c r="O24" s="5" t="s">
        <v>68</v>
      </c>
      <c r="P24" s="17" t="s">
        <v>69</v>
      </c>
      <c r="Q24" s="10" t="s">
        <v>70</v>
      </c>
      <c r="R24" s="11">
        <v>45006</v>
      </c>
      <c r="S24" s="10" t="s">
        <v>48</v>
      </c>
      <c r="T24" s="3" t="str">
        <f>IF(AND(ProtocolosAF[[#This Row],[STATUS]]="APROVADO",ProtocolosAF[[#This Row],[WAIVER]]=""),"Y","")</f>
        <v/>
      </c>
      <c r="U24" t="s">
        <v>71</v>
      </c>
      <c r="V24" s="16" t="str">
        <f t="shared" ref="V24:V36" si="2">_xlfn.CONCAT(C24,U24)</f>
        <v>XDQLLNNAHAS MATTAR MUACCAD/CAMILLA</v>
      </c>
      <c r="W24">
        <v>11</v>
      </c>
    </row>
    <row r="25" spans="1:23" hidden="1">
      <c r="A25" s="1">
        <v>45006</v>
      </c>
      <c r="B25" t="s">
        <v>15</v>
      </c>
      <c r="C25" t="s">
        <v>72</v>
      </c>
      <c r="D25" s="23" t="s">
        <v>72</v>
      </c>
      <c r="E25" t="s">
        <v>73</v>
      </c>
      <c r="F25" s="19">
        <v>57994602</v>
      </c>
      <c r="G25" s="53">
        <v>571592819609</v>
      </c>
      <c r="H25" s="52">
        <v>80</v>
      </c>
      <c r="I25" s="5" t="s">
        <v>74</v>
      </c>
      <c r="J25" s="52" cm="1">
        <f t="array" ref="J2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80</v>
      </c>
      <c r="K25" s="56" t="s">
        <v>75</v>
      </c>
      <c r="L25" s="54" t="s">
        <v>76</v>
      </c>
      <c r="M25" t="s">
        <v>43</v>
      </c>
      <c r="N25" s="15" t="s">
        <v>77</v>
      </c>
      <c r="O25" s="5" t="s">
        <v>78</v>
      </c>
      <c r="P25" s="17" t="s">
        <v>69</v>
      </c>
      <c r="Q25" s="10" t="s">
        <v>79</v>
      </c>
      <c r="R25" s="11">
        <v>45007</v>
      </c>
      <c r="S25" s="10" t="s">
        <v>80</v>
      </c>
      <c r="T25" s="3" t="str">
        <f>IF(AND(ProtocolosAF[[#This Row],[STATUS]]="APROVADO",ProtocolosAF[[#This Row],[WAIVER]]=""),"Y","")</f>
        <v/>
      </c>
      <c r="U25" t="s">
        <v>81</v>
      </c>
      <c r="V25" s="16" t="str">
        <f t="shared" si="2"/>
        <v>38ACG51.SIVIERO/ALDO LORENZO</v>
      </c>
      <c r="W25">
        <v>12</v>
      </c>
    </row>
    <row r="26" spans="1:23" hidden="1">
      <c r="A26" s="1">
        <v>44987</v>
      </c>
      <c r="B26" t="s">
        <v>11</v>
      </c>
      <c r="C26" t="s">
        <v>82</v>
      </c>
      <c r="D26" s="23" t="s">
        <v>83</v>
      </c>
      <c r="E26" t="s">
        <v>41</v>
      </c>
      <c r="F26" s="19">
        <v>57564931</v>
      </c>
      <c r="G26" s="53">
        <v>571603996107</v>
      </c>
      <c r="H26" s="52">
        <v>1252</v>
      </c>
      <c r="I26" s="5">
        <v>0.1</v>
      </c>
      <c r="J26" s="52" cm="1">
        <f t="array" ref="J2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126</v>
      </c>
      <c r="K26" s="56" t="s">
        <v>84</v>
      </c>
      <c r="L26" s="54" t="s">
        <v>66</v>
      </c>
      <c r="M26" t="s">
        <v>43</v>
      </c>
      <c r="N26" s="15" t="s">
        <v>85</v>
      </c>
      <c r="O26" s="5" t="s">
        <v>78</v>
      </c>
      <c r="P26" s="17" t="s">
        <v>46</v>
      </c>
      <c r="Q26" s="10" t="s">
        <v>86</v>
      </c>
      <c r="R26" s="11">
        <v>44987</v>
      </c>
      <c r="S26" s="10" t="s">
        <v>48</v>
      </c>
      <c r="T26" s="3" t="str">
        <f>IF(AND(ProtocolosAF[[#This Row],[STATUS]]="APROVADO",ProtocolosAF[[#This Row],[WAIVER]]=""),"Y","")</f>
        <v/>
      </c>
      <c r="U26" t="s">
        <v>87</v>
      </c>
      <c r="V26" s="16" t="str">
        <f t="shared" si="2"/>
        <v>KMVKXKDE ARAUJO/ELAINE SILVA</v>
      </c>
      <c r="W26">
        <v>14</v>
      </c>
    </row>
    <row r="27" spans="1:23" hidden="1">
      <c r="A27" s="1">
        <v>44987</v>
      </c>
      <c r="B27" t="s">
        <v>11</v>
      </c>
      <c r="C27" t="s">
        <v>82</v>
      </c>
      <c r="D27" s="23" t="s">
        <v>83</v>
      </c>
      <c r="E27" t="s">
        <v>41</v>
      </c>
      <c r="F27" s="19">
        <v>57564931</v>
      </c>
      <c r="G27" s="53">
        <v>571603996108</v>
      </c>
      <c r="H27" s="52">
        <v>1252</v>
      </c>
      <c r="I27" s="5">
        <v>0.1</v>
      </c>
      <c r="J27" s="52" cm="1">
        <f t="array" ref="J2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126</v>
      </c>
      <c r="K27" s="56" t="s">
        <v>84</v>
      </c>
      <c r="L27" s="54" t="s">
        <v>66</v>
      </c>
      <c r="M27" t="s">
        <v>43</v>
      </c>
      <c r="N27" s="15" t="s">
        <v>85</v>
      </c>
      <c r="O27" s="5" t="s">
        <v>78</v>
      </c>
      <c r="P27" s="17" t="s">
        <v>46</v>
      </c>
      <c r="Q27" s="10" t="s">
        <v>86</v>
      </c>
      <c r="R27" s="11">
        <v>44987</v>
      </c>
      <c r="S27" s="10" t="s">
        <v>48</v>
      </c>
      <c r="T27" s="3" t="str">
        <f>IF(AND(ProtocolosAF[[#This Row],[STATUS]]="APROVADO",ProtocolosAF[[#This Row],[WAIVER]]=""),"Y","")</f>
        <v/>
      </c>
      <c r="U27" t="s">
        <v>88</v>
      </c>
      <c r="V27" s="16" t="str">
        <f t="shared" si="2"/>
        <v>KMVKXKALMEIDA RIBEIRO/DOMINGOS FRANCIEL</v>
      </c>
      <c r="W27">
        <v>14</v>
      </c>
    </row>
    <row r="28" spans="1:23" hidden="1">
      <c r="A28" s="1">
        <v>44987</v>
      </c>
      <c r="B28" t="s">
        <v>11</v>
      </c>
      <c r="C28" t="s">
        <v>82</v>
      </c>
      <c r="D28" s="23" t="s">
        <v>83</v>
      </c>
      <c r="E28" t="s">
        <v>41</v>
      </c>
      <c r="F28" s="19">
        <v>57564931</v>
      </c>
      <c r="G28" s="53">
        <v>571603996109</v>
      </c>
      <c r="H28" s="52">
        <v>1252</v>
      </c>
      <c r="I28" s="5">
        <v>0.1</v>
      </c>
      <c r="J28" s="52" cm="1">
        <f t="array" ref="J2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126</v>
      </c>
      <c r="K28" s="56" t="s">
        <v>84</v>
      </c>
      <c r="L28" s="54" t="s">
        <v>66</v>
      </c>
      <c r="M28" t="s">
        <v>43</v>
      </c>
      <c r="N28" s="15" t="s">
        <v>85</v>
      </c>
      <c r="O28" s="5" t="s">
        <v>78</v>
      </c>
      <c r="P28" s="17" t="s">
        <v>46</v>
      </c>
      <c r="Q28" s="10" t="s">
        <v>86</v>
      </c>
      <c r="R28" s="11">
        <v>44987</v>
      </c>
      <c r="S28" s="10" t="s">
        <v>48</v>
      </c>
      <c r="T28" s="3" t="str">
        <f>IF(AND(ProtocolosAF[[#This Row],[STATUS]]="APROVADO",ProtocolosAF[[#This Row],[WAIVER]]=""),"Y","")</f>
        <v/>
      </c>
      <c r="U28" t="s">
        <v>89</v>
      </c>
      <c r="V28" s="16" t="str">
        <f t="shared" si="2"/>
        <v>KMVKXKDE ALMEIDA/ANDRE GOMES</v>
      </c>
      <c r="W28">
        <v>14</v>
      </c>
    </row>
    <row r="29" spans="1:23" hidden="1">
      <c r="A29" s="1">
        <v>44987</v>
      </c>
      <c r="B29" t="s">
        <v>11</v>
      </c>
      <c r="C29" t="s">
        <v>82</v>
      </c>
      <c r="D29" s="23" t="s">
        <v>83</v>
      </c>
      <c r="E29" t="s">
        <v>41</v>
      </c>
      <c r="F29" s="19">
        <v>57564931</v>
      </c>
      <c r="G29" s="53">
        <v>571603996110</v>
      </c>
      <c r="H29" s="52">
        <v>1252</v>
      </c>
      <c r="I29" s="5">
        <v>0.1</v>
      </c>
      <c r="J29" s="52" cm="1">
        <f t="array" ref="J2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126</v>
      </c>
      <c r="K29" s="56" t="s">
        <v>84</v>
      </c>
      <c r="L29" s="54" t="s">
        <v>66</v>
      </c>
      <c r="M29" t="s">
        <v>43</v>
      </c>
      <c r="N29" s="15" t="s">
        <v>85</v>
      </c>
      <c r="O29" s="5" t="s">
        <v>78</v>
      </c>
      <c r="P29" s="17" t="s">
        <v>46</v>
      </c>
      <c r="Q29" s="10" t="s">
        <v>86</v>
      </c>
      <c r="R29" s="11">
        <v>44987</v>
      </c>
      <c r="S29" s="10" t="s">
        <v>48</v>
      </c>
      <c r="T29" s="3" t="str">
        <f>IF(AND(ProtocolosAF[[#This Row],[STATUS]]="APROVADO",ProtocolosAF[[#This Row],[WAIVER]]=""),"Y","")</f>
        <v/>
      </c>
      <c r="U29" t="s">
        <v>90</v>
      </c>
      <c r="V29" s="16" t="str">
        <f t="shared" si="2"/>
        <v>KMVKXKMARCHI/RAFAEL RODRIGUES</v>
      </c>
      <c r="W29">
        <v>14</v>
      </c>
    </row>
    <row r="30" spans="1:23" hidden="1">
      <c r="A30" s="1">
        <v>44987</v>
      </c>
      <c r="B30" t="s">
        <v>11</v>
      </c>
      <c r="C30" t="s">
        <v>82</v>
      </c>
      <c r="D30" s="23" t="s">
        <v>83</v>
      </c>
      <c r="E30" t="s">
        <v>41</v>
      </c>
      <c r="F30" s="19">
        <v>57564931</v>
      </c>
      <c r="G30" s="53">
        <v>571604010985</v>
      </c>
      <c r="H30" s="52">
        <v>1252</v>
      </c>
      <c r="I30" s="5">
        <v>0.1</v>
      </c>
      <c r="J30" s="52" cm="1">
        <f t="array" ref="J3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126</v>
      </c>
      <c r="K30" s="56" t="s">
        <v>84</v>
      </c>
      <c r="L30" s="54" t="s">
        <v>66</v>
      </c>
      <c r="M30" t="s">
        <v>43</v>
      </c>
      <c r="N30" s="15" t="s">
        <v>85</v>
      </c>
      <c r="O30" s="5" t="s">
        <v>78</v>
      </c>
      <c r="P30" s="17" t="s">
        <v>46</v>
      </c>
      <c r="Q30" s="10" t="s">
        <v>86</v>
      </c>
      <c r="R30" s="11">
        <v>44987</v>
      </c>
      <c r="S30" s="10" t="s">
        <v>48</v>
      </c>
      <c r="T30" s="3" t="str">
        <f>IF(AND(ProtocolosAF[[#This Row],[STATUS]]="APROVADO",ProtocolosAF[[#This Row],[WAIVER]]=""),"Y","")</f>
        <v/>
      </c>
      <c r="U30" t="s">
        <v>91</v>
      </c>
      <c r="V30" s="16" t="str">
        <f t="shared" si="2"/>
        <v>KMVKXKNASCIMENTO DE BRITO/MACELIO</v>
      </c>
      <c r="W30">
        <v>14</v>
      </c>
    </row>
    <row r="31" spans="1:23" hidden="1">
      <c r="A31" s="1">
        <v>44987</v>
      </c>
      <c r="B31" t="s">
        <v>11</v>
      </c>
      <c r="C31" t="s">
        <v>82</v>
      </c>
      <c r="D31" s="23" t="s">
        <v>83</v>
      </c>
      <c r="E31" t="s">
        <v>41</v>
      </c>
      <c r="F31" s="19">
        <v>57564931</v>
      </c>
      <c r="G31" s="53">
        <v>571603996112</v>
      </c>
      <c r="H31" s="52">
        <v>1252</v>
      </c>
      <c r="I31" s="5">
        <v>0.1</v>
      </c>
      <c r="J31" s="52" cm="1">
        <f t="array" ref="J3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126</v>
      </c>
      <c r="K31" s="56" t="s">
        <v>84</v>
      </c>
      <c r="L31" s="54" t="s">
        <v>66</v>
      </c>
      <c r="M31" t="s">
        <v>43</v>
      </c>
      <c r="N31" s="15" t="s">
        <v>85</v>
      </c>
      <c r="O31" s="5" t="s">
        <v>78</v>
      </c>
      <c r="P31" s="17" t="s">
        <v>46</v>
      </c>
      <c r="Q31" s="10" t="s">
        <v>86</v>
      </c>
      <c r="R31" s="11">
        <v>44987</v>
      </c>
      <c r="S31" s="10" t="s">
        <v>48</v>
      </c>
      <c r="T31" s="3" t="str">
        <f>IF(AND(ProtocolosAF[[#This Row],[STATUS]]="APROVADO",ProtocolosAF[[#This Row],[WAIVER]]=""),"Y","")</f>
        <v/>
      </c>
      <c r="U31" t="s">
        <v>92</v>
      </c>
      <c r="V31" s="16" t="str">
        <f t="shared" si="2"/>
        <v>KMVKXKARAUJO ROCHA/NADIA</v>
      </c>
      <c r="W31">
        <v>14</v>
      </c>
    </row>
    <row r="32" spans="1:23" hidden="1">
      <c r="A32" s="1">
        <v>44987</v>
      </c>
      <c r="B32" t="s">
        <v>11</v>
      </c>
      <c r="C32" t="s">
        <v>82</v>
      </c>
      <c r="D32" s="23" t="s">
        <v>83</v>
      </c>
      <c r="E32" t="s">
        <v>41</v>
      </c>
      <c r="F32" s="19">
        <v>57564931</v>
      </c>
      <c r="G32" s="53">
        <v>571603996113</v>
      </c>
      <c r="H32" s="52">
        <v>1252</v>
      </c>
      <c r="I32" s="5">
        <v>0.1</v>
      </c>
      <c r="J32" s="52" cm="1">
        <f t="array" ref="J3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126</v>
      </c>
      <c r="K32" s="56" t="s">
        <v>84</v>
      </c>
      <c r="L32" s="54" t="s">
        <v>66</v>
      </c>
      <c r="M32" t="s">
        <v>43</v>
      </c>
      <c r="N32" s="15" t="s">
        <v>85</v>
      </c>
      <c r="O32" s="5" t="s">
        <v>78</v>
      </c>
      <c r="P32" s="17" t="s">
        <v>46</v>
      </c>
      <c r="Q32" s="10" t="s">
        <v>86</v>
      </c>
      <c r="R32" s="11">
        <v>44987</v>
      </c>
      <c r="S32" s="10" t="s">
        <v>48</v>
      </c>
      <c r="T32" s="3" t="str">
        <f>IF(AND(ProtocolosAF[[#This Row],[STATUS]]="APROVADO",ProtocolosAF[[#This Row],[WAIVER]]=""),"Y","")</f>
        <v/>
      </c>
      <c r="U32" t="s">
        <v>93</v>
      </c>
      <c r="V32" s="16" t="str">
        <f t="shared" si="2"/>
        <v>KMVKXKOLIVEIRA ARECO/ALLAN</v>
      </c>
      <c r="W32">
        <v>14</v>
      </c>
    </row>
    <row r="33" spans="1:23" hidden="1">
      <c r="A33" s="1">
        <v>45006</v>
      </c>
      <c r="B33" t="s">
        <v>10</v>
      </c>
      <c r="C33" t="s">
        <v>94</v>
      </c>
      <c r="D33" s="23" t="s">
        <v>95</v>
      </c>
      <c r="E33" t="s">
        <v>41</v>
      </c>
      <c r="F33" s="19">
        <v>57564931</v>
      </c>
      <c r="G33" s="53">
        <v>579728276702</v>
      </c>
      <c r="H33" s="52">
        <v>1898</v>
      </c>
      <c r="I33" s="5">
        <v>0.2</v>
      </c>
      <c r="J33" s="52" cm="1">
        <f t="array" ref="J3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380</v>
      </c>
      <c r="K33" t="s">
        <v>65</v>
      </c>
      <c r="L33" s="54" t="s">
        <v>66</v>
      </c>
      <c r="M33" t="s">
        <v>43</v>
      </c>
      <c r="N33" s="15" t="s">
        <v>67</v>
      </c>
      <c r="O33" s="5" t="s">
        <v>78</v>
      </c>
      <c r="P33" s="17" t="s">
        <v>69</v>
      </c>
      <c r="Q33" s="10" t="s">
        <v>70</v>
      </c>
      <c r="R33" s="11">
        <v>45007</v>
      </c>
      <c r="S33" s="10" t="s">
        <v>48</v>
      </c>
      <c r="T33" s="3" t="str">
        <f>IF(AND(ProtocolosAF[[#This Row],[STATUS]]="APROVADO",ProtocolosAF[[#This Row],[WAIVER]]=""),"Y","")</f>
        <v/>
      </c>
      <c r="U33" t="s">
        <v>96</v>
      </c>
      <c r="V33" s="16" t="str">
        <f t="shared" si="2"/>
        <v>USGYQZFARIA CARRILHO/OTTO VALERIO</v>
      </c>
    </row>
    <row r="34" spans="1:23" hidden="1">
      <c r="A34" s="1">
        <v>45007</v>
      </c>
      <c r="B34" t="s">
        <v>11</v>
      </c>
      <c r="C34" t="s">
        <v>97</v>
      </c>
      <c r="D34" s="23" t="s">
        <v>98</v>
      </c>
      <c r="E34" t="s">
        <v>41</v>
      </c>
      <c r="F34" s="19"/>
      <c r="G34" s="53"/>
      <c r="H34" s="52">
        <v>4193</v>
      </c>
      <c r="I34" s="5">
        <v>0.11</v>
      </c>
      <c r="J34" s="52" t="str" cm="1">
        <f t="array" ref="J3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4" s="56" t="s">
        <v>99</v>
      </c>
      <c r="L34" s="54" t="s">
        <v>66</v>
      </c>
      <c r="M34" t="s">
        <v>100</v>
      </c>
      <c r="N34" s="15" t="s">
        <v>85</v>
      </c>
      <c r="O34" s="5" t="s">
        <v>101</v>
      </c>
      <c r="P34" s="17" t="s">
        <v>46</v>
      </c>
      <c r="Q34" s="10"/>
      <c r="R34" s="11"/>
      <c r="S34" s="10"/>
      <c r="T34" s="3" t="str">
        <f>IF(AND(ProtocolosAF[[#This Row],[STATUS]]="APROVADO",ProtocolosAF[[#This Row],[WAIVER]]=""),"Y","")</f>
        <v/>
      </c>
      <c r="U34" t="s">
        <v>102</v>
      </c>
      <c r="V34" s="16" t="str">
        <f t="shared" si="2"/>
        <v>MWYNCXCINEL FILHO/WASHINGTON UMBERTO</v>
      </c>
      <c r="W34">
        <v>17</v>
      </c>
    </row>
    <row r="35" spans="1:23" hidden="1">
      <c r="A35" s="1">
        <v>45008</v>
      </c>
      <c r="B35" t="s">
        <v>10</v>
      </c>
      <c r="C35" t="s">
        <v>103</v>
      </c>
      <c r="D35" s="23" t="s">
        <v>104</v>
      </c>
      <c r="E35" t="s">
        <v>41</v>
      </c>
      <c r="F35" s="19">
        <v>57564931</v>
      </c>
      <c r="G35" s="53">
        <v>579728290201</v>
      </c>
      <c r="H35" s="52">
        <v>1444</v>
      </c>
      <c r="I35" s="5">
        <v>0.08</v>
      </c>
      <c r="J35" s="52" cm="1">
        <f t="array" ref="J3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116</v>
      </c>
      <c r="K35" s="56" t="s">
        <v>105</v>
      </c>
      <c r="L35" s="54" t="s">
        <v>66</v>
      </c>
      <c r="M35" t="s">
        <v>43</v>
      </c>
      <c r="N35" s="15" t="s">
        <v>67</v>
      </c>
      <c r="O35" s="5" t="s">
        <v>106</v>
      </c>
      <c r="P35" s="17" t="s">
        <v>69</v>
      </c>
      <c r="Q35" s="10" t="s">
        <v>107</v>
      </c>
      <c r="R35" s="11">
        <v>45008</v>
      </c>
      <c r="S35" s="10" t="s">
        <v>48</v>
      </c>
      <c r="T35" s="3" t="str">
        <f>IF(AND(ProtocolosAF[[#This Row],[STATUS]]="APROVADO",ProtocolosAF[[#This Row],[WAIVER]]=""),"Y","")</f>
        <v/>
      </c>
      <c r="U35" t="s">
        <v>108</v>
      </c>
      <c r="V35" s="16" t="str">
        <f t="shared" si="2"/>
        <v>LDKRUOPACHECO ZAPAROLI/SANDRA CRISTINA</v>
      </c>
      <c r="W35">
        <v>19</v>
      </c>
    </row>
    <row r="36" spans="1:23" hidden="1">
      <c r="A36" s="1">
        <v>45009</v>
      </c>
      <c r="B36" t="s">
        <v>10</v>
      </c>
      <c r="C36" t="s">
        <v>109</v>
      </c>
      <c r="D36" s="23" t="s">
        <v>110</v>
      </c>
      <c r="E36" t="s">
        <v>41</v>
      </c>
      <c r="F36" s="19">
        <v>57564931</v>
      </c>
      <c r="G36" s="53">
        <v>579728298542</v>
      </c>
      <c r="H36" s="52">
        <v>1494</v>
      </c>
      <c r="I36" s="5">
        <v>0.1</v>
      </c>
      <c r="J36" s="52" cm="1">
        <f t="array" ref="J3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150</v>
      </c>
      <c r="K36" s="56" t="s">
        <v>105</v>
      </c>
      <c r="L36" s="54" t="s">
        <v>66</v>
      </c>
      <c r="M36" t="s">
        <v>43</v>
      </c>
      <c r="N36" s="15" t="s">
        <v>67</v>
      </c>
      <c r="O36" s="5" t="s">
        <v>111</v>
      </c>
      <c r="P36" s="17" t="s">
        <v>46</v>
      </c>
      <c r="Q36" s="10" t="s">
        <v>107</v>
      </c>
      <c r="R36" s="11">
        <v>45009</v>
      </c>
      <c r="S36" s="10" t="s">
        <v>48</v>
      </c>
      <c r="T36" s="3" t="str">
        <f>IF(AND(ProtocolosAF[[#This Row],[STATUS]]="APROVADO",ProtocolosAF[[#This Row],[WAIVER]]=""),"Y","")</f>
        <v/>
      </c>
      <c r="U36" t="s">
        <v>112</v>
      </c>
      <c r="V36" s="16" t="str">
        <f t="shared" si="2"/>
        <v>YRRFTTPUBLIO DIAS DA SILVA/EMMANUEL ROBERTO</v>
      </c>
      <c r="W36">
        <v>20</v>
      </c>
    </row>
    <row r="37" spans="1:23" hidden="1">
      <c r="A37" s="1">
        <v>45015</v>
      </c>
      <c r="B37" t="s">
        <v>10</v>
      </c>
      <c r="C37" t="s">
        <v>113</v>
      </c>
      <c r="D37" s="23" t="s">
        <v>114</v>
      </c>
      <c r="E37" t="s">
        <v>41</v>
      </c>
      <c r="F37" s="19">
        <v>57564931</v>
      </c>
      <c r="G37" s="53">
        <v>579728332691</v>
      </c>
      <c r="H37" s="52">
        <v>1966</v>
      </c>
      <c r="I37" s="5">
        <v>7.0000000000000007E-2</v>
      </c>
      <c r="J37" s="52" cm="1">
        <f t="array" ref="J3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138</v>
      </c>
      <c r="K37" s="56" t="s">
        <v>115</v>
      </c>
      <c r="L37" s="54" t="s">
        <v>76</v>
      </c>
      <c r="M37" t="s">
        <v>43</v>
      </c>
      <c r="N37" s="15" t="s">
        <v>67</v>
      </c>
      <c r="O37" s="5" t="s">
        <v>116</v>
      </c>
      <c r="P37" s="17" t="s">
        <v>46</v>
      </c>
      <c r="Q37" s="10" t="s">
        <v>107</v>
      </c>
      <c r="R37" s="11">
        <v>45015</v>
      </c>
      <c r="S37" s="10" t="s">
        <v>48</v>
      </c>
      <c r="T37" s="3" t="str">
        <f>IF(AND(ProtocolosAF[[#This Row],[STATUS]]="APROVADO",ProtocolosAF[[#This Row],[WAIVER]]=""),"Y","")</f>
        <v/>
      </c>
      <c r="U37" t="s">
        <v>117</v>
      </c>
      <c r="V37" s="16" t="str">
        <f t="shared" ref="V37:V46" si="3">_xlfn.CONCAT(C37,U37)</f>
        <v>LSMAIMKOTTWITZ ALBUQUERQUE/DAIANE CARLA MRS</v>
      </c>
      <c r="W37">
        <v>23</v>
      </c>
    </row>
    <row r="38" spans="1:23" hidden="1">
      <c r="A38" s="1">
        <v>45016</v>
      </c>
      <c r="B38" t="s">
        <v>10</v>
      </c>
      <c r="C38" t="s">
        <v>118</v>
      </c>
      <c r="D38" s="23" t="s">
        <v>119</v>
      </c>
      <c r="E38" t="s">
        <v>41</v>
      </c>
      <c r="F38" s="19">
        <v>57564931</v>
      </c>
      <c r="G38" s="53">
        <v>579728344128</v>
      </c>
      <c r="H38" s="52">
        <v>1685</v>
      </c>
      <c r="I38" s="5">
        <v>0.08</v>
      </c>
      <c r="J38" s="52" cm="1">
        <f t="array" ref="J3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135</v>
      </c>
      <c r="K38" s="56" t="s">
        <v>115</v>
      </c>
      <c r="L38" s="54" t="s">
        <v>76</v>
      </c>
      <c r="M38" t="s">
        <v>43</v>
      </c>
      <c r="N38" s="15" t="s">
        <v>67</v>
      </c>
      <c r="O38" s="5" t="s">
        <v>106</v>
      </c>
      <c r="P38" s="17" t="s">
        <v>69</v>
      </c>
      <c r="Q38" s="10" t="s">
        <v>107</v>
      </c>
      <c r="R38" s="11">
        <v>45016</v>
      </c>
      <c r="S38" s="10" t="s">
        <v>48</v>
      </c>
      <c r="T38" s="3" t="str">
        <f>IF(AND(ProtocolosAF[[#This Row],[STATUS]]="APROVADO",ProtocolosAF[[#This Row],[WAIVER]]=""),"Y","")</f>
        <v/>
      </c>
      <c r="U38" t="s">
        <v>120</v>
      </c>
      <c r="V38" s="16" t="str">
        <f t="shared" si="3"/>
        <v>LNFGKSDE OLIVEIRA BASTOS/ANA CRISTINA MRS</v>
      </c>
      <c r="W38">
        <v>24</v>
      </c>
    </row>
    <row r="39" spans="1:23" hidden="1">
      <c r="A39" s="1">
        <v>45016</v>
      </c>
      <c r="B39" t="s">
        <v>10</v>
      </c>
      <c r="C39" t="s">
        <v>118</v>
      </c>
      <c r="D39" s="23" t="s">
        <v>119</v>
      </c>
      <c r="E39" t="s">
        <v>41</v>
      </c>
      <c r="F39" s="19"/>
      <c r="G39" s="53"/>
      <c r="H39" s="52">
        <v>1685</v>
      </c>
      <c r="I39" s="5">
        <v>0.08</v>
      </c>
      <c r="J39" s="52" t="str" cm="1">
        <f t="array" ref="J3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9" s="56" t="s">
        <v>115</v>
      </c>
      <c r="L39" s="54" t="s">
        <v>76</v>
      </c>
      <c r="M39" t="s">
        <v>100</v>
      </c>
      <c r="N39" s="15" t="s">
        <v>67</v>
      </c>
      <c r="O39" s="5" t="s">
        <v>106</v>
      </c>
      <c r="P39" s="17" t="s">
        <v>69</v>
      </c>
      <c r="Q39" s="10"/>
      <c r="R39" s="11"/>
      <c r="S39" s="10"/>
      <c r="T39" s="3" t="str">
        <f>IF(AND(ProtocolosAF[[#This Row],[STATUS]]="APROVADO",ProtocolosAF[[#This Row],[WAIVER]]=""),"Y","")</f>
        <v/>
      </c>
      <c r="U39" t="s">
        <v>121</v>
      </c>
      <c r="V39" s="16" t="str">
        <f t="shared" si="3"/>
        <v>LNFGKSBECHLIN PICHEKI/EMANUELA MRS</v>
      </c>
      <c r="W39">
        <v>24</v>
      </c>
    </row>
    <row r="40" spans="1:23" hidden="1">
      <c r="A40" s="1">
        <v>45016</v>
      </c>
      <c r="B40" t="s">
        <v>10</v>
      </c>
      <c r="C40" t="s">
        <v>118</v>
      </c>
      <c r="D40" s="23" t="s">
        <v>119</v>
      </c>
      <c r="E40" t="s">
        <v>41</v>
      </c>
      <c r="F40" s="19">
        <v>57564931</v>
      </c>
      <c r="G40" s="53">
        <v>579728344130</v>
      </c>
      <c r="H40" s="52">
        <v>1685</v>
      </c>
      <c r="I40" s="5">
        <v>0.08</v>
      </c>
      <c r="J40" s="52" cm="1">
        <f t="array" ref="J4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135</v>
      </c>
      <c r="K40" s="56" t="s">
        <v>115</v>
      </c>
      <c r="L40" s="54" t="s">
        <v>76</v>
      </c>
      <c r="M40" t="s">
        <v>43</v>
      </c>
      <c r="N40" s="15" t="s">
        <v>67</v>
      </c>
      <c r="O40" s="5" t="s">
        <v>106</v>
      </c>
      <c r="P40" s="17" t="s">
        <v>69</v>
      </c>
      <c r="Q40" s="10" t="s">
        <v>107</v>
      </c>
      <c r="R40" s="11">
        <v>45016</v>
      </c>
      <c r="S40" s="10" t="s">
        <v>48</v>
      </c>
      <c r="T40" s="3" t="str">
        <f>IF(AND(ProtocolosAF[[#This Row],[STATUS]]="APROVADO",ProtocolosAF[[#This Row],[WAIVER]]=""),"Y","")</f>
        <v/>
      </c>
      <c r="U40" t="s">
        <v>122</v>
      </c>
      <c r="V40" s="16" t="str">
        <f t="shared" si="3"/>
        <v>LNFGKSREYDAMS/PATRICK MR</v>
      </c>
      <c r="W40">
        <v>24</v>
      </c>
    </row>
    <row r="41" spans="1:23" hidden="1">
      <c r="A41" s="1">
        <v>45019</v>
      </c>
      <c r="B41" t="s">
        <v>11</v>
      </c>
      <c r="C41" t="s">
        <v>123</v>
      </c>
      <c r="D41" s="23" t="s">
        <v>124</v>
      </c>
      <c r="E41" t="s">
        <v>41</v>
      </c>
      <c r="F41" s="19">
        <v>57564931</v>
      </c>
      <c r="G41" s="53">
        <v>579727950222</v>
      </c>
      <c r="H41" s="52">
        <v>4645</v>
      </c>
      <c r="I41" s="5">
        <v>0.1</v>
      </c>
      <c r="J41" s="52" cm="1">
        <f t="array" ref="J4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465</v>
      </c>
      <c r="K41" t="s">
        <v>84</v>
      </c>
      <c r="L41" s="54" t="s">
        <v>66</v>
      </c>
      <c r="M41" t="s">
        <v>43</v>
      </c>
      <c r="N41" s="15" t="s">
        <v>125</v>
      </c>
      <c r="O41" s="5" t="s">
        <v>126</v>
      </c>
      <c r="P41" s="17" t="s">
        <v>69</v>
      </c>
      <c r="Q41" s="10" t="s">
        <v>127</v>
      </c>
      <c r="R41" s="11">
        <v>45019</v>
      </c>
      <c r="S41" s="10" t="s">
        <v>48</v>
      </c>
      <c r="T41" s="3" t="str">
        <f>IF(AND(ProtocolosAF[[#This Row],[STATUS]]="APROVADO",ProtocolosAF[[#This Row],[WAIVER]]=""),"Y","")</f>
        <v/>
      </c>
      <c r="V41" s="16" t="str">
        <f t="shared" si="3"/>
        <v>45KTVY</v>
      </c>
    </row>
    <row r="42" spans="1:23" hidden="1">
      <c r="A42" s="1">
        <v>45020</v>
      </c>
      <c r="B42" t="s">
        <v>11</v>
      </c>
      <c r="C42" t="s">
        <v>128</v>
      </c>
      <c r="D42" s="23" t="s">
        <v>129</v>
      </c>
      <c r="E42" t="s">
        <v>41</v>
      </c>
      <c r="F42" s="19">
        <v>57564931</v>
      </c>
      <c r="G42" s="53">
        <v>579728365512</v>
      </c>
      <c r="H42" s="52">
        <v>1501</v>
      </c>
      <c r="I42" s="5">
        <v>0.1</v>
      </c>
      <c r="J42" s="52" cm="1">
        <f t="array" ref="J4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151</v>
      </c>
      <c r="K42" t="s">
        <v>84</v>
      </c>
      <c r="L42" s="54" t="s">
        <v>66</v>
      </c>
      <c r="M42" t="s">
        <v>43</v>
      </c>
      <c r="N42" s="15" t="s">
        <v>85</v>
      </c>
      <c r="O42" s="5" t="s">
        <v>130</v>
      </c>
      <c r="P42" s="17" t="s">
        <v>46</v>
      </c>
      <c r="Q42" s="10" t="s">
        <v>127</v>
      </c>
      <c r="R42" s="11">
        <v>45022</v>
      </c>
      <c r="S42" s="10" t="s">
        <v>48</v>
      </c>
      <c r="T42" s="3" t="str">
        <f>IF(AND(ProtocolosAF[[#This Row],[STATUS]]="APROVADO",ProtocolosAF[[#This Row],[WAIVER]]=""),"Y","")</f>
        <v/>
      </c>
      <c r="U42" t="s">
        <v>131</v>
      </c>
      <c r="V42" s="16" t="str">
        <f t="shared" si="3"/>
        <v>FMUYVHMINELI/THAYS DESIREE</v>
      </c>
      <c r="W42">
        <v>27</v>
      </c>
    </row>
    <row r="43" spans="1:23" hidden="1">
      <c r="A43" s="1">
        <v>45020</v>
      </c>
      <c r="B43" t="s">
        <v>11</v>
      </c>
      <c r="C43" t="s">
        <v>132</v>
      </c>
      <c r="D43" s="23" t="s">
        <v>133</v>
      </c>
      <c r="E43" t="s">
        <v>41</v>
      </c>
      <c r="F43" s="19">
        <v>57564931</v>
      </c>
      <c r="G43" s="53">
        <v>579728370029</v>
      </c>
      <c r="H43" s="52">
        <v>1203</v>
      </c>
      <c r="I43" s="5">
        <v>9.4E-2</v>
      </c>
      <c r="J43" s="52" cm="1">
        <f t="array" ref="J4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114</v>
      </c>
      <c r="K43" t="s">
        <v>99</v>
      </c>
      <c r="L43" s="54" t="s">
        <v>66</v>
      </c>
      <c r="M43" t="s">
        <v>43</v>
      </c>
      <c r="N43" s="15" t="s">
        <v>85</v>
      </c>
      <c r="O43" s="5" t="s">
        <v>134</v>
      </c>
      <c r="P43" s="17" t="s">
        <v>69</v>
      </c>
      <c r="Q43" s="10" t="s">
        <v>86</v>
      </c>
      <c r="R43" s="11">
        <v>45021</v>
      </c>
      <c r="S43" s="10" t="s">
        <v>48</v>
      </c>
      <c r="T43" s="3" t="str">
        <f>IF(AND(ProtocolosAF[[#This Row],[STATUS]]="APROVADO",ProtocolosAF[[#This Row],[WAIVER]]=""),"Y","")</f>
        <v/>
      </c>
      <c r="U43" t="s">
        <v>135</v>
      </c>
      <c r="V43" s="16" t="str">
        <f t="shared" si="3"/>
        <v>ZTGNARARAUJO JUNIOR/ACYR MR</v>
      </c>
      <c r="W43">
        <v>28</v>
      </c>
    </row>
    <row r="44" spans="1:23" hidden="1">
      <c r="A44" s="1">
        <v>45020</v>
      </c>
      <c r="B44" t="s">
        <v>11</v>
      </c>
      <c r="C44" t="s">
        <v>132</v>
      </c>
      <c r="D44" s="23" t="s">
        <v>133</v>
      </c>
      <c r="E44" t="s">
        <v>41</v>
      </c>
      <c r="F44" s="19">
        <v>57564931</v>
      </c>
      <c r="G44" s="53">
        <v>579728370031</v>
      </c>
      <c r="H44" s="52">
        <v>1203</v>
      </c>
      <c r="I44" s="5">
        <v>9.4E-2</v>
      </c>
      <c r="J44" s="52" cm="1">
        <f t="array" ref="J4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114</v>
      </c>
      <c r="K44" t="s">
        <v>99</v>
      </c>
      <c r="L44" s="54" t="s">
        <v>66</v>
      </c>
      <c r="M44" t="s">
        <v>43</v>
      </c>
      <c r="N44" s="15" t="s">
        <v>85</v>
      </c>
      <c r="O44" s="5" t="s">
        <v>134</v>
      </c>
      <c r="P44" s="17" t="s">
        <v>69</v>
      </c>
      <c r="Q44" s="10" t="s">
        <v>86</v>
      </c>
      <c r="R44" s="11">
        <v>45021</v>
      </c>
      <c r="S44" s="10" t="s">
        <v>48</v>
      </c>
      <c r="T44" s="3" t="str">
        <f>IF(AND(ProtocolosAF[[#This Row],[STATUS]]="APROVADO",ProtocolosAF[[#This Row],[WAIVER]]=""),"Y","")</f>
        <v/>
      </c>
      <c r="U44" t="s">
        <v>136</v>
      </c>
      <c r="V44" s="16" t="str">
        <f t="shared" si="3"/>
        <v>ZTGNAROLIVEIRA ARAUJO/NICIA MARIA MRS</v>
      </c>
      <c r="W44">
        <v>28</v>
      </c>
    </row>
    <row r="45" spans="1:23" hidden="1">
      <c r="A45" s="1">
        <v>45020</v>
      </c>
      <c r="B45" t="s">
        <v>11</v>
      </c>
      <c r="C45" t="s">
        <v>132</v>
      </c>
      <c r="D45" s="23" t="s">
        <v>133</v>
      </c>
      <c r="E45" t="s">
        <v>41</v>
      </c>
      <c r="F45" s="19">
        <v>57564931</v>
      </c>
      <c r="G45" s="53">
        <v>579728370033</v>
      </c>
      <c r="H45" s="52">
        <v>1203</v>
      </c>
      <c r="I45" s="5">
        <v>9.4E-2</v>
      </c>
      <c r="J45" s="52" cm="1">
        <f t="array" ref="J4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114</v>
      </c>
      <c r="K45" t="s">
        <v>99</v>
      </c>
      <c r="L45" s="54" t="s">
        <v>66</v>
      </c>
      <c r="M45" t="s">
        <v>43</v>
      </c>
      <c r="N45" s="15" t="s">
        <v>85</v>
      </c>
      <c r="O45" s="5" t="s">
        <v>134</v>
      </c>
      <c r="P45" s="17" t="s">
        <v>69</v>
      </c>
      <c r="Q45" s="10" t="s">
        <v>86</v>
      </c>
      <c r="R45" s="11">
        <v>45021</v>
      </c>
      <c r="S45" s="10" t="s">
        <v>48</v>
      </c>
      <c r="T45" s="3" t="str">
        <f>IF(AND(ProtocolosAF[[#This Row],[STATUS]]="APROVADO",ProtocolosAF[[#This Row],[WAIVER]]=""),"Y","")</f>
        <v/>
      </c>
      <c r="U45" t="s">
        <v>137</v>
      </c>
      <c r="V45" s="16" t="str">
        <f t="shared" si="3"/>
        <v>ZTGNAROLIVEIRA ARAUJO/JULIE MRS</v>
      </c>
      <c r="W45">
        <v>28</v>
      </c>
    </row>
    <row r="46" spans="1:23" hidden="1">
      <c r="A46" s="1">
        <v>45026</v>
      </c>
      <c r="B46" t="s">
        <v>15</v>
      </c>
      <c r="C46" t="s">
        <v>138</v>
      </c>
      <c r="D46" s="23" t="s">
        <v>139</v>
      </c>
      <c r="E46" t="s">
        <v>41</v>
      </c>
      <c r="F46" s="19">
        <v>57565476</v>
      </c>
      <c r="G46" s="53">
        <v>579728333708</v>
      </c>
      <c r="H46" s="52">
        <v>1538</v>
      </c>
      <c r="I46" s="5">
        <v>0.2</v>
      </c>
      <c r="J46" s="52" cm="1">
        <f t="array" ref="J4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308</v>
      </c>
      <c r="K46" t="s">
        <v>75</v>
      </c>
      <c r="L46" s="54" t="s">
        <v>76</v>
      </c>
      <c r="M46" t="s">
        <v>43</v>
      </c>
      <c r="N46" s="15" t="s">
        <v>77</v>
      </c>
      <c r="O46" s="5" t="s">
        <v>140</v>
      </c>
      <c r="P46" s="17" t="s">
        <v>69</v>
      </c>
      <c r="Q46" s="10" t="s">
        <v>79</v>
      </c>
      <c r="R46" s="11">
        <v>45026</v>
      </c>
      <c r="S46" s="10" t="s">
        <v>48</v>
      </c>
      <c r="T46" s="3" t="str">
        <f>IF(AND(ProtocolosAF[[#This Row],[STATUS]]="APROVADO",ProtocolosAF[[#This Row],[WAIVER]]=""),"Y","")</f>
        <v/>
      </c>
      <c r="U46" t="s">
        <v>141</v>
      </c>
      <c r="V46" s="16" t="str">
        <f t="shared" si="3"/>
        <v>QENBZX1.1MYR/ALINE MORAIS MRS</v>
      </c>
      <c r="W46">
        <v>29</v>
      </c>
    </row>
    <row r="47" spans="1:23" hidden="1">
      <c r="A47" s="1">
        <v>45027</v>
      </c>
      <c r="B47" t="s">
        <v>10</v>
      </c>
      <c r="C47" t="s">
        <v>142</v>
      </c>
      <c r="D47" s="23" t="s">
        <v>143</v>
      </c>
      <c r="E47" t="s">
        <v>41</v>
      </c>
      <c r="F47" s="19">
        <v>57564931</v>
      </c>
      <c r="G47" s="53">
        <v>579728411183</v>
      </c>
      <c r="H47" s="52">
        <v>1348</v>
      </c>
      <c r="I47" s="5">
        <v>0.12</v>
      </c>
      <c r="J47" s="52" cm="1">
        <f t="array" ref="J4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162</v>
      </c>
      <c r="K47" t="s">
        <v>144</v>
      </c>
      <c r="L47" s="54" t="s">
        <v>76</v>
      </c>
      <c r="M47" t="s">
        <v>43</v>
      </c>
      <c r="N47" s="15" t="s">
        <v>67</v>
      </c>
      <c r="O47" s="5" t="s">
        <v>145</v>
      </c>
      <c r="P47" s="17" t="s">
        <v>146</v>
      </c>
      <c r="Q47" s="10" t="s">
        <v>147</v>
      </c>
      <c r="R47" s="11">
        <v>45027</v>
      </c>
      <c r="S47" s="10" t="s">
        <v>48</v>
      </c>
      <c r="T47" s="3" t="str">
        <f>IF(AND(ProtocolosAF[[#This Row],[STATUS]]="APROVADO",ProtocolosAF[[#This Row],[WAIVER]]=""),"Y","")</f>
        <v/>
      </c>
      <c r="U47" t="s">
        <v>148</v>
      </c>
      <c r="V47" s="16" t="str">
        <f t="shared" ref="V47:V56" si="4">_xlfn.CONCAT(C47,U47)</f>
        <v>FTARST1.1SILVERIO ROSSI/RODOLFO</v>
      </c>
      <c r="W47">
        <v>30</v>
      </c>
    </row>
    <row r="48" spans="1:23" hidden="1">
      <c r="A48" s="1">
        <v>45027</v>
      </c>
      <c r="B48" t="s">
        <v>13</v>
      </c>
      <c r="C48" t="s">
        <v>149</v>
      </c>
      <c r="D48" s="23" t="s">
        <v>150</v>
      </c>
      <c r="E48" t="s">
        <v>41</v>
      </c>
      <c r="F48" s="19"/>
      <c r="G48" s="53"/>
      <c r="H48" s="52">
        <v>1290</v>
      </c>
      <c r="I48" s="5">
        <v>0.15</v>
      </c>
      <c r="J48" s="52" t="str" cm="1">
        <f t="array" ref="J4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8" t="s">
        <v>151</v>
      </c>
      <c r="L48" s="54" t="s">
        <v>76</v>
      </c>
      <c r="M48" t="s">
        <v>100</v>
      </c>
      <c r="N48" s="15" t="s">
        <v>44</v>
      </c>
      <c r="O48" s="5" t="s">
        <v>152</v>
      </c>
      <c r="P48" s="17" t="s">
        <v>46</v>
      </c>
      <c r="Q48" s="10"/>
      <c r="R48" s="11"/>
      <c r="S48" s="10"/>
      <c r="T48" s="3" t="str">
        <f>IF(AND(ProtocolosAF[[#This Row],[STATUS]]="APROVADO",ProtocolosAF[[#This Row],[WAIVER]]=""),"Y","")</f>
        <v/>
      </c>
      <c r="U48" t="s">
        <v>153</v>
      </c>
      <c r="V48" s="16" t="str">
        <f t="shared" si="4"/>
        <v>DSMYDPCASELLI/SIMONE</v>
      </c>
      <c r="W48">
        <v>31</v>
      </c>
    </row>
    <row r="49" spans="1:23" hidden="1">
      <c r="A49" s="1">
        <v>45027</v>
      </c>
      <c r="B49" t="s">
        <v>13</v>
      </c>
      <c r="C49" t="s">
        <v>149</v>
      </c>
      <c r="D49" s="23" t="s">
        <v>150</v>
      </c>
      <c r="E49" t="s">
        <v>41</v>
      </c>
      <c r="F49" s="19"/>
      <c r="G49" s="53"/>
      <c r="H49" s="52">
        <v>1290</v>
      </c>
      <c r="I49" s="5">
        <v>0.15</v>
      </c>
      <c r="J49" s="52" t="str" cm="1">
        <f t="array" ref="J4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9" t="s">
        <v>151</v>
      </c>
      <c r="L49" s="54" t="s">
        <v>76</v>
      </c>
      <c r="M49" t="s">
        <v>100</v>
      </c>
      <c r="N49" s="15" t="s">
        <v>44</v>
      </c>
      <c r="O49" s="5" t="s">
        <v>152</v>
      </c>
      <c r="P49" s="17" t="s">
        <v>46</v>
      </c>
      <c r="Q49" s="10"/>
      <c r="R49" s="11"/>
      <c r="S49" s="10"/>
      <c r="T49" s="3" t="str">
        <f>IF(AND(ProtocolosAF[[#This Row],[STATUS]]="APROVADO",ProtocolosAF[[#This Row],[WAIVER]]=""),"Y","")</f>
        <v/>
      </c>
      <c r="U49" t="s">
        <v>154</v>
      </c>
      <c r="V49" s="16" t="str">
        <f t="shared" si="4"/>
        <v>DSMYDPMATSUDO/LOURDES MRS</v>
      </c>
      <c r="W49">
        <v>31</v>
      </c>
    </row>
    <row r="50" spans="1:23" hidden="1">
      <c r="A50" s="1">
        <v>45027</v>
      </c>
      <c r="B50" t="s">
        <v>10</v>
      </c>
      <c r="C50" t="s">
        <v>155</v>
      </c>
      <c r="D50" s="23" t="s">
        <v>156</v>
      </c>
      <c r="E50" t="s">
        <v>41</v>
      </c>
      <c r="F50" s="19">
        <v>57564931</v>
      </c>
      <c r="G50" s="53">
        <v>579728409333</v>
      </c>
      <c r="H50" s="52">
        <v>1445</v>
      </c>
      <c r="I50" s="5">
        <v>0.1</v>
      </c>
      <c r="J50" s="52" cm="1">
        <f t="array" ref="J5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145</v>
      </c>
      <c r="K50" t="s">
        <v>115</v>
      </c>
      <c r="L50" s="54" t="s">
        <v>76</v>
      </c>
      <c r="M50" t="s">
        <v>43</v>
      </c>
      <c r="N50" s="15" t="s">
        <v>67</v>
      </c>
      <c r="O50" s="5" t="s">
        <v>116</v>
      </c>
      <c r="P50" s="17" t="s">
        <v>46</v>
      </c>
      <c r="Q50" s="10" t="s">
        <v>147</v>
      </c>
      <c r="R50" s="11">
        <v>45027</v>
      </c>
      <c r="S50" s="10" t="s">
        <v>48</v>
      </c>
      <c r="T50" s="3" t="str">
        <f>IF(AND(ProtocolosAF[[#This Row],[STATUS]]="APROVADO",ProtocolosAF[[#This Row],[WAIVER]]=""),"Y","")</f>
        <v/>
      </c>
      <c r="U50" t="s">
        <v>157</v>
      </c>
      <c r="V50" s="16" t="str">
        <f t="shared" si="4"/>
        <v>UKKLNFTOSCAN/ADRIANA MRS</v>
      </c>
      <c r="W50">
        <v>32</v>
      </c>
    </row>
    <row r="51" spans="1:23" hidden="1">
      <c r="A51" s="1">
        <v>45028</v>
      </c>
      <c r="B51" t="s">
        <v>13</v>
      </c>
      <c r="C51" t="s">
        <v>158</v>
      </c>
      <c r="D51" s="23" t="s">
        <v>159</v>
      </c>
      <c r="E51" t="s">
        <v>41</v>
      </c>
      <c r="F51" s="19"/>
      <c r="G51" s="53"/>
      <c r="H51" s="52">
        <v>3989</v>
      </c>
      <c r="I51" s="5">
        <v>0.15</v>
      </c>
      <c r="J51" s="52" t="str" cm="1">
        <f t="array" ref="J5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1" t="s">
        <v>151</v>
      </c>
      <c r="L51" s="54" t="s">
        <v>66</v>
      </c>
      <c r="M51" t="s">
        <v>100</v>
      </c>
      <c r="N51" s="15" t="s">
        <v>44</v>
      </c>
      <c r="O51" s="5" t="s">
        <v>160</v>
      </c>
      <c r="P51" s="17" t="s">
        <v>69</v>
      </c>
      <c r="Q51" s="10"/>
      <c r="R51" s="11"/>
      <c r="S51" s="10"/>
      <c r="T51" s="3" t="str">
        <f>IF(AND(ProtocolosAF[[#This Row],[STATUS]]="APROVADO",ProtocolosAF[[#This Row],[WAIVER]]=""),"Y","")</f>
        <v/>
      </c>
      <c r="U51" t="s">
        <v>161</v>
      </c>
      <c r="V51" s="16" t="str">
        <f t="shared" si="4"/>
        <v>AIXUCMTORRES/ROBERTO</v>
      </c>
      <c r="W51">
        <v>33</v>
      </c>
    </row>
    <row r="52" spans="1:23" hidden="1">
      <c r="A52" s="1">
        <v>45028</v>
      </c>
      <c r="B52" t="s">
        <v>10</v>
      </c>
      <c r="C52" t="s">
        <v>162</v>
      </c>
      <c r="D52" s="23" t="s">
        <v>163</v>
      </c>
      <c r="E52" t="s">
        <v>41</v>
      </c>
      <c r="F52" s="19">
        <v>57564931</v>
      </c>
      <c r="G52" s="53">
        <v>579728418032</v>
      </c>
      <c r="H52" s="52">
        <v>2018</v>
      </c>
      <c r="I52" s="5">
        <v>0.15</v>
      </c>
      <c r="J52" s="52" cm="1">
        <f t="array" ref="J5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303</v>
      </c>
      <c r="K52" t="s">
        <v>115</v>
      </c>
      <c r="L52" s="54" t="s">
        <v>76</v>
      </c>
      <c r="M52" t="s">
        <v>43</v>
      </c>
      <c r="N52" s="15" t="s">
        <v>67</v>
      </c>
      <c r="O52" s="5" t="s">
        <v>164</v>
      </c>
      <c r="P52" s="17" t="s">
        <v>46</v>
      </c>
      <c r="Q52" s="10" t="s">
        <v>147</v>
      </c>
      <c r="R52" s="11">
        <v>45028</v>
      </c>
      <c r="S52" s="10" t="s">
        <v>48</v>
      </c>
      <c r="T52" s="3" t="str">
        <f>IF(AND(ProtocolosAF[[#This Row],[STATUS]]="APROVADO",ProtocolosAF[[#This Row],[WAIVER]]=""),"Y","")</f>
        <v/>
      </c>
      <c r="U52" t="s">
        <v>165</v>
      </c>
      <c r="V52" s="16" t="str">
        <f t="shared" si="4"/>
        <v>RKYJHXCOSTAMILAN/LUIZ</v>
      </c>
      <c r="W52">
        <v>34</v>
      </c>
    </row>
    <row r="53" spans="1:23" hidden="1">
      <c r="A53" s="1">
        <v>45029</v>
      </c>
      <c r="B53" t="s">
        <v>13</v>
      </c>
      <c r="C53" t="s">
        <v>166</v>
      </c>
      <c r="D53" s="23" t="s">
        <v>166</v>
      </c>
      <c r="E53" t="s">
        <v>41</v>
      </c>
      <c r="F53" s="19">
        <v>57519652</v>
      </c>
      <c r="G53" s="53">
        <v>579781135846</v>
      </c>
      <c r="H53" s="52">
        <v>3415</v>
      </c>
      <c r="I53" s="5">
        <v>0.2</v>
      </c>
      <c r="J53" s="52" cm="1">
        <f t="array" ref="J5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683</v>
      </c>
      <c r="K53" t="s">
        <v>151</v>
      </c>
      <c r="L53" s="54" t="s">
        <v>76</v>
      </c>
      <c r="M53" t="s">
        <v>43</v>
      </c>
      <c r="N53" s="15" t="s">
        <v>85</v>
      </c>
      <c r="O53" s="5" t="s">
        <v>167</v>
      </c>
      <c r="P53" s="17" t="s">
        <v>146</v>
      </c>
      <c r="Q53" s="10" t="s">
        <v>168</v>
      </c>
      <c r="R53" s="11">
        <v>45033</v>
      </c>
      <c r="S53" s="10" t="s">
        <v>48</v>
      </c>
      <c r="T53" s="3" t="str">
        <f>IF(AND(ProtocolosAF[[#This Row],[STATUS]]="APROVADO",ProtocolosAF[[#This Row],[WAIVER]]=""),"Y","")</f>
        <v/>
      </c>
      <c r="U53" t="s">
        <v>169</v>
      </c>
      <c r="V53" s="16" t="str">
        <f t="shared" si="4"/>
        <v>4JTI5HFERREIRA/ELISA COLOMBAROLLI</v>
      </c>
      <c r="W53">
        <v>36</v>
      </c>
    </row>
    <row r="54" spans="1:23" hidden="1">
      <c r="A54" s="1">
        <v>45029</v>
      </c>
      <c r="B54" t="s">
        <v>13</v>
      </c>
      <c r="C54" t="s">
        <v>166</v>
      </c>
      <c r="D54" s="23" t="s">
        <v>166</v>
      </c>
      <c r="E54" t="s">
        <v>41</v>
      </c>
      <c r="F54" s="19">
        <v>57519652</v>
      </c>
      <c r="G54" s="53">
        <v>579781135848</v>
      </c>
      <c r="H54" s="52">
        <v>3415</v>
      </c>
      <c r="I54" s="5">
        <v>0.2</v>
      </c>
      <c r="J54" s="52" cm="1">
        <f t="array" ref="J5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683</v>
      </c>
      <c r="K54" t="s">
        <v>151</v>
      </c>
      <c r="L54" s="54" t="s">
        <v>76</v>
      </c>
      <c r="M54" t="s">
        <v>43</v>
      </c>
      <c r="N54" s="15" t="s">
        <v>85</v>
      </c>
      <c r="O54" s="5" t="s">
        <v>167</v>
      </c>
      <c r="P54" s="17" t="s">
        <v>146</v>
      </c>
      <c r="Q54" s="10" t="s">
        <v>168</v>
      </c>
      <c r="R54" s="11">
        <v>45033</v>
      </c>
      <c r="S54" s="10" t="s">
        <v>48</v>
      </c>
      <c r="T54" s="3" t="str">
        <f>IF(AND(ProtocolosAF[[#This Row],[STATUS]]="APROVADO",ProtocolosAF[[#This Row],[WAIVER]]=""),"Y","")</f>
        <v/>
      </c>
      <c r="U54" t="s">
        <v>170</v>
      </c>
      <c r="V54" s="16" t="str">
        <f t="shared" si="4"/>
        <v>4JTI5HFERREIRA/JADILSON </v>
      </c>
      <c r="W54">
        <v>36</v>
      </c>
    </row>
    <row r="55" spans="1:23" hidden="1">
      <c r="A55" s="1">
        <v>45029</v>
      </c>
      <c r="B55" t="s">
        <v>10</v>
      </c>
      <c r="C55" t="s">
        <v>142</v>
      </c>
      <c r="D55" s="23" t="s">
        <v>143</v>
      </c>
      <c r="E55" t="s">
        <v>73</v>
      </c>
      <c r="F55" s="19">
        <v>57994602</v>
      </c>
      <c r="G55" s="53">
        <v>571592819673</v>
      </c>
      <c r="H55" s="52">
        <v>106</v>
      </c>
      <c r="I55" s="5" t="s">
        <v>74</v>
      </c>
      <c r="J55" s="52" cm="1">
        <f t="array" ref="J5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106</v>
      </c>
      <c r="K55" t="s">
        <v>171</v>
      </c>
      <c r="L55" s="54" t="s">
        <v>172</v>
      </c>
      <c r="M55" t="s">
        <v>43</v>
      </c>
      <c r="N55" s="15" t="s">
        <v>67</v>
      </c>
      <c r="O55" s="5" t="s">
        <v>145</v>
      </c>
      <c r="P55" s="17" t="s">
        <v>146</v>
      </c>
      <c r="Q55" s="10" t="s">
        <v>147</v>
      </c>
      <c r="R55" s="11">
        <v>45029</v>
      </c>
      <c r="S55" s="10" t="s">
        <v>173</v>
      </c>
      <c r="T55" s="3" t="str">
        <f>IF(AND(ProtocolosAF[[#This Row],[STATUS]]="APROVADO",ProtocolosAF[[#This Row],[WAIVER]]=""),"Y","")</f>
        <v/>
      </c>
      <c r="U55" t="s">
        <v>174</v>
      </c>
      <c r="V55" s="16" t="str">
        <f t="shared" si="4"/>
        <v>FTARSTSILVERIO ROSSI/RODOLFO MR</v>
      </c>
      <c r="W55">
        <v>37</v>
      </c>
    </row>
    <row r="56" spans="1:23" hidden="1">
      <c r="A56" s="1">
        <v>45029</v>
      </c>
      <c r="B56" t="s">
        <v>16</v>
      </c>
      <c r="C56" t="s">
        <v>175</v>
      </c>
      <c r="D56" s="23" t="s">
        <v>176</v>
      </c>
      <c r="E56" t="s">
        <v>73</v>
      </c>
      <c r="F56" s="19">
        <v>57994602</v>
      </c>
      <c r="G56" s="53">
        <v>571592819678</v>
      </c>
      <c r="H56" s="52">
        <v>178</v>
      </c>
      <c r="I56" s="5" t="s">
        <v>74</v>
      </c>
      <c r="J56" s="52" cm="1">
        <f t="array" ref="J5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</v>
      </c>
      <c r="K56" t="s">
        <v>177</v>
      </c>
      <c r="L56" s="54" t="s">
        <v>76</v>
      </c>
      <c r="M56" t="s">
        <v>43</v>
      </c>
      <c r="N56" s="15" t="s">
        <v>77</v>
      </c>
      <c r="O56" s="5" t="s">
        <v>178</v>
      </c>
      <c r="P56" s="17" t="s">
        <v>69</v>
      </c>
      <c r="Q56" s="10" t="s">
        <v>179</v>
      </c>
      <c r="R56" s="11">
        <v>45031</v>
      </c>
      <c r="S56" s="10" t="s">
        <v>173</v>
      </c>
      <c r="T56" s="3" t="str">
        <f>IF(AND(ProtocolosAF[[#This Row],[STATUS]]="APROVADO",ProtocolosAF[[#This Row],[WAIVER]]=""),"Y","")</f>
        <v/>
      </c>
      <c r="U56" t="s">
        <v>180</v>
      </c>
      <c r="V56" s="16" t="str">
        <f t="shared" si="4"/>
        <v>wmaybnGADELHA FELIX MAJELA/CLAUDIA</v>
      </c>
      <c r="W56">
        <v>38</v>
      </c>
    </row>
    <row r="57" spans="1:23" hidden="1">
      <c r="A57" s="1">
        <v>45030</v>
      </c>
      <c r="B57" t="s">
        <v>10</v>
      </c>
      <c r="C57" t="s">
        <v>181</v>
      </c>
      <c r="D57" s="23" t="s">
        <v>182</v>
      </c>
      <c r="E57" t="s">
        <v>73</v>
      </c>
      <c r="F57" s="19">
        <v>57994602</v>
      </c>
      <c r="G57" s="53">
        <v>571592819683</v>
      </c>
      <c r="H57" s="52">
        <v>60</v>
      </c>
      <c r="I57" s="5" t="s">
        <v>74</v>
      </c>
      <c r="J57" s="52" cm="1">
        <f t="array" ref="J5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60</v>
      </c>
      <c r="K57" t="s">
        <v>171</v>
      </c>
      <c r="L57" s="54" t="s">
        <v>172</v>
      </c>
      <c r="M57" t="s">
        <v>43</v>
      </c>
      <c r="N57" s="15" t="s">
        <v>67</v>
      </c>
      <c r="O57" s="5" t="s">
        <v>152</v>
      </c>
      <c r="P57" s="17" t="s">
        <v>69</v>
      </c>
      <c r="Q57" s="10" t="s">
        <v>147</v>
      </c>
      <c r="R57" s="11">
        <v>45030</v>
      </c>
      <c r="S57" s="10" t="s">
        <v>173</v>
      </c>
      <c r="T57" s="3" t="str">
        <f>IF(AND(ProtocolosAF[[#This Row],[STATUS]]="APROVADO",ProtocolosAF[[#This Row],[WAIVER]]=""),"Y","")</f>
        <v/>
      </c>
      <c r="U57" t="s">
        <v>183</v>
      </c>
      <c r="V57" s="16" t="str">
        <f t="shared" ref="V57:V75" si="5">_xlfn.CONCAT(C57,U57)</f>
        <v>YCZDHLCHAMMA/ROBERTA</v>
      </c>
    </row>
    <row r="58" spans="1:23" hidden="1">
      <c r="A58" s="1">
        <v>45033</v>
      </c>
      <c r="B58" t="s">
        <v>13</v>
      </c>
      <c r="C58" t="s">
        <v>184</v>
      </c>
      <c r="D58" s="23" t="s">
        <v>184</v>
      </c>
      <c r="E58" t="s">
        <v>41</v>
      </c>
      <c r="F58" s="19">
        <v>57564931</v>
      </c>
      <c r="G58" s="53">
        <v>579781160594</v>
      </c>
      <c r="H58" s="52">
        <v>1743</v>
      </c>
      <c r="I58" s="5">
        <v>0.2</v>
      </c>
      <c r="J58" s="52" cm="1">
        <f t="array" ref="J5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349</v>
      </c>
      <c r="K58" t="s">
        <v>151</v>
      </c>
      <c r="L58" s="54" t="s">
        <v>76</v>
      </c>
      <c r="M58" t="s">
        <v>43</v>
      </c>
      <c r="N58" s="15" t="s">
        <v>44</v>
      </c>
      <c r="O58" s="5" t="s">
        <v>130</v>
      </c>
      <c r="P58" s="17" t="s">
        <v>46</v>
      </c>
      <c r="Q58" s="10" t="s">
        <v>168</v>
      </c>
      <c r="R58" s="11">
        <v>45033</v>
      </c>
      <c r="S58" s="10" t="s">
        <v>48</v>
      </c>
      <c r="T58" s="3" t="str">
        <f>IF(AND(ProtocolosAF[[#This Row],[STATUS]]="APROVADO",ProtocolosAF[[#This Row],[WAIVER]]=""),"Y","")</f>
        <v/>
      </c>
      <c r="U58" t="s">
        <v>185</v>
      </c>
      <c r="V58" s="16" t="str">
        <f t="shared" si="5"/>
        <v>4E25KPPICCHI FABRICIO/ILIDE</v>
      </c>
      <c r="W58">
        <v>39</v>
      </c>
    </row>
    <row r="59" spans="1:23" hidden="1">
      <c r="A59" s="1">
        <v>45033</v>
      </c>
      <c r="B59" t="s">
        <v>13</v>
      </c>
      <c r="C59" t="s">
        <v>184</v>
      </c>
      <c r="D59" s="23" t="s">
        <v>184</v>
      </c>
      <c r="E59" t="s">
        <v>41</v>
      </c>
      <c r="F59" s="19">
        <v>57564931</v>
      </c>
      <c r="G59" s="53">
        <v>579781160596</v>
      </c>
      <c r="H59" s="52">
        <v>1743</v>
      </c>
      <c r="I59" s="5">
        <v>0.2</v>
      </c>
      <c r="J59" s="52" cm="1">
        <f t="array" ref="J5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349</v>
      </c>
      <c r="K59" t="s">
        <v>151</v>
      </c>
      <c r="L59" s="54" t="s">
        <v>76</v>
      </c>
      <c r="M59" t="s">
        <v>43</v>
      </c>
      <c r="N59" s="15" t="s">
        <v>44</v>
      </c>
      <c r="O59" s="5" t="s">
        <v>130</v>
      </c>
      <c r="P59" s="17" t="s">
        <v>46</v>
      </c>
      <c r="Q59" s="10" t="s">
        <v>168</v>
      </c>
      <c r="R59" s="11">
        <v>45033</v>
      </c>
      <c r="S59" s="10" t="s">
        <v>48</v>
      </c>
      <c r="T59" s="3" t="str">
        <f>IF(AND(ProtocolosAF[[#This Row],[STATUS]]="APROVADO",ProtocolosAF[[#This Row],[WAIVER]]=""),"Y","")</f>
        <v/>
      </c>
      <c r="U59" t="s">
        <v>186</v>
      </c>
      <c r="V59" s="16" t="str">
        <f t="shared" si="5"/>
        <v>4E25KPPICCHI MARTINS/MARIA ANGELINA</v>
      </c>
      <c r="W59">
        <v>39</v>
      </c>
    </row>
    <row r="60" spans="1:23" hidden="1">
      <c r="A60" s="1">
        <v>45034</v>
      </c>
      <c r="B60" t="s">
        <v>10</v>
      </c>
      <c r="C60" t="s">
        <v>187</v>
      </c>
      <c r="D60" s="23" t="s">
        <v>188</v>
      </c>
      <c r="E60" t="s">
        <v>41</v>
      </c>
      <c r="F60" s="19">
        <v>57564931</v>
      </c>
      <c r="G60" s="53">
        <v>579728456356</v>
      </c>
      <c r="H60" s="52">
        <v>6179</v>
      </c>
      <c r="I60" s="5">
        <v>0.08</v>
      </c>
      <c r="J60" s="52" cm="1">
        <f t="array" ref="J6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495</v>
      </c>
      <c r="K60" t="s">
        <v>189</v>
      </c>
      <c r="L60" s="54" t="s">
        <v>66</v>
      </c>
      <c r="M60" t="s">
        <v>43</v>
      </c>
      <c r="N60" s="15" t="s">
        <v>67</v>
      </c>
      <c r="O60" s="5" t="s">
        <v>190</v>
      </c>
      <c r="P60" s="17" t="s">
        <v>69</v>
      </c>
      <c r="Q60" s="10" t="s">
        <v>147</v>
      </c>
      <c r="R60" s="11">
        <v>45035</v>
      </c>
      <c r="S60" s="10" t="s">
        <v>48</v>
      </c>
      <c r="T60" s="3" t="str">
        <f>IF(AND(ProtocolosAF[[#This Row],[STATUS]]="APROVADO",ProtocolosAF[[#This Row],[WAIVER]]=""),"Y","")</f>
        <v/>
      </c>
      <c r="U60" t="s">
        <v>191</v>
      </c>
      <c r="V60" s="16" t="str">
        <f t="shared" si="5"/>
        <v>BHXXHRFONSECA CHAGAS/DANIELA</v>
      </c>
      <c r="W60">
        <v>42</v>
      </c>
    </row>
    <row r="61" spans="1:23" hidden="1">
      <c r="A61" s="1">
        <v>45034</v>
      </c>
      <c r="B61" t="s">
        <v>10</v>
      </c>
      <c r="C61" t="s">
        <v>192</v>
      </c>
      <c r="D61" s="23" t="s">
        <v>193</v>
      </c>
      <c r="E61" t="s">
        <v>41</v>
      </c>
      <c r="F61" s="19">
        <v>57564931</v>
      </c>
      <c r="G61" s="53">
        <v>579728456357</v>
      </c>
      <c r="H61" s="52">
        <v>5106</v>
      </c>
      <c r="I61" s="5">
        <v>0.08</v>
      </c>
      <c r="J61" s="52" cm="1">
        <f t="array" ref="J6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409</v>
      </c>
      <c r="K61" t="s">
        <v>189</v>
      </c>
      <c r="L61" s="54" t="s">
        <v>66</v>
      </c>
      <c r="M61" t="s">
        <v>43</v>
      </c>
      <c r="N61" s="15" t="s">
        <v>67</v>
      </c>
      <c r="O61" s="5" t="s">
        <v>190</v>
      </c>
      <c r="P61" s="17" t="s">
        <v>69</v>
      </c>
      <c r="Q61" s="10" t="s">
        <v>147</v>
      </c>
      <c r="R61" s="11">
        <v>45035</v>
      </c>
      <c r="S61" s="10" t="s">
        <v>48</v>
      </c>
      <c r="T61" s="3" t="str">
        <f>IF(AND(ProtocolosAF[[#This Row],[STATUS]]="APROVADO",ProtocolosAF[[#This Row],[WAIVER]]=""),"Y","")</f>
        <v/>
      </c>
      <c r="U61" t="s">
        <v>194</v>
      </c>
      <c r="V61" s="16" t="str">
        <f t="shared" si="5"/>
        <v>WTIEAUFERRARI JUNIOR/SILVIO</v>
      </c>
      <c r="W61">
        <v>41</v>
      </c>
    </row>
    <row r="62" spans="1:23" hidden="1">
      <c r="A62" s="1">
        <v>45034</v>
      </c>
      <c r="B62" t="s">
        <v>11</v>
      </c>
      <c r="C62" t="s">
        <v>195</v>
      </c>
      <c r="D62" s="23" t="s">
        <v>196</v>
      </c>
      <c r="E62" t="s">
        <v>41</v>
      </c>
      <c r="F62" s="19">
        <v>57564931</v>
      </c>
      <c r="G62" s="53">
        <v>579728460558</v>
      </c>
      <c r="H62" s="52">
        <v>596</v>
      </c>
      <c r="I62" s="5">
        <v>0.15</v>
      </c>
      <c r="J62" s="52" cm="1">
        <f t="array" ref="J6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90</v>
      </c>
      <c r="K62" t="s">
        <v>99</v>
      </c>
      <c r="L62" s="54" t="s">
        <v>76</v>
      </c>
      <c r="M62" t="s">
        <v>43</v>
      </c>
      <c r="N62" s="15" t="s">
        <v>85</v>
      </c>
      <c r="O62" s="5" t="s">
        <v>78</v>
      </c>
      <c r="P62" s="17" t="s">
        <v>46</v>
      </c>
      <c r="Q62" s="10" t="s">
        <v>197</v>
      </c>
      <c r="R62" s="11">
        <v>45035</v>
      </c>
      <c r="S62" s="10" t="s">
        <v>48</v>
      </c>
      <c r="T62" s="3" t="str">
        <f>IF(AND(ProtocolosAF[[#This Row],[STATUS]]="APROVADO",ProtocolosAF[[#This Row],[WAIVER]]=""),"Y","")</f>
        <v/>
      </c>
      <c r="U62" t="s">
        <v>198</v>
      </c>
      <c r="V62" s="16" t="str">
        <f t="shared" si="5"/>
        <v>AWGJWYAGUILAR/CARLOS DE ABREU MR</v>
      </c>
      <c r="W62">
        <v>45</v>
      </c>
    </row>
    <row r="63" spans="1:23" hidden="1">
      <c r="A63" s="1">
        <v>45035</v>
      </c>
      <c r="B63" t="s">
        <v>13</v>
      </c>
      <c r="C63" t="s">
        <v>199</v>
      </c>
      <c r="D63" s="23" t="s">
        <v>199</v>
      </c>
      <c r="E63" t="s">
        <v>41</v>
      </c>
      <c r="F63" s="19" t="s">
        <v>200</v>
      </c>
      <c r="G63" s="53"/>
      <c r="H63" s="52">
        <v>3674</v>
      </c>
      <c r="I63" s="5">
        <v>0.1</v>
      </c>
      <c r="J63" s="52" t="str" cm="1">
        <f t="array" ref="J6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3" t="s">
        <v>151</v>
      </c>
      <c r="L63" s="54" t="s">
        <v>76</v>
      </c>
      <c r="M63" t="s">
        <v>100</v>
      </c>
      <c r="N63" s="15" t="s">
        <v>44</v>
      </c>
      <c r="O63" s="5" t="s">
        <v>145</v>
      </c>
      <c r="P63" s="17" t="s">
        <v>69</v>
      </c>
      <c r="Q63" s="10"/>
      <c r="R63" s="11"/>
      <c r="S63" s="10"/>
      <c r="T63" s="3" t="str">
        <f>IF(AND(ProtocolosAF[[#This Row],[STATUS]]="APROVADO",ProtocolosAF[[#This Row],[WAIVER]]=""),"Y","")</f>
        <v/>
      </c>
      <c r="U63" t="s">
        <v>201</v>
      </c>
      <c r="V63" s="16" t="str">
        <f t="shared" si="5"/>
        <v>25DDBBCHAIM/ANGELA</v>
      </c>
      <c r="W63">
        <v>47</v>
      </c>
    </row>
    <row r="64" spans="1:23" hidden="1">
      <c r="A64" s="1">
        <v>45035</v>
      </c>
      <c r="B64" t="s">
        <v>13</v>
      </c>
      <c r="C64" t="s">
        <v>199</v>
      </c>
      <c r="D64" s="23" t="s">
        <v>199</v>
      </c>
      <c r="E64" t="s">
        <v>41</v>
      </c>
      <c r="F64" s="19" t="s">
        <v>200</v>
      </c>
      <c r="G64" s="53"/>
      <c r="H64" s="52">
        <v>3674</v>
      </c>
      <c r="I64" s="5">
        <v>0.1</v>
      </c>
      <c r="J64" s="52" t="str" cm="1">
        <f t="array" ref="J6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4" t="s">
        <v>151</v>
      </c>
      <c r="L64" s="54" t="s">
        <v>76</v>
      </c>
      <c r="M64" t="s">
        <v>100</v>
      </c>
      <c r="N64" s="15" t="s">
        <v>44</v>
      </c>
      <c r="O64" s="5" t="s">
        <v>145</v>
      </c>
      <c r="P64" s="17" t="s">
        <v>69</v>
      </c>
      <c r="Q64" s="10"/>
      <c r="R64" s="11"/>
      <c r="S64" s="10"/>
      <c r="T64" s="3" t="str">
        <f>IF(AND(ProtocolosAF[[#This Row],[STATUS]]="APROVADO",ProtocolosAF[[#This Row],[WAIVER]]=""),"Y","")</f>
        <v/>
      </c>
      <c r="U64" t="s">
        <v>202</v>
      </c>
      <c r="V64" s="16" t="str">
        <f t="shared" si="5"/>
        <v>25DDBBCHAIM/CARLOS</v>
      </c>
      <c r="W64">
        <v>47</v>
      </c>
    </row>
    <row r="65" spans="1:23" hidden="1">
      <c r="A65" s="1">
        <v>45035</v>
      </c>
      <c r="B65" t="s">
        <v>13</v>
      </c>
      <c r="C65" t="s">
        <v>203</v>
      </c>
      <c r="D65" s="23" t="s">
        <v>203</v>
      </c>
      <c r="E65" t="s">
        <v>41</v>
      </c>
      <c r="F65" s="19">
        <v>57564931</v>
      </c>
      <c r="G65" s="53">
        <v>579285499978</v>
      </c>
      <c r="H65" s="52">
        <v>1518</v>
      </c>
      <c r="I65" s="5">
        <v>0.1</v>
      </c>
      <c r="J65" s="52" cm="1">
        <f t="array" ref="J6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152</v>
      </c>
      <c r="K65" t="s">
        <v>151</v>
      </c>
      <c r="L65" s="54" t="s">
        <v>76</v>
      </c>
      <c r="M65" t="s">
        <v>43</v>
      </c>
      <c r="N65" s="15" t="s">
        <v>44</v>
      </c>
      <c r="O65" s="5" t="s">
        <v>101</v>
      </c>
      <c r="P65" s="17" t="s">
        <v>46</v>
      </c>
      <c r="Q65" s="10" t="s">
        <v>168</v>
      </c>
      <c r="R65" s="11">
        <v>45035</v>
      </c>
      <c r="S65" s="10" t="s">
        <v>48</v>
      </c>
      <c r="T65" s="3" t="str">
        <f>IF(AND(ProtocolosAF[[#This Row],[STATUS]]="APROVADO",ProtocolosAF[[#This Row],[WAIVER]]=""),"Y","")</f>
        <v/>
      </c>
      <c r="U65" t="s">
        <v>204</v>
      </c>
      <c r="V65" s="16" t="str">
        <f t="shared" si="5"/>
        <v>2P8IFQBOTTENE/IRIANA</v>
      </c>
      <c r="W65">
        <v>48</v>
      </c>
    </row>
    <row r="66" spans="1:23" hidden="1">
      <c r="A66" s="1">
        <v>45035</v>
      </c>
      <c r="B66" t="s">
        <v>13</v>
      </c>
      <c r="C66" t="s">
        <v>203</v>
      </c>
      <c r="D66" s="23" t="s">
        <v>203</v>
      </c>
      <c r="E66" t="s">
        <v>41</v>
      </c>
      <c r="F66" s="19">
        <v>57564931</v>
      </c>
      <c r="G66" s="53">
        <v>579285499980</v>
      </c>
      <c r="H66" s="52">
        <v>1518</v>
      </c>
      <c r="I66" s="5">
        <v>0.1</v>
      </c>
      <c r="J66" s="52" cm="1">
        <f t="array" ref="J6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152</v>
      </c>
      <c r="K66" t="s">
        <v>151</v>
      </c>
      <c r="L66" s="54" t="s">
        <v>76</v>
      </c>
      <c r="M66" t="s">
        <v>43</v>
      </c>
      <c r="N66" s="15" t="s">
        <v>44</v>
      </c>
      <c r="O66" s="5" t="s">
        <v>101</v>
      </c>
      <c r="P66" s="17" t="s">
        <v>46</v>
      </c>
      <c r="Q66" s="10" t="s">
        <v>168</v>
      </c>
      <c r="R66" s="11">
        <v>45035</v>
      </c>
      <c r="S66" s="10" t="s">
        <v>48</v>
      </c>
      <c r="T66" s="3" t="str">
        <f>IF(AND(ProtocolosAF[[#This Row],[STATUS]]="APROVADO",ProtocolosAF[[#This Row],[WAIVER]]=""),"Y","")</f>
        <v/>
      </c>
      <c r="U66" t="s">
        <v>205</v>
      </c>
      <c r="V66" s="16" t="str">
        <f t="shared" si="5"/>
        <v>2P8IFQMELEIRO/ANGELA MARIA</v>
      </c>
      <c r="W66">
        <v>48</v>
      </c>
    </row>
    <row r="67" spans="1:23" hidden="1">
      <c r="A67" s="1">
        <v>45048</v>
      </c>
      <c r="B67" t="s">
        <v>11</v>
      </c>
      <c r="C67" t="s">
        <v>206</v>
      </c>
      <c r="D67" s="23" t="s">
        <v>206</v>
      </c>
      <c r="E67" t="s">
        <v>207</v>
      </c>
      <c r="F67" s="19">
        <v>57564931</v>
      </c>
      <c r="G67" s="53">
        <v>571592819703</v>
      </c>
      <c r="H67" s="52">
        <v>79</v>
      </c>
      <c r="I67" s="5" t="s">
        <v>74</v>
      </c>
      <c r="J67" s="52" cm="1">
        <f t="array" ref="J6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79</v>
      </c>
      <c r="K67" t="s">
        <v>99</v>
      </c>
      <c r="L67" s="54" t="s">
        <v>172</v>
      </c>
      <c r="M67" t="s">
        <v>43</v>
      </c>
      <c r="N67" s="15" t="s">
        <v>85</v>
      </c>
      <c r="O67" s="5" t="s">
        <v>78</v>
      </c>
      <c r="P67" s="17" t="s">
        <v>146</v>
      </c>
      <c r="Q67" s="10" t="s">
        <v>208</v>
      </c>
      <c r="R67" s="11">
        <v>45040</v>
      </c>
      <c r="S67" s="10" t="s">
        <v>209</v>
      </c>
      <c r="T67" s="3" t="str">
        <f>IF(AND(ProtocolosAF[[#This Row],[STATUS]]="APROVADO",ProtocolosAF[[#This Row],[WAIVER]]=""),"Y","")</f>
        <v/>
      </c>
      <c r="U67" t="s">
        <v>210</v>
      </c>
      <c r="V67" s="16" t="str">
        <f t="shared" si="5"/>
        <v>JQEUMTFERNANDES GARCIA/RAFAEL</v>
      </c>
      <c r="W67">
        <v>52</v>
      </c>
    </row>
    <row r="68" spans="1:23" hidden="1">
      <c r="A68" s="1">
        <v>45048</v>
      </c>
      <c r="B68" t="s">
        <v>11</v>
      </c>
      <c r="C68" t="s">
        <v>211</v>
      </c>
      <c r="D68" s="23" t="s">
        <v>211</v>
      </c>
      <c r="E68" t="s">
        <v>207</v>
      </c>
      <c r="F68" s="19">
        <v>57564931</v>
      </c>
      <c r="G68" s="53">
        <v>571592819700</v>
      </c>
      <c r="H68" s="52">
        <v>79</v>
      </c>
      <c r="I68" s="5" t="s">
        <v>74</v>
      </c>
      <c r="J68" s="52" cm="1">
        <f t="array" ref="J6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79</v>
      </c>
      <c r="K68" t="s">
        <v>99</v>
      </c>
      <c r="L68" s="54" t="s">
        <v>172</v>
      </c>
      <c r="M68" t="s">
        <v>43</v>
      </c>
      <c r="N68" s="15" t="s">
        <v>85</v>
      </c>
      <c r="O68" s="5" t="s">
        <v>78</v>
      </c>
      <c r="P68" s="17" t="s">
        <v>146</v>
      </c>
      <c r="Q68" s="10" t="s">
        <v>208</v>
      </c>
      <c r="R68" s="11">
        <v>45040</v>
      </c>
      <c r="S68" s="10" t="s">
        <v>209</v>
      </c>
      <c r="T68" s="3" t="str">
        <f>IF(AND(ProtocolosAF[[#This Row],[STATUS]]="APROVADO",ProtocolosAF[[#This Row],[WAIVER]]=""),"Y","")</f>
        <v/>
      </c>
      <c r="U68" t="s">
        <v>212</v>
      </c>
      <c r="V68" s="16" t="str">
        <f t="shared" si="5"/>
        <v xml:space="preserve">3JPSPLANDRADE TAVARES/ERICA  </v>
      </c>
      <c r="W68">
        <v>54</v>
      </c>
    </row>
    <row r="69" spans="1:23" hidden="1">
      <c r="A69" s="1">
        <v>45048</v>
      </c>
      <c r="B69" t="s">
        <v>11</v>
      </c>
      <c r="C69" t="s">
        <v>211</v>
      </c>
      <c r="D69" s="23" t="s">
        <v>211</v>
      </c>
      <c r="E69" t="s">
        <v>207</v>
      </c>
      <c r="F69" s="19">
        <v>57564931</v>
      </c>
      <c r="G69" s="53">
        <v>571592819701</v>
      </c>
      <c r="H69" s="52">
        <v>79</v>
      </c>
      <c r="I69" s="5" t="s">
        <v>74</v>
      </c>
      <c r="J69" s="52" cm="1">
        <f t="array" ref="J6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79</v>
      </c>
      <c r="K69" t="s">
        <v>99</v>
      </c>
      <c r="L69" s="54" t="s">
        <v>172</v>
      </c>
      <c r="M69" t="s">
        <v>43</v>
      </c>
      <c r="N69" s="15" t="s">
        <v>85</v>
      </c>
      <c r="O69" s="5" t="s">
        <v>78</v>
      </c>
      <c r="P69" s="17" t="s">
        <v>146</v>
      </c>
      <c r="Q69" s="10" t="s">
        <v>208</v>
      </c>
      <c r="R69" s="11">
        <v>45040</v>
      </c>
      <c r="S69" s="10" t="s">
        <v>209</v>
      </c>
      <c r="T69" s="3" t="str">
        <f>IF(AND(ProtocolosAF[[#This Row],[STATUS]]="APROVADO",ProtocolosAF[[#This Row],[WAIVER]]=""),"Y","")</f>
        <v/>
      </c>
      <c r="U69" t="s">
        <v>213</v>
      </c>
      <c r="V69" s="16" t="str">
        <f t="shared" si="5"/>
        <v>3JPSPLTAVARES DE SOUZA PINTO/CAROLINA</v>
      </c>
      <c r="W69">
        <v>54</v>
      </c>
    </row>
    <row r="70" spans="1:23" hidden="1">
      <c r="A70" s="1">
        <v>45048</v>
      </c>
      <c r="B70" t="s">
        <v>11</v>
      </c>
      <c r="C70" t="s">
        <v>214</v>
      </c>
      <c r="D70" s="23" t="s">
        <v>214</v>
      </c>
      <c r="E70" t="s">
        <v>207</v>
      </c>
      <c r="F70" s="19">
        <v>59564931</v>
      </c>
      <c r="G70" s="53">
        <v>571592819702</v>
      </c>
      <c r="H70" s="52">
        <v>79</v>
      </c>
      <c r="I70" s="5" t="s">
        <v>74</v>
      </c>
      <c r="J70" s="52" cm="1">
        <f t="array" ref="J7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79</v>
      </c>
      <c r="K70" t="s">
        <v>99</v>
      </c>
      <c r="L70" s="54" t="s">
        <v>172</v>
      </c>
      <c r="M70" t="s">
        <v>43</v>
      </c>
      <c r="N70" s="15" t="s">
        <v>85</v>
      </c>
      <c r="O70" s="5" t="s">
        <v>78</v>
      </c>
      <c r="P70" s="17" t="s">
        <v>146</v>
      </c>
      <c r="Q70" s="10" t="s">
        <v>208</v>
      </c>
      <c r="R70" s="11">
        <v>45040</v>
      </c>
      <c r="S70" s="10" t="s">
        <v>209</v>
      </c>
      <c r="T70" s="3" t="str">
        <f>IF(AND(ProtocolosAF[[#This Row],[STATUS]]="APROVADO",ProtocolosAF[[#This Row],[WAIVER]]=""),"Y","")</f>
        <v/>
      </c>
      <c r="U70" t="s">
        <v>215</v>
      </c>
      <c r="V70" s="16" t="str">
        <f t="shared" si="5"/>
        <v>SJEF5SZANINI/MARCO EGYDIO</v>
      </c>
      <c r="W70">
        <v>53</v>
      </c>
    </row>
    <row r="71" spans="1:23" hidden="1">
      <c r="A71" s="1">
        <v>45040</v>
      </c>
      <c r="B71" t="s">
        <v>13</v>
      </c>
      <c r="C71" t="s">
        <v>216</v>
      </c>
      <c r="D71" s="23" t="s">
        <v>216</v>
      </c>
      <c r="E71" t="s">
        <v>41</v>
      </c>
      <c r="F71" s="19"/>
      <c r="G71" s="53"/>
      <c r="H71" s="52">
        <v>1555</v>
      </c>
      <c r="I71" s="5">
        <v>0.1</v>
      </c>
      <c r="J71" s="52" t="str" cm="1">
        <f t="array" ref="J7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1" t="s">
        <v>151</v>
      </c>
      <c r="L71" s="54" t="s">
        <v>76</v>
      </c>
      <c r="M71" t="s">
        <v>217</v>
      </c>
      <c r="N71" s="15" t="s">
        <v>44</v>
      </c>
      <c r="O71" s="5" t="s">
        <v>140</v>
      </c>
      <c r="P71" s="17" t="s">
        <v>46</v>
      </c>
      <c r="Q71" s="10"/>
      <c r="R71" s="11"/>
      <c r="S71" s="10"/>
      <c r="T71" s="3" t="str">
        <f>IF(AND(ProtocolosAF[[#This Row],[STATUS]]="APROVADO",ProtocolosAF[[#This Row],[WAIVER]]=""),"Y","")</f>
        <v/>
      </c>
      <c r="U71" t="s">
        <v>218</v>
      </c>
      <c r="V71" s="16" t="str">
        <f t="shared" si="5"/>
        <v>33ZZ7PDOS SANTOS/JOSE FRANCISCO</v>
      </c>
      <c r="W71">
        <v>57</v>
      </c>
    </row>
    <row r="72" spans="1:23" hidden="1">
      <c r="A72" s="1">
        <v>45048</v>
      </c>
      <c r="B72" t="s">
        <v>10</v>
      </c>
      <c r="C72" t="s">
        <v>219</v>
      </c>
      <c r="D72" s="23" t="s">
        <v>220</v>
      </c>
      <c r="E72" t="s">
        <v>73</v>
      </c>
      <c r="F72" s="19">
        <v>57994602</v>
      </c>
      <c r="G72" s="53">
        <v>571592819758</v>
      </c>
      <c r="H72" s="52">
        <v>89</v>
      </c>
      <c r="I72" s="5" t="s">
        <v>74</v>
      </c>
      <c r="J72" s="52" cm="1">
        <f t="array" ref="J7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89</v>
      </c>
      <c r="K72" t="s">
        <v>171</v>
      </c>
      <c r="L72" s="54" t="s">
        <v>172</v>
      </c>
      <c r="M72" t="s">
        <v>43</v>
      </c>
      <c r="N72" s="15" t="s">
        <v>67</v>
      </c>
      <c r="O72" s="5" t="s">
        <v>221</v>
      </c>
      <c r="P72" s="17" t="s">
        <v>46</v>
      </c>
      <c r="Q72" s="10" t="s">
        <v>222</v>
      </c>
      <c r="R72" s="11">
        <v>45048</v>
      </c>
      <c r="S72" s="10" t="s">
        <v>173</v>
      </c>
      <c r="T72" s="3" t="str">
        <f>IF(AND(ProtocolosAF[[#This Row],[STATUS]]="APROVADO",ProtocolosAF[[#This Row],[WAIVER]]=""),"Y","")</f>
        <v/>
      </c>
      <c r="U72" t="s">
        <v>223</v>
      </c>
      <c r="V72" s="16" t="str">
        <f t="shared" si="5"/>
        <v>DDTIHUBRAND/SILVIO MR</v>
      </c>
      <c r="W72">
        <v>62</v>
      </c>
    </row>
    <row r="73" spans="1:23" hidden="1">
      <c r="A73" s="1">
        <v>45048</v>
      </c>
      <c r="B73" t="s">
        <v>15</v>
      </c>
      <c r="C73" t="s">
        <v>219</v>
      </c>
      <c r="D73" s="23" t="s">
        <v>220</v>
      </c>
      <c r="E73" t="s">
        <v>73</v>
      </c>
      <c r="F73" s="19">
        <v>57994602</v>
      </c>
      <c r="G73" s="53">
        <v>571592819759</v>
      </c>
      <c r="H73" s="52">
        <v>89</v>
      </c>
      <c r="I73" s="5" t="s">
        <v>74</v>
      </c>
      <c r="J73" s="52" cm="1">
        <f t="array" ref="J7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89</v>
      </c>
      <c r="K73" t="s">
        <v>171</v>
      </c>
      <c r="L73" s="54" t="s">
        <v>172</v>
      </c>
      <c r="M73" t="s">
        <v>43</v>
      </c>
      <c r="N73" s="15" t="s">
        <v>67</v>
      </c>
      <c r="O73" s="5" t="s">
        <v>221</v>
      </c>
      <c r="P73" s="17" t="s">
        <v>46</v>
      </c>
      <c r="Q73" s="10" t="s">
        <v>222</v>
      </c>
      <c r="R73" s="11">
        <v>45048</v>
      </c>
      <c r="S73" s="10" t="s">
        <v>173</v>
      </c>
      <c r="T73" s="3" t="str">
        <f>IF(AND(ProtocolosAF[[#This Row],[STATUS]]="APROVADO",ProtocolosAF[[#This Row],[WAIVER]]=""),"Y","")</f>
        <v/>
      </c>
      <c r="U73" t="s">
        <v>224</v>
      </c>
      <c r="V73" s="16" t="str">
        <f t="shared" si="5"/>
        <v>DDTIHUBRAND/MARINA MRS</v>
      </c>
      <c r="W73">
        <v>62</v>
      </c>
    </row>
    <row r="74" spans="1:23" hidden="1">
      <c r="A74" s="1">
        <v>45049</v>
      </c>
      <c r="B74" t="s">
        <v>12</v>
      </c>
      <c r="C74" t="s">
        <v>225</v>
      </c>
      <c r="D74" s="23" t="s">
        <v>226</v>
      </c>
      <c r="E74" t="s">
        <v>41</v>
      </c>
      <c r="F74" s="19">
        <v>57642023</v>
      </c>
      <c r="G74" s="53">
        <v>579728323871</v>
      </c>
      <c r="H74" s="52">
        <v>1547</v>
      </c>
      <c r="I74" s="5">
        <v>0.15</v>
      </c>
      <c r="J74" s="52" cm="1">
        <f t="array" ref="J7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233</v>
      </c>
      <c r="K74" t="s">
        <v>227</v>
      </c>
      <c r="L74" s="54" t="s">
        <v>172</v>
      </c>
      <c r="M74" t="s">
        <v>43</v>
      </c>
      <c r="N74" s="15" t="s">
        <v>44</v>
      </c>
      <c r="O74" s="5" t="s">
        <v>228</v>
      </c>
      <c r="P74" s="17" t="s">
        <v>69</v>
      </c>
      <c r="Q74" s="10" t="s">
        <v>229</v>
      </c>
      <c r="R74" s="11">
        <v>45050</v>
      </c>
      <c r="S74" s="10" t="s">
        <v>230</v>
      </c>
      <c r="T74" s="3" t="str">
        <f>IF(AND(ProtocolosAF[[#This Row],[STATUS]]="APROVADO",ProtocolosAF[[#This Row],[WAIVER]]=""),"Y","")</f>
        <v/>
      </c>
      <c r="U74" t="s">
        <v>231</v>
      </c>
      <c r="V74" s="16" t="str">
        <f t="shared" si="5"/>
        <v>GOGKOQCOSTA FELIPPSEN VITALIANO/INDIANA JAINE MRS</v>
      </c>
      <c r="W74">
        <v>63</v>
      </c>
    </row>
    <row r="75" spans="1:23" hidden="1">
      <c r="A75" s="1">
        <v>45049</v>
      </c>
      <c r="B75" t="s">
        <v>11</v>
      </c>
      <c r="C75" t="s">
        <v>232</v>
      </c>
      <c r="D75" s="23" t="s">
        <v>233</v>
      </c>
      <c r="E75" t="s">
        <v>41</v>
      </c>
      <c r="F75" s="19"/>
      <c r="G75" s="53"/>
      <c r="H75" s="52">
        <v>3486</v>
      </c>
      <c r="I75" s="5">
        <v>0.05</v>
      </c>
      <c r="J75" s="52" t="str" cm="1">
        <f t="array" ref="J7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5" t="s">
        <v>99</v>
      </c>
      <c r="L75" s="54" t="s">
        <v>76</v>
      </c>
      <c r="M75" t="s">
        <v>217</v>
      </c>
      <c r="N75" s="15" t="s">
        <v>85</v>
      </c>
      <c r="O75" s="5" t="s">
        <v>234</v>
      </c>
      <c r="P75" s="17" t="s">
        <v>69</v>
      </c>
      <c r="Q75" s="10"/>
      <c r="R75" s="11"/>
      <c r="S75" s="10"/>
      <c r="T75" s="3" t="str">
        <f>IF(AND(ProtocolosAF[[#This Row],[STATUS]]="APROVADO",ProtocolosAF[[#This Row],[WAIVER]]=""),"Y","")</f>
        <v/>
      </c>
      <c r="U75" t="s">
        <v>235</v>
      </c>
      <c r="V75" s="16" t="str">
        <f t="shared" si="5"/>
        <v>GSQFEFSKLENKA/MILOS MR</v>
      </c>
      <c r="W75">
        <v>65</v>
      </c>
    </row>
    <row r="76" spans="1:23" hidden="1">
      <c r="A76" s="1">
        <v>45057</v>
      </c>
      <c r="B76" t="s">
        <v>10</v>
      </c>
      <c r="C76" t="s">
        <v>236</v>
      </c>
      <c r="D76" s="23" t="s">
        <v>236</v>
      </c>
      <c r="E76" t="s">
        <v>41</v>
      </c>
      <c r="F76" s="19">
        <v>57564931</v>
      </c>
      <c r="G76" s="53">
        <v>579285619789</v>
      </c>
      <c r="H76" s="52">
        <v>2293</v>
      </c>
      <c r="I76" s="5">
        <v>0.2</v>
      </c>
      <c r="J76" s="52" cm="1">
        <f t="array" ref="J7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459</v>
      </c>
      <c r="K76" t="s">
        <v>237</v>
      </c>
      <c r="L76" s="54" t="s">
        <v>76</v>
      </c>
      <c r="M76" t="s">
        <v>43</v>
      </c>
      <c r="N76" s="15" t="s">
        <v>67</v>
      </c>
      <c r="O76" s="5" t="s">
        <v>238</v>
      </c>
      <c r="P76" s="17" t="s">
        <v>69</v>
      </c>
      <c r="Q76" s="10" t="s">
        <v>239</v>
      </c>
      <c r="R76" s="11">
        <v>45057</v>
      </c>
      <c r="S76" s="10" t="s">
        <v>230</v>
      </c>
      <c r="T76" s="3" t="str">
        <f>IF(AND(ProtocolosAF[[#This Row],[STATUS]]="APROVADO",ProtocolosAF[[#This Row],[WAIVER]]=""),"Y","")</f>
        <v/>
      </c>
      <c r="U76" t="s">
        <v>240</v>
      </c>
      <c r="V76" s="16" t="str">
        <f t="shared" ref="V76:V90" si="6">_xlfn.CONCAT(C76,U76)</f>
        <v>4XZISMFUMIOKA/MANAMI MRS</v>
      </c>
      <c r="W76">
        <v>69</v>
      </c>
    </row>
    <row r="77" spans="1:23" hidden="1">
      <c r="A77" s="1">
        <v>45057</v>
      </c>
      <c r="B77" t="s">
        <v>10</v>
      </c>
      <c r="C77" t="s">
        <v>236</v>
      </c>
      <c r="D77" s="23" t="s">
        <v>236</v>
      </c>
      <c r="E77" t="s">
        <v>41</v>
      </c>
      <c r="F77" s="19">
        <v>57564931</v>
      </c>
      <c r="G77" s="53">
        <v>579285619790</v>
      </c>
      <c r="H77" s="52">
        <v>2293</v>
      </c>
      <c r="I77" s="5">
        <v>0.2</v>
      </c>
      <c r="J77" s="52" cm="1">
        <f t="array" ref="J7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459</v>
      </c>
      <c r="K77" t="s">
        <v>237</v>
      </c>
      <c r="L77" s="54" t="s">
        <v>76</v>
      </c>
      <c r="M77" t="s">
        <v>43</v>
      </c>
      <c r="N77" s="15" t="s">
        <v>67</v>
      </c>
      <c r="O77" s="5" t="s">
        <v>238</v>
      </c>
      <c r="P77" s="17" t="s">
        <v>69</v>
      </c>
      <c r="Q77" s="10" t="s">
        <v>239</v>
      </c>
      <c r="R77" s="11">
        <v>45057</v>
      </c>
      <c r="S77" s="10" t="s">
        <v>230</v>
      </c>
      <c r="T77" s="3" t="str">
        <f>IF(AND(ProtocolosAF[[#This Row],[STATUS]]="APROVADO",ProtocolosAF[[#This Row],[WAIVER]]=""),"Y","")</f>
        <v/>
      </c>
      <c r="U77" t="s">
        <v>241</v>
      </c>
      <c r="V77" s="16" t="str">
        <f t="shared" si="6"/>
        <v>4XZISMVAKAHARA/MARIANA MRS</v>
      </c>
      <c r="W77">
        <v>69</v>
      </c>
    </row>
    <row r="78" spans="1:23" hidden="1">
      <c r="A78" s="1">
        <v>45057</v>
      </c>
      <c r="B78" t="s">
        <v>13</v>
      </c>
      <c r="C78" t="s">
        <v>242</v>
      </c>
      <c r="D78" s="23" t="s">
        <v>243</v>
      </c>
      <c r="E78" t="s">
        <v>41</v>
      </c>
      <c r="F78" s="19">
        <v>57564931</v>
      </c>
      <c r="G78" s="53">
        <v>579728602330</v>
      </c>
      <c r="H78" s="52">
        <v>3848</v>
      </c>
      <c r="I78" s="5">
        <v>0.1</v>
      </c>
      <c r="J78" s="52" cm="1">
        <f t="array" ref="J7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385</v>
      </c>
      <c r="K78" t="s">
        <v>151</v>
      </c>
      <c r="L78" s="54" t="s">
        <v>76</v>
      </c>
      <c r="M78" t="s">
        <v>43</v>
      </c>
      <c r="N78" s="15" t="s">
        <v>44</v>
      </c>
      <c r="O78" s="5" t="s">
        <v>140</v>
      </c>
      <c r="P78" s="17" t="s">
        <v>69</v>
      </c>
      <c r="Q78" s="10" t="s">
        <v>244</v>
      </c>
      <c r="R78" s="11">
        <v>45057</v>
      </c>
      <c r="S78" s="10" t="s">
        <v>230</v>
      </c>
      <c r="T78" s="3" t="str">
        <f>IF(AND(ProtocolosAF[[#This Row],[STATUS]]="APROVADO",ProtocolosAF[[#This Row],[WAIVER]]=""),"Y","")</f>
        <v/>
      </c>
      <c r="U78" t="s">
        <v>245</v>
      </c>
      <c r="V78" s="16" t="str">
        <f t="shared" si="6"/>
        <v>GYOIMHFERREIRA VILLELA/JOSE CARLOS</v>
      </c>
      <c r="W78">
        <v>70</v>
      </c>
    </row>
    <row r="79" spans="1:23" hidden="1">
      <c r="A79" s="1">
        <v>45057</v>
      </c>
      <c r="B79" t="s">
        <v>13</v>
      </c>
      <c r="C79" t="s">
        <v>242</v>
      </c>
      <c r="D79" s="23" t="s">
        <v>243</v>
      </c>
      <c r="E79" t="s">
        <v>41</v>
      </c>
      <c r="F79" s="19">
        <v>57564931</v>
      </c>
      <c r="G79" s="53">
        <v>579728602332</v>
      </c>
      <c r="H79" s="52">
        <v>3848</v>
      </c>
      <c r="I79" s="5">
        <v>0.1</v>
      </c>
      <c r="J79" s="52" cm="1">
        <f t="array" ref="J7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385</v>
      </c>
      <c r="K79" t="s">
        <v>151</v>
      </c>
      <c r="L79" s="54" t="s">
        <v>76</v>
      </c>
      <c r="M79" t="s">
        <v>43</v>
      </c>
      <c r="N79" s="15" t="s">
        <v>44</v>
      </c>
      <c r="O79" s="5" t="s">
        <v>140</v>
      </c>
      <c r="P79" s="17" t="s">
        <v>69</v>
      </c>
      <c r="Q79" s="10" t="s">
        <v>244</v>
      </c>
      <c r="R79" s="11">
        <v>45057</v>
      </c>
      <c r="S79" s="10" t="s">
        <v>230</v>
      </c>
      <c r="T79" s="3" t="str">
        <f>IF(AND(ProtocolosAF[[#This Row],[STATUS]]="APROVADO",ProtocolosAF[[#This Row],[WAIVER]]=""),"Y","")</f>
        <v/>
      </c>
      <c r="U79" t="s">
        <v>246</v>
      </c>
      <c r="V79" s="16" t="str">
        <f t="shared" si="6"/>
        <v>GYOIMHSIMAO VILLELA/LUCIANA TEREZINHA</v>
      </c>
      <c r="W79">
        <v>70</v>
      </c>
    </row>
    <row r="80" spans="1:23" hidden="1">
      <c r="A80" s="1">
        <v>45057</v>
      </c>
      <c r="B80" t="s">
        <v>13</v>
      </c>
      <c r="C80" t="s">
        <v>242</v>
      </c>
      <c r="D80" s="23" t="s">
        <v>243</v>
      </c>
      <c r="E80" t="s">
        <v>41</v>
      </c>
      <c r="F80" s="19">
        <v>57564931</v>
      </c>
      <c r="G80" s="53">
        <v>579728602334</v>
      </c>
      <c r="H80" s="52">
        <v>3848</v>
      </c>
      <c r="I80" s="5">
        <v>0.1</v>
      </c>
      <c r="J80" s="52" cm="1">
        <f t="array" ref="J8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385</v>
      </c>
      <c r="K80" t="s">
        <v>151</v>
      </c>
      <c r="L80" s="54" t="s">
        <v>76</v>
      </c>
      <c r="M80" t="s">
        <v>43</v>
      </c>
      <c r="N80" s="15" t="s">
        <v>44</v>
      </c>
      <c r="O80" s="5" t="s">
        <v>140</v>
      </c>
      <c r="P80" s="17" t="s">
        <v>69</v>
      </c>
      <c r="Q80" s="10" t="s">
        <v>244</v>
      </c>
      <c r="R80" s="11">
        <v>45057</v>
      </c>
      <c r="S80" s="10" t="s">
        <v>230</v>
      </c>
      <c r="T80" s="3" t="str">
        <f>IF(AND(ProtocolosAF[[#This Row],[STATUS]]="APROVADO",ProtocolosAF[[#This Row],[WAIVER]]=""),"Y","")</f>
        <v/>
      </c>
      <c r="U80" t="s">
        <v>247</v>
      </c>
      <c r="V80" s="16" t="str">
        <f t="shared" si="6"/>
        <v>GYOIMHSIMAO VILLELA/LUCAS</v>
      </c>
      <c r="W80">
        <v>70</v>
      </c>
    </row>
    <row r="81" spans="1:23" hidden="1">
      <c r="A81" s="1">
        <v>45057</v>
      </c>
      <c r="B81" t="s">
        <v>11</v>
      </c>
      <c r="C81" t="s">
        <v>248</v>
      </c>
      <c r="D81" s="23" t="s">
        <v>248</v>
      </c>
      <c r="E81" t="s">
        <v>73</v>
      </c>
      <c r="F81" s="19">
        <v>57994602</v>
      </c>
      <c r="G81" s="53">
        <v>571592819827</v>
      </c>
      <c r="H81" s="52">
        <v>174</v>
      </c>
      <c r="I81" s="5" t="s">
        <v>74</v>
      </c>
      <c r="J81" s="52" cm="1">
        <f t="array" ref="J8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174</v>
      </c>
      <c r="K81" s="56" t="s">
        <v>99</v>
      </c>
      <c r="L81" s="54" t="s">
        <v>172</v>
      </c>
      <c r="M81" t="s">
        <v>43</v>
      </c>
      <c r="N81" s="15" t="s">
        <v>85</v>
      </c>
      <c r="O81" s="5" t="s">
        <v>249</v>
      </c>
      <c r="P81" s="17" t="s">
        <v>69</v>
      </c>
      <c r="Q81" s="10" t="s">
        <v>250</v>
      </c>
      <c r="R81" s="11">
        <v>45061</v>
      </c>
      <c r="S81" s="10" t="s">
        <v>173</v>
      </c>
      <c r="T81" s="3" t="str">
        <f>IF(AND(ProtocolosAF[[#This Row],[STATUS]]="APROVADO",ProtocolosAF[[#This Row],[WAIVER]]=""),"Y","")</f>
        <v/>
      </c>
      <c r="U81" t="s">
        <v>251</v>
      </c>
      <c r="V81" s="16" t="str">
        <f t="shared" si="6"/>
        <v>2Z2DVTCUNHA SIMOES PIRES/VIVIAN TREIN MRS</v>
      </c>
      <c r="W81">
        <v>71</v>
      </c>
    </row>
    <row r="82" spans="1:23" hidden="1">
      <c r="A82" s="1">
        <v>45057</v>
      </c>
      <c r="B82" t="s">
        <v>13</v>
      </c>
      <c r="C82" t="s">
        <v>252</v>
      </c>
      <c r="D82" s="23" t="s">
        <v>253</v>
      </c>
      <c r="E82" t="s">
        <v>41</v>
      </c>
      <c r="F82" s="19"/>
      <c r="G82" s="53"/>
      <c r="H82" s="52">
        <v>1444</v>
      </c>
      <c r="I82" s="5">
        <v>0.1</v>
      </c>
      <c r="J82" s="52" t="str" cm="1">
        <f t="array" ref="J8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2" s="56" t="s">
        <v>151</v>
      </c>
      <c r="L82" s="54" t="s">
        <v>76</v>
      </c>
      <c r="M82" t="s">
        <v>100</v>
      </c>
      <c r="N82" s="15" t="s">
        <v>44</v>
      </c>
      <c r="O82" s="5" t="s">
        <v>254</v>
      </c>
      <c r="P82" s="17" t="s">
        <v>255</v>
      </c>
      <c r="Q82" s="10"/>
      <c r="R82" s="11"/>
      <c r="S82" s="10"/>
      <c r="T82" s="3" t="str">
        <f>IF(AND(ProtocolosAF[[#This Row],[STATUS]]="APROVADO",ProtocolosAF[[#This Row],[WAIVER]]=""),"Y","")</f>
        <v/>
      </c>
      <c r="U82" t="s">
        <v>256</v>
      </c>
      <c r="V82" s="16" t="str">
        <f t="shared" si="6"/>
        <v>ZAWOJTGARCIA/JEFFERSON LUIZ</v>
      </c>
      <c r="W82">
        <v>72</v>
      </c>
    </row>
    <row r="83" spans="1:23" hidden="1">
      <c r="A83" s="1">
        <v>45057</v>
      </c>
      <c r="B83" t="s">
        <v>13</v>
      </c>
      <c r="C83" t="s">
        <v>252</v>
      </c>
      <c r="D83" s="23" t="s">
        <v>253</v>
      </c>
      <c r="E83" t="s">
        <v>41</v>
      </c>
      <c r="F83" s="19"/>
      <c r="G83" s="53"/>
      <c r="H83" s="52">
        <v>1444</v>
      </c>
      <c r="I83" s="5">
        <v>0.1</v>
      </c>
      <c r="J83" s="52" t="str" cm="1">
        <f t="array" ref="J8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3" s="56" t="s">
        <v>151</v>
      </c>
      <c r="L83" s="54" t="s">
        <v>76</v>
      </c>
      <c r="M83" t="s">
        <v>100</v>
      </c>
      <c r="N83" s="15" t="s">
        <v>44</v>
      </c>
      <c r="O83" s="5" t="s">
        <v>254</v>
      </c>
      <c r="P83" s="17" t="s">
        <v>255</v>
      </c>
      <c r="Q83" s="10"/>
      <c r="R83" s="11"/>
      <c r="S83" s="10"/>
      <c r="T83" s="3" t="str">
        <f>IF(AND(ProtocolosAF[[#This Row],[STATUS]]="APROVADO",ProtocolosAF[[#This Row],[WAIVER]]=""),"Y","")</f>
        <v/>
      </c>
      <c r="U83" t="s">
        <v>257</v>
      </c>
      <c r="V83" s="16" t="str">
        <f t="shared" si="6"/>
        <v>ZAWOJTMARQUES/PAULO</v>
      </c>
      <c r="W83">
        <v>72</v>
      </c>
    </row>
    <row r="84" spans="1:23" hidden="1">
      <c r="A84" s="1">
        <v>45057</v>
      </c>
      <c r="B84" t="s">
        <v>11</v>
      </c>
      <c r="C84" t="s">
        <v>258</v>
      </c>
      <c r="D84" s="23" t="s">
        <v>259</v>
      </c>
      <c r="E84" t="s">
        <v>73</v>
      </c>
      <c r="F84" s="19">
        <v>57994602</v>
      </c>
      <c r="G84" s="53">
        <v>571592819823</v>
      </c>
      <c r="H84" s="52">
        <v>40</v>
      </c>
      <c r="I84" s="5" t="s">
        <v>74</v>
      </c>
      <c r="J84" s="52" cm="1">
        <f t="array" ref="J8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40</v>
      </c>
      <c r="K84" s="56" t="s">
        <v>99</v>
      </c>
      <c r="L84" s="54" t="s">
        <v>172</v>
      </c>
      <c r="M84" t="s">
        <v>43</v>
      </c>
      <c r="N84" s="15" t="s">
        <v>85</v>
      </c>
      <c r="O84" s="5" t="s">
        <v>78</v>
      </c>
      <c r="P84" s="17" t="s">
        <v>46</v>
      </c>
      <c r="Q84" s="10" t="s">
        <v>250</v>
      </c>
      <c r="R84" s="11">
        <v>45063</v>
      </c>
      <c r="S84" s="10" t="s">
        <v>173</v>
      </c>
      <c r="T84" s="3" t="str">
        <f>IF(AND(ProtocolosAF[[#This Row],[STATUS]]="APROVADO",ProtocolosAF[[#This Row],[WAIVER]]=""),"Y","")</f>
        <v/>
      </c>
      <c r="U84" t="s">
        <v>260</v>
      </c>
      <c r="V84" s="16" t="str">
        <f t="shared" si="6"/>
        <v>GZVLRXHOLCK VENANCIO FILHO/DANIEL</v>
      </c>
      <c r="W84">
        <v>73</v>
      </c>
    </row>
    <row r="85" spans="1:23" hidden="1">
      <c r="A85" s="1">
        <v>45057</v>
      </c>
      <c r="B85" t="s">
        <v>11</v>
      </c>
      <c r="C85" t="s">
        <v>258</v>
      </c>
      <c r="D85" s="23" t="s">
        <v>259</v>
      </c>
      <c r="E85" t="s">
        <v>73</v>
      </c>
      <c r="F85" s="19">
        <v>57994602</v>
      </c>
      <c r="G85" s="53">
        <v>571592819824</v>
      </c>
      <c r="H85" s="52">
        <v>40</v>
      </c>
      <c r="I85" s="5" t="s">
        <v>74</v>
      </c>
      <c r="J85" s="52" cm="1">
        <f t="array" ref="J8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40</v>
      </c>
      <c r="K85" s="56" t="s">
        <v>99</v>
      </c>
      <c r="L85" s="54" t="s">
        <v>172</v>
      </c>
      <c r="M85" t="s">
        <v>43</v>
      </c>
      <c r="N85" s="15" t="s">
        <v>85</v>
      </c>
      <c r="O85" s="5" t="s">
        <v>78</v>
      </c>
      <c r="P85" s="17" t="s">
        <v>46</v>
      </c>
      <c r="Q85" s="10" t="s">
        <v>250</v>
      </c>
      <c r="R85" s="11">
        <v>45063</v>
      </c>
      <c r="S85" s="10" t="s">
        <v>173</v>
      </c>
      <c r="T85" s="3" t="str">
        <f>IF(AND(ProtocolosAF[[#This Row],[STATUS]]="APROVADO",ProtocolosAF[[#This Row],[WAIVER]]=""),"Y","")</f>
        <v/>
      </c>
      <c r="U85" t="s">
        <v>261</v>
      </c>
      <c r="V85" s="16" t="str">
        <f t="shared" si="6"/>
        <v>GZVLRXHOLCK VENANCIO FILHO/ANDRE</v>
      </c>
      <c r="W85">
        <v>73</v>
      </c>
    </row>
    <row r="86" spans="1:23" hidden="1">
      <c r="A86" s="1">
        <v>45057</v>
      </c>
      <c r="B86" t="s">
        <v>11</v>
      </c>
      <c r="C86" t="s">
        <v>262</v>
      </c>
      <c r="D86" s="23" t="s">
        <v>263</v>
      </c>
      <c r="E86" t="s">
        <v>73</v>
      </c>
      <c r="F86" s="19">
        <v>57994602</v>
      </c>
      <c r="G86" s="53">
        <v>571592819825</v>
      </c>
      <c r="H86" s="52">
        <v>40</v>
      </c>
      <c r="I86" s="5" t="s">
        <v>74</v>
      </c>
      <c r="J86" s="52" cm="1">
        <f t="array" ref="J8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40</v>
      </c>
      <c r="K86" s="56" t="s">
        <v>99</v>
      </c>
      <c r="L86" s="54" t="s">
        <v>172</v>
      </c>
      <c r="M86" t="s">
        <v>43</v>
      </c>
      <c r="N86" s="15" t="s">
        <v>85</v>
      </c>
      <c r="O86" s="5" t="s">
        <v>78</v>
      </c>
      <c r="P86" s="17" t="s">
        <v>46</v>
      </c>
      <c r="Q86" s="10" t="s">
        <v>250</v>
      </c>
      <c r="R86" s="11">
        <v>45063</v>
      </c>
      <c r="S86" s="10" t="s">
        <v>173</v>
      </c>
      <c r="T86" s="3" t="str">
        <f>IF(AND(ProtocolosAF[[#This Row],[STATUS]]="APROVADO",ProtocolosAF[[#This Row],[WAIVER]]=""),"Y","")</f>
        <v/>
      </c>
      <c r="U86" t="s">
        <v>264</v>
      </c>
      <c r="V86" s="16" t="str">
        <f t="shared" si="6"/>
        <v>CBQMHTHOLCK/ANA MRS</v>
      </c>
      <c r="W86">
        <v>74</v>
      </c>
    </row>
    <row r="87" spans="1:23" hidden="1">
      <c r="A87" s="1">
        <v>45057</v>
      </c>
      <c r="B87" t="s">
        <v>11</v>
      </c>
      <c r="C87" t="s">
        <v>262</v>
      </c>
      <c r="D87" s="23" t="s">
        <v>263</v>
      </c>
      <c r="E87" t="s">
        <v>73</v>
      </c>
      <c r="F87" s="19">
        <v>57994602</v>
      </c>
      <c r="G87" s="53">
        <v>571592819826</v>
      </c>
      <c r="H87" s="52">
        <v>40</v>
      </c>
      <c r="I87" s="5" t="s">
        <v>74</v>
      </c>
      <c r="J87" s="52" cm="1">
        <f t="array" ref="J8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40</v>
      </c>
      <c r="K87" s="56" t="s">
        <v>99</v>
      </c>
      <c r="L87" s="54" t="s">
        <v>172</v>
      </c>
      <c r="M87" t="s">
        <v>43</v>
      </c>
      <c r="N87" s="15" t="s">
        <v>85</v>
      </c>
      <c r="O87" s="5" t="s">
        <v>78</v>
      </c>
      <c r="P87" s="17" t="s">
        <v>46</v>
      </c>
      <c r="Q87" s="10" t="s">
        <v>250</v>
      </c>
      <c r="R87" s="11">
        <v>45063</v>
      </c>
      <c r="S87" s="10" t="s">
        <v>173</v>
      </c>
      <c r="T87" s="3" t="str">
        <f>IF(AND(ProtocolosAF[[#This Row],[STATUS]]="APROVADO",ProtocolosAF[[#This Row],[WAIVER]]=""),"Y","")</f>
        <v/>
      </c>
      <c r="U87" t="s">
        <v>265</v>
      </c>
      <c r="V87" s="16" t="str">
        <f t="shared" si="6"/>
        <v>CBQMHTVENANCIO FILHO/PAULO MR</v>
      </c>
      <c r="W87">
        <v>74</v>
      </c>
    </row>
    <row r="88" spans="1:23" hidden="1">
      <c r="A88" s="1">
        <v>45058</v>
      </c>
      <c r="B88" t="s">
        <v>13</v>
      </c>
      <c r="C88" t="s">
        <v>266</v>
      </c>
      <c r="D88" s="23" t="s">
        <v>267</v>
      </c>
      <c r="E88" t="s">
        <v>41</v>
      </c>
      <c r="F88" s="19">
        <v>57564931</v>
      </c>
      <c r="G88" s="53">
        <v>579728611194</v>
      </c>
      <c r="H88" s="52">
        <v>1478</v>
      </c>
      <c r="I88" s="5">
        <v>0.1</v>
      </c>
      <c r="J88" s="52" cm="1">
        <f t="array" ref="J8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148</v>
      </c>
      <c r="K88" s="56" t="s">
        <v>151</v>
      </c>
      <c r="L88" s="54" t="s">
        <v>76</v>
      </c>
      <c r="M88" t="s">
        <v>43</v>
      </c>
      <c r="N88" s="15" t="s">
        <v>44</v>
      </c>
      <c r="O88" s="5" t="s">
        <v>134</v>
      </c>
      <c r="P88" s="17" t="s">
        <v>46</v>
      </c>
      <c r="Q88" s="10" t="s">
        <v>244</v>
      </c>
      <c r="R88" s="11">
        <v>45058</v>
      </c>
      <c r="S88" s="10" t="s">
        <v>230</v>
      </c>
      <c r="T88" s="3" t="str">
        <f>IF(AND(ProtocolosAF[[#This Row],[STATUS]]="APROVADO",ProtocolosAF[[#This Row],[WAIVER]]=""),"Y","")</f>
        <v/>
      </c>
      <c r="U88" t="s">
        <v>268</v>
      </c>
      <c r="V88" s="16" t="str">
        <f t="shared" si="6"/>
        <v>QHRXCWCOTRIM DE BARROS/LUIZ GUSTAVO</v>
      </c>
      <c r="W88">
        <v>75</v>
      </c>
    </row>
    <row r="89" spans="1:23" hidden="1">
      <c r="A89" s="1">
        <v>45058</v>
      </c>
      <c r="B89" t="s">
        <v>13</v>
      </c>
      <c r="C89" t="s">
        <v>266</v>
      </c>
      <c r="D89" s="23" t="s">
        <v>267</v>
      </c>
      <c r="E89" t="s">
        <v>41</v>
      </c>
      <c r="F89" s="19">
        <v>57564931</v>
      </c>
      <c r="G89" s="53">
        <v>579728611196</v>
      </c>
      <c r="H89" s="52">
        <v>1478</v>
      </c>
      <c r="I89" s="5">
        <v>0.1</v>
      </c>
      <c r="J89" s="52" cm="1">
        <f t="array" ref="J8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148</v>
      </c>
      <c r="K89" s="56" t="s">
        <v>151</v>
      </c>
      <c r="L89" s="54" t="s">
        <v>76</v>
      </c>
      <c r="M89" t="s">
        <v>43</v>
      </c>
      <c r="N89" s="15" t="s">
        <v>44</v>
      </c>
      <c r="O89" s="5" t="s">
        <v>134</v>
      </c>
      <c r="P89" s="17" t="s">
        <v>46</v>
      </c>
      <c r="Q89" s="10" t="s">
        <v>244</v>
      </c>
      <c r="R89" s="11">
        <v>45058</v>
      </c>
      <c r="S89" s="10" t="s">
        <v>230</v>
      </c>
      <c r="T89" s="3" t="str">
        <f>IF(AND(ProtocolosAF[[#This Row],[STATUS]]="APROVADO",ProtocolosAF[[#This Row],[WAIVER]]=""),"Y","")</f>
        <v/>
      </c>
      <c r="U89" t="s">
        <v>269</v>
      </c>
      <c r="V89" s="16" t="str">
        <f t="shared" si="6"/>
        <v>QHRXCWADEDO ALVES/LUCIANA</v>
      </c>
      <c r="W89">
        <v>75</v>
      </c>
    </row>
    <row r="90" spans="1:23" hidden="1">
      <c r="A90" s="1">
        <v>45058</v>
      </c>
      <c r="B90" t="s">
        <v>13</v>
      </c>
      <c r="C90" t="s">
        <v>266</v>
      </c>
      <c r="D90" s="23" t="s">
        <v>267</v>
      </c>
      <c r="E90" t="s">
        <v>41</v>
      </c>
      <c r="F90" s="19">
        <v>57564931</v>
      </c>
      <c r="G90" s="53">
        <v>579728611200</v>
      </c>
      <c r="H90" s="52">
        <v>1206</v>
      </c>
      <c r="I90" s="5">
        <v>0.1</v>
      </c>
      <c r="J90" s="52" cm="1">
        <f t="array" ref="J9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121</v>
      </c>
      <c r="K90" s="56" t="s">
        <v>151</v>
      </c>
      <c r="L90" s="54" t="s">
        <v>76</v>
      </c>
      <c r="M90" t="s">
        <v>43</v>
      </c>
      <c r="N90" s="15" t="s">
        <v>44</v>
      </c>
      <c r="O90" s="5" t="s">
        <v>134</v>
      </c>
      <c r="P90" s="17" t="s">
        <v>46</v>
      </c>
      <c r="Q90" s="10" t="s">
        <v>244</v>
      </c>
      <c r="R90" s="11">
        <v>45058</v>
      </c>
      <c r="S90" s="10" t="s">
        <v>230</v>
      </c>
      <c r="T90" s="3" t="str">
        <f>IF(AND(ProtocolosAF[[#This Row],[STATUS]]="APROVADO",ProtocolosAF[[#This Row],[WAIVER]]=""),"Y","")</f>
        <v/>
      </c>
      <c r="U90" t="s">
        <v>270</v>
      </c>
      <c r="V90" s="16" t="str">
        <f t="shared" si="6"/>
        <v>QHRXCWALVES BARROS/LIVIA</v>
      </c>
      <c r="W90">
        <v>75</v>
      </c>
    </row>
    <row r="91" spans="1:23" hidden="1">
      <c r="A91" s="1">
        <v>45061</v>
      </c>
      <c r="B91" t="s">
        <v>11</v>
      </c>
      <c r="C91" t="s">
        <v>258</v>
      </c>
      <c r="D91" s="23" t="s">
        <v>259</v>
      </c>
      <c r="E91" t="s">
        <v>73</v>
      </c>
      <c r="F91" s="19">
        <v>57994602</v>
      </c>
      <c r="G91" s="53">
        <v>571592819832</v>
      </c>
      <c r="H91" s="52">
        <v>59</v>
      </c>
      <c r="I91" s="5" t="s">
        <v>74</v>
      </c>
      <c r="J91" s="52" cm="1">
        <f t="array" ref="J9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59</v>
      </c>
      <c r="K91" s="56" t="s">
        <v>99</v>
      </c>
      <c r="L91" s="54" t="s">
        <v>172</v>
      </c>
      <c r="M91" t="s">
        <v>43</v>
      </c>
      <c r="N91" s="15" t="s">
        <v>85</v>
      </c>
      <c r="O91" s="5" t="s">
        <v>78</v>
      </c>
      <c r="P91" s="17" t="s">
        <v>46</v>
      </c>
      <c r="Q91" s="10" t="s">
        <v>250</v>
      </c>
      <c r="R91" s="11">
        <v>45063</v>
      </c>
      <c r="S91" s="10" t="s">
        <v>173</v>
      </c>
      <c r="T91" s="3" t="str">
        <f>IF(AND(ProtocolosAF[[#This Row],[STATUS]]="APROVADO",ProtocolosAF[[#This Row],[WAIVER]]=""),"Y","")</f>
        <v/>
      </c>
      <c r="U91" t="s">
        <v>260</v>
      </c>
      <c r="V91" s="16" t="str">
        <f t="shared" ref="V91:V100" si="7">_xlfn.CONCAT(C91,U91)</f>
        <v>GZVLRXHOLCK VENANCIO FILHO/DANIEL</v>
      </c>
      <c r="W91">
        <v>77</v>
      </c>
    </row>
    <row r="92" spans="1:23" hidden="1">
      <c r="A92" s="1">
        <v>45061</v>
      </c>
      <c r="B92" t="s">
        <v>11</v>
      </c>
      <c r="C92" t="s">
        <v>258</v>
      </c>
      <c r="D92" s="23" t="s">
        <v>259</v>
      </c>
      <c r="E92" t="s">
        <v>73</v>
      </c>
      <c r="F92" s="19">
        <v>57994602</v>
      </c>
      <c r="G92" s="53">
        <v>571592819833</v>
      </c>
      <c r="H92" s="52">
        <v>59</v>
      </c>
      <c r="I92" s="5" t="s">
        <v>74</v>
      </c>
      <c r="J92" s="52" cm="1">
        <f t="array" ref="J9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59</v>
      </c>
      <c r="K92" s="56" t="s">
        <v>99</v>
      </c>
      <c r="L92" s="54" t="s">
        <v>172</v>
      </c>
      <c r="M92" t="s">
        <v>43</v>
      </c>
      <c r="N92" s="15" t="s">
        <v>85</v>
      </c>
      <c r="O92" s="5" t="s">
        <v>78</v>
      </c>
      <c r="P92" s="17" t="s">
        <v>46</v>
      </c>
      <c r="Q92" s="10" t="s">
        <v>250</v>
      </c>
      <c r="R92" s="11">
        <v>45063</v>
      </c>
      <c r="S92" s="10" t="s">
        <v>173</v>
      </c>
      <c r="T92" s="3" t="str">
        <f>IF(AND(ProtocolosAF[[#This Row],[STATUS]]="APROVADO",ProtocolosAF[[#This Row],[WAIVER]]=""),"Y","")</f>
        <v/>
      </c>
      <c r="U92" t="s">
        <v>261</v>
      </c>
      <c r="V92" s="16" t="str">
        <f t="shared" si="7"/>
        <v>GZVLRXHOLCK VENANCIO FILHO/ANDRE</v>
      </c>
      <c r="W92">
        <v>77</v>
      </c>
    </row>
    <row r="93" spans="1:23" hidden="1">
      <c r="A93" s="1">
        <v>45061</v>
      </c>
      <c r="B93" t="s">
        <v>11</v>
      </c>
      <c r="C93" t="s">
        <v>262</v>
      </c>
      <c r="D93" s="23" t="s">
        <v>263</v>
      </c>
      <c r="E93" t="s">
        <v>73</v>
      </c>
      <c r="F93" s="19">
        <v>57994602</v>
      </c>
      <c r="G93" s="53">
        <v>571592819848</v>
      </c>
      <c r="H93" s="52">
        <v>59</v>
      </c>
      <c r="I93" s="5" t="s">
        <v>74</v>
      </c>
      <c r="J93" s="52" cm="1">
        <f t="array" ref="J9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59</v>
      </c>
      <c r="K93" s="56" t="s">
        <v>99</v>
      </c>
      <c r="L93" s="54" t="s">
        <v>172</v>
      </c>
      <c r="M93" t="s">
        <v>43</v>
      </c>
      <c r="N93" s="15" t="s">
        <v>85</v>
      </c>
      <c r="O93" s="5" t="s">
        <v>78</v>
      </c>
      <c r="P93" s="17" t="s">
        <v>46</v>
      </c>
      <c r="Q93" s="10" t="s">
        <v>250</v>
      </c>
      <c r="R93" s="11">
        <v>45063</v>
      </c>
      <c r="S93" s="10" t="s">
        <v>173</v>
      </c>
      <c r="T93" s="3" t="str">
        <f>IF(AND(ProtocolosAF[[#This Row],[STATUS]]="APROVADO",ProtocolosAF[[#This Row],[WAIVER]]=""),"Y","")</f>
        <v/>
      </c>
      <c r="U93" t="s">
        <v>264</v>
      </c>
      <c r="V93" s="16" t="str">
        <f t="shared" si="7"/>
        <v>CBQMHTHOLCK/ANA MRS</v>
      </c>
      <c r="W93">
        <v>76</v>
      </c>
    </row>
    <row r="94" spans="1:23" hidden="1">
      <c r="A94" s="1">
        <v>45061</v>
      </c>
      <c r="B94" t="s">
        <v>11</v>
      </c>
      <c r="C94" t="s">
        <v>262</v>
      </c>
      <c r="D94" s="23" t="s">
        <v>263</v>
      </c>
      <c r="E94" t="s">
        <v>73</v>
      </c>
      <c r="F94" s="19">
        <v>57994602</v>
      </c>
      <c r="G94" s="53">
        <v>571592819849</v>
      </c>
      <c r="H94" s="52">
        <v>59</v>
      </c>
      <c r="I94" s="5" t="s">
        <v>74</v>
      </c>
      <c r="J94" s="52" cm="1">
        <f t="array" ref="J9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59</v>
      </c>
      <c r="K94" s="56" t="s">
        <v>99</v>
      </c>
      <c r="L94" s="54" t="s">
        <v>172</v>
      </c>
      <c r="M94" t="s">
        <v>43</v>
      </c>
      <c r="N94" s="15" t="s">
        <v>85</v>
      </c>
      <c r="O94" s="5" t="s">
        <v>78</v>
      </c>
      <c r="P94" s="17" t="s">
        <v>46</v>
      </c>
      <c r="Q94" s="10" t="s">
        <v>250</v>
      </c>
      <c r="R94" s="11">
        <v>45063</v>
      </c>
      <c r="S94" s="10" t="s">
        <v>173</v>
      </c>
      <c r="T94" s="3" t="str">
        <f>IF(AND(ProtocolosAF[[#This Row],[STATUS]]="APROVADO",ProtocolosAF[[#This Row],[WAIVER]]=""),"Y","")</f>
        <v/>
      </c>
      <c r="U94" t="s">
        <v>265</v>
      </c>
      <c r="V94" s="16" t="str">
        <f t="shared" si="7"/>
        <v>CBQMHTVENANCIO FILHO/PAULO MR</v>
      </c>
      <c r="W94">
        <v>76</v>
      </c>
    </row>
    <row r="95" spans="1:23" hidden="1">
      <c r="A95" s="1">
        <v>45061</v>
      </c>
      <c r="B95" t="s">
        <v>11</v>
      </c>
      <c r="C95" t="s">
        <v>271</v>
      </c>
      <c r="D95" s="23" t="s">
        <v>271</v>
      </c>
      <c r="E95" t="s">
        <v>41</v>
      </c>
      <c r="F95" s="19">
        <v>57564931</v>
      </c>
      <c r="G95" s="53">
        <v>579285645772</v>
      </c>
      <c r="H95" s="52">
        <v>1957</v>
      </c>
      <c r="I95" s="5">
        <v>0.1</v>
      </c>
      <c r="J95" s="52" cm="1">
        <f t="array" ref="J9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196</v>
      </c>
      <c r="K95" s="56" t="s">
        <v>84</v>
      </c>
      <c r="L95" s="54" t="s">
        <v>66</v>
      </c>
      <c r="M95" t="s">
        <v>43</v>
      </c>
      <c r="N95" s="15" t="s">
        <v>85</v>
      </c>
      <c r="O95" s="5" t="s">
        <v>272</v>
      </c>
      <c r="P95" s="17" t="s">
        <v>146</v>
      </c>
      <c r="Q95" s="10" t="s">
        <v>273</v>
      </c>
      <c r="R95" s="11">
        <v>45062</v>
      </c>
      <c r="S95" s="10" t="s">
        <v>230</v>
      </c>
      <c r="T95" s="3" t="str">
        <f>IF(AND(ProtocolosAF[[#This Row],[STATUS]]="APROVADO",ProtocolosAF[[#This Row],[WAIVER]]=""),"Y","")</f>
        <v/>
      </c>
      <c r="U95" t="s">
        <v>274</v>
      </c>
      <c r="V95" s="16" t="str">
        <f t="shared" si="7"/>
        <v>24O8YTMARQUES PEREIRA/MAX WEBER</v>
      </c>
      <c r="W95">
        <v>78</v>
      </c>
    </row>
    <row r="96" spans="1:23" hidden="1">
      <c r="A96" s="1">
        <v>45061</v>
      </c>
      <c r="B96" t="s">
        <v>11</v>
      </c>
      <c r="C96" t="s">
        <v>271</v>
      </c>
      <c r="D96" s="23" t="s">
        <v>271</v>
      </c>
      <c r="E96" t="s">
        <v>41</v>
      </c>
      <c r="F96" s="19">
        <v>57564931</v>
      </c>
      <c r="G96" s="53">
        <v>579285645774</v>
      </c>
      <c r="H96" s="52">
        <v>1957</v>
      </c>
      <c r="I96" s="5">
        <v>0.1</v>
      </c>
      <c r="J96" s="52" cm="1">
        <f t="array" ref="J9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196</v>
      </c>
      <c r="K96" s="56" t="s">
        <v>84</v>
      </c>
      <c r="L96" s="54" t="s">
        <v>66</v>
      </c>
      <c r="M96" t="s">
        <v>43</v>
      </c>
      <c r="N96" s="15" t="s">
        <v>85</v>
      </c>
      <c r="O96" s="5" t="s">
        <v>272</v>
      </c>
      <c r="P96" s="17" t="s">
        <v>146</v>
      </c>
      <c r="Q96" s="10" t="s">
        <v>273</v>
      </c>
      <c r="R96" s="11">
        <v>45062</v>
      </c>
      <c r="S96" s="10" t="s">
        <v>230</v>
      </c>
      <c r="T96" s="3" t="str">
        <f>IF(AND(ProtocolosAF[[#This Row],[STATUS]]="APROVADO",ProtocolosAF[[#This Row],[WAIVER]]=""),"Y","")</f>
        <v/>
      </c>
      <c r="U96" t="s">
        <v>275</v>
      </c>
      <c r="V96" s="16" t="str">
        <f t="shared" si="7"/>
        <v>24O8YTPEREIRA BARBOSA/DAISY</v>
      </c>
      <c r="W96">
        <v>78</v>
      </c>
    </row>
    <row r="97" spans="1:23" hidden="1">
      <c r="A97" s="1">
        <v>45063</v>
      </c>
      <c r="B97" t="s">
        <v>10</v>
      </c>
      <c r="C97" t="s">
        <v>276</v>
      </c>
      <c r="D97" s="23" t="s">
        <v>276</v>
      </c>
      <c r="E97" t="s">
        <v>73</v>
      </c>
      <c r="F97" s="19">
        <v>57564931</v>
      </c>
      <c r="G97" s="53">
        <v>571592819830</v>
      </c>
      <c r="H97" s="52">
        <v>178</v>
      </c>
      <c r="I97" s="5" t="s">
        <v>74</v>
      </c>
      <c r="J97" s="52" cm="1">
        <f t="array" ref="J9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</v>
      </c>
      <c r="K97" s="56" t="s">
        <v>65</v>
      </c>
      <c r="L97" s="54" t="s">
        <v>172</v>
      </c>
      <c r="M97" t="s">
        <v>43</v>
      </c>
      <c r="N97" s="15" t="s">
        <v>67</v>
      </c>
      <c r="O97" s="5" t="s">
        <v>101</v>
      </c>
      <c r="P97" s="17" t="s">
        <v>46</v>
      </c>
      <c r="Q97" s="10" t="s">
        <v>239</v>
      </c>
      <c r="R97" s="11">
        <v>45063</v>
      </c>
      <c r="S97" s="10" t="s">
        <v>173</v>
      </c>
      <c r="T97" s="3" t="str">
        <f>IF(AND(ProtocolosAF[[#This Row],[STATUS]]="APROVADO",ProtocolosAF[[#This Row],[WAIVER]]=""),"Y","")</f>
        <v/>
      </c>
      <c r="U97" t="s">
        <v>277</v>
      </c>
      <c r="V97" s="16" t="str">
        <f t="shared" si="7"/>
        <v>34DAZQDEL GIGLIO/AURO</v>
      </c>
    </row>
    <row r="98" spans="1:23" hidden="1">
      <c r="A98" s="1">
        <v>45063</v>
      </c>
      <c r="B98" t="s">
        <v>10</v>
      </c>
      <c r="C98" t="s">
        <v>276</v>
      </c>
      <c r="D98" s="23" t="s">
        <v>276</v>
      </c>
      <c r="E98" t="s">
        <v>73</v>
      </c>
      <c r="F98" s="19">
        <v>57564931</v>
      </c>
      <c r="G98" s="53">
        <v>571592819831</v>
      </c>
      <c r="H98" s="52">
        <v>178</v>
      </c>
      <c r="I98" s="5" t="s">
        <v>74</v>
      </c>
      <c r="J98" s="52" cm="1">
        <f t="array" ref="J9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</v>
      </c>
      <c r="K98" s="56" t="s">
        <v>65</v>
      </c>
      <c r="L98" s="54" t="s">
        <v>172</v>
      </c>
      <c r="M98" t="s">
        <v>43</v>
      </c>
      <c r="N98" s="15" t="s">
        <v>67</v>
      </c>
      <c r="O98" s="5" t="s">
        <v>101</v>
      </c>
      <c r="P98" s="17" t="s">
        <v>46</v>
      </c>
      <c r="Q98" s="10" t="s">
        <v>239</v>
      </c>
      <c r="R98" s="11">
        <v>45063</v>
      </c>
      <c r="S98" s="10" t="s">
        <v>173</v>
      </c>
      <c r="T98" s="3" t="str">
        <f>IF(AND(ProtocolosAF[[#This Row],[STATUS]]="APROVADO",ProtocolosAF[[#This Row],[WAIVER]]=""),"Y","")</f>
        <v/>
      </c>
      <c r="U98" t="s">
        <v>278</v>
      </c>
      <c r="V98" s="16" t="str">
        <f t="shared" si="7"/>
        <v>34DAZQYOLES DEL GIGLIO/ANETE</v>
      </c>
    </row>
    <row r="99" spans="1:23" hidden="1">
      <c r="A99" s="1">
        <v>45065</v>
      </c>
      <c r="B99" t="s">
        <v>10</v>
      </c>
      <c r="C99" t="s">
        <v>279</v>
      </c>
      <c r="D99" s="23" t="s">
        <v>280</v>
      </c>
      <c r="E99" t="s">
        <v>73</v>
      </c>
      <c r="F99" s="19">
        <v>57994602</v>
      </c>
      <c r="G99" s="53">
        <v>571592819855</v>
      </c>
      <c r="H99" s="52">
        <v>71</v>
      </c>
      <c r="I99" s="5" t="s">
        <v>74</v>
      </c>
      <c r="J99" s="52" cm="1">
        <f t="array" ref="J9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71</v>
      </c>
      <c r="K99" s="56" t="s">
        <v>144</v>
      </c>
      <c r="L99" s="54" t="s">
        <v>172</v>
      </c>
      <c r="M99" t="s">
        <v>43</v>
      </c>
      <c r="N99" s="15" t="s">
        <v>67</v>
      </c>
      <c r="O99" s="5" t="s">
        <v>78</v>
      </c>
      <c r="P99" s="17" t="s">
        <v>69</v>
      </c>
      <c r="Q99" s="10" t="s">
        <v>222</v>
      </c>
      <c r="R99" s="11">
        <v>45075</v>
      </c>
      <c r="S99" s="10" t="s">
        <v>173</v>
      </c>
      <c r="T99" s="3" t="str">
        <f>IF(AND(ProtocolosAF[[#This Row],[STATUS]]="APROVADO",ProtocolosAF[[#This Row],[WAIVER]]=""),"Y","")</f>
        <v/>
      </c>
      <c r="U99" t="s">
        <v>281</v>
      </c>
      <c r="V99" s="16" t="str">
        <f t="shared" si="7"/>
        <v>SHPUIH1.1LICURSI/CRISTIANE APARECIDA MRS</v>
      </c>
      <c r="W99">
        <v>82</v>
      </c>
    </row>
    <row r="100" spans="1:23" hidden="1">
      <c r="A100" s="1">
        <v>45065</v>
      </c>
      <c r="B100" t="s">
        <v>10</v>
      </c>
      <c r="C100" t="s">
        <v>279</v>
      </c>
      <c r="D100" s="23" t="s">
        <v>280</v>
      </c>
      <c r="E100" t="s">
        <v>73</v>
      </c>
      <c r="F100" s="19">
        <v>57994602</v>
      </c>
      <c r="G100" s="53">
        <v>571592819856</v>
      </c>
      <c r="H100" s="52">
        <v>71</v>
      </c>
      <c r="I100" s="5" t="s">
        <v>74</v>
      </c>
      <c r="J100" s="52" cm="1">
        <f t="array" ref="J10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71</v>
      </c>
      <c r="K100" s="56" t="s">
        <v>144</v>
      </c>
      <c r="L100" s="54" t="s">
        <v>172</v>
      </c>
      <c r="M100" t="s">
        <v>43</v>
      </c>
      <c r="N100" s="15" t="s">
        <v>67</v>
      </c>
      <c r="O100" s="5" t="s">
        <v>78</v>
      </c>
      <c r="P100" s="17" t="s">
        <v>69</v>
      </c>
      <c r="Q100" s="10" t="s">
        <v>222</v>
      </c>
      <c r="R100" s="11">
        <v>45198</v>
      </c>
      <c r="S100" s="10" t="s">
        <v>173</v>
      </c>
      <c r="T100" s="3" t="str">
        <f>IF(AND(ProtocolosAF[[#This Row],[STATUS]]="APROVADO",ProtocolosAF[[#This Row],[WAIVER]]=""),"Y","")</f>
        <v/>
      </c>
      <c r="U100" t="s">
        <v>282</v>
      </c>
      <c r="V100" s="16" t="str">
        <f t="shared" si="7"/>
        <v>SHPUIH2.1LICURSI BONELLI/GABRIELA MRS</v>
      </c>
      <c r="W100">
        <v>82</v>
      </c>
    </row>
    <row r="101" spans="1:23" hidden="1">
      <c r="A101" s="1">
        <v>45068</v>
      </c>
      <c r="B101" t="s">
        <v>12</v>
      </c>
      <c r="C101" t="s">
        <v>283</v>
      </c>
      <c r="D101" s="23" t="s">
        <v>283</v>
      </c>
      <c r="E101" t="s">
        <v>41</v>
      </c>
      <c r="F101" s="19">
        <v>57564931</v>
      </c>
      <c r="G101" s="53">
        <v>579285683268</v>
      </c>
      <c r="H101" s="52">
        <v>1717</v>
      </c>
      <c r="I101" s="5">
        <v>0.1</v>
      </c>
      <c r="J101" s="52" cm="1">
        <f t="array" ref="J10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172</v>
      </c>
      <c r="K101" s="56" t="s">
        <v>227</v>
      </c>
      <c r="L101" s="54" t="s">
        <v>172</v>
      </c>
      <c r="M101" t="s">
        <v>43</v>
      </c>
      <c r="N101" s="15" t="s">
        <v>44</v>
      </c>
      <c r="O101" s="5" t="s">
        <v>116</v>
      </c>
      <c r="P101" s="17" t="s">
        <v>69</v>
      </c>
      <c r="Q101" s="10" t="s">
        <v>229</v>
      </c>
      <c r="R101" s="11">
        <v>45068</v>
      </c>
      <c r="S101" s="10" t="s">
        <v>284</v>
      </c>
      <c r="T101" s="3" t="str">
        <f>IF(AND(ProtocolosAF[[#This Row],[STATUS]]="APROVADO",ProtocolosAF[[#This Row],[WAIVER]]=""),"Y","")</f>
        <v/>
      </c>
      <c r="U101" t="s">
        <v>285</v>
      </c>
      <c r="V101" s="16" t="str">
        <f t="shared" ref="V101:V113" si="8">_xlfn.CONCAT(C101,U101)</f>
        <v>3RR7DVDOS SANTOS FILHO/ERNANI AUGUSTO</v>
      </c>
      <c r="W101">
        <v>84</v>
      </c>
    </row>
    <row r="102" spans="1:23" hidden="1">
      <c r="A102" s="1">
        <v>45068</v>
      </c>
      <c r="B102" t="s">
        <v>12</v>
      </c>
      <c r="C102" t="s">
        <v>286</v>
      </c>
      <c r="D102" s="23" t="s">
        <v>286</v>
      </c>
      <c r="E102" t="s">
        <v>41</v>
      </c>
      <c r="F102" s="19">
        <v>57564931</v>
      </c>
      <c r="G102" s="53">
        <v>579285683270</v>
      </c>
      <c r="H102" s="52">
        <v>1825</v>
      </c>
      <c r="I102" s="5">
        <v>0.15</v>
      </c>
      <c r="J102" s="52" cm="1">
        <f t="array" ref="J10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274</v>
      </c>
      <c r="K102" s="56" t="s">
        <v>227</v>
      </c>
      <c r="L102" s="54" t="s">
        <v>172</v>
      </c>
      <c r="M102" t="s">
        <v>43</v>
      </c>
      <c r="N102" s="15" t="s">
        <v>44</v>
      </c>
      <c r="O102" s="5" t="s">
        <v>116</v>
      </c>
      <c r="P102" s="17" t="s">
        <v>69</v>
      </c>
      <c r="Q102" s="10" t="s">
        <v>229</v>
      </c>
      <c r="R102" s="11">
        <v>45068</v>
      </c>
      <c r="S102" s="10" t="s">
        <v>230</v>
      </c>
      <c r="T102" s="3" t="str">
        <f>IF(AND(ProtocolosAF[[#This Row],[STATUS]]="APROVADO",ProtocolosAF[[#This Row],[WAIVER]]=""),"Y","")</f>
        <v/>
      </c>
      <c r="U102" t="s">
        <v>287</v>
      </c>
      <c r="V102" s="16" t="str">
        <f t="shared" si="8"/>
        <v>3RPNX5ANTONIO/JOSE CARLOS</v>
      </c>
      <c r="W102">
        <v>83</v>
      </c>
    </row>
    <row r="103" spans="1:23" hidden="1">
      <c r="A103" s="1">
        <v>45068</v>
      </c>
      <c r="B103" t="s">
        <v>13</v>
      </c>
      <c r="C103" t="s">
        <v>288</v>
      </c>
      <c r="D103" s="23" t="s">
        <v>288</v>
      </c>
      <c r="E103" t="s">
        <v>41</v>
      </c>
      <c r="F103" s="19">
        <v>57564931</v>
      </c>
      <c r="G103" s="53">
        <v>579285683222</v>
      </c>
      <c r="H103" s="52">
        <v>1946.96</v>
      </c>
      <c r="I103" s="5">
        <v>0.2</v>
      </c>
      <c r="J103" s="52" cm="1">
        <f t="array" ref="J10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390</v>
      </c>
      <c r="K103" s="56" t="s">
        <v>289</v>
      </c>
      <c r="L103" s="54" t="s">
        <v>172</v>
      </c>
      <c r="M103" t="s">
        <v>43</v>
      </c>
      <c r="N103" s="15" t="s">
        <v>44</v>
      </c>
      <c r="O103" s="5" t="s">
        <v>290</v>
      </c>
      <c r="P103" s="17" t="s">
        <v>255</v>
      </c>
      <c r="Q103" s="10" t="s">
        <v>291</v>
      </c>
      <c r="R103" s="11">
        <v>45068</v>
      </c>
      <c r="S103" s="10" t="s">
        <v>48</v>
      </c>
      <c r="T103" s="3" t="str">
        <f>IF(AND(ProtocolosAF[[#This Row],[STATUS]]="APROVADO",ProtocolosAF[[#This Row],[WAIVER]]=""),"Y","")</f>
        <v/>
      </c>
      <c r="U103" t="s">
        <v>292</v>
      </c>
      <c r="V103" s="16" t="str">
        <f t="shared" si="8"/>
        <v>3WT5ZADENTI MASSON RESEGUE/MONICA</v>
      </c>
      <c r="W103">
        <v>85</v>
      </c>
    </row>
    <row r="104" spans="1:23" hidden="1">
      <c r="A104" s="1">
        <v>45068</v>
      </c>
      <c r="B104" t="s">
        <v>13</v>
      </c>
      <c r="C104" t="s">
        <v>288</v>
      </c>
      <c r="D104" s="23" t="s">
        <v>288</v>
      </c>
      <c r="E104" t="s">
        <v>41</v>
      </c>
      <c r="F104" s="19">
        <v>57564931</v>
      </c>
      <c r="G104" s="53">
        <v>579285683224</v>
      </c>
      <c r="H104" s="52">
        <v>1946.96</v>
      </c>
      <c r="I104" s="5">
        <v>0.2</v>
      </c>
      <c r="J104" s="52" cm="1">
        <f t="array" ref="J10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390</v>
      </c>
      <c r="K104" s="56" t="s">
        <v>289</v>
      </c>
      <c r="L104" s="54" t="s">
        <v>172</v>
      </c>
      <c r="M104" t="s">
        <v>43</v>
      </c>
      <c r="N104" s="15" t="s">
        <v>44</v>
      </c>
      <c r="O104" s="5" t="s">
        <v>290</v>
      </c>
      <c r="P104" s="17" t="s">
        <v>255</v>
      </c>
      <c r="Q104" s="10" t="s">
        <v>291</v>
      </c>
      <c r="R104" s="11">
        <v>45068</v>
      </c>
      <c r="S104" s="10" t="s">
        <v>48</v>
      </c>
      <c r="T104" s="3" t="str">
        <f>IF(AND(ProtocolosAF[[#This Row],[STATUS]]="APROVADO",ProtocolosAF[[#This Row],[WAIVER]]=""),"Y","")</f>
        <v/>
      </c>
      <c r="U104" t="s">
        <v>293</v>
      </c>
      <c r="V104" s="16" t="str">
        <f t="shared" si="8"/>
        <v>3WT5ZARESEGUE/ALBERTO VICENTE</v>
      </c>
      <c r="W104">
        <v>85</v>
      </c>
    </row>
    <row r="105" spans="1:23" hidden="1">
      <c r="A105" s="1">
        <v>45069</v>
      </c>
      <c r="B105" t="s">
        <v>11</v>
      </c>
      <c r="C105" t="s">
        <v>294</v>
      </c>
      <c r="D105" s="23" t="s">
        <v>294</v>
      </c>
      <c r="E105" t="s">
        <v>41</v>
      </c>
      <c r="F105" s="19"/>
      <c r="G105" s="53"/>
      <c r="H105" s="52">
        <v>8000</v>
      </c>
      <c r="I105" s="5">
        <v>0.12</v>
      </c>
      <c r="J105" s="52" t="str" cm="1">
        <f t="array" ref="J10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105" s="56" t="s">
        <v>99</v>
      </c>
      <c r="L105" s="54" t="s">
        <v>76</v>
      </c>
      <c r="M105" t="s">
        <v>217</v>
      </c>
      <c r="N105" s="15" t="s">
        <v>85</v>
      </c>
      <c r="O105" s="5" t="s">
        <v>152</v>
      </c>
      <c r="P105" s="17" t="s">
        <v>69</v>
      </c>
      <c r="Q105" s="10"/>
      <c r="R105" s="11"/>
      <c r="S105" s="10"/>
      <c r="T105" s="3" t="str">
        <f>IF(AND(ProtocolosAF[[#This Row],[STATUS]]="APROVADO",ProtocolosAF[[#This Row],[WAIVER]]=""),"Y","")</f>
        <v/>
      </c>
      <c r="U105" t="s">
        <v>295</v>
      </c>
      <c r="V105" s="16" t="str">
        <f t="shared" si="8"/>
        <v>2R5H2KSANT ANNA/DJANE MRS</v>
      </c>
      <c r="W105">
        <v>86</v>
      </c>
    </row>
    <row r="106" spans="1:23" hidden="1">
      <c r="A106" s="1">
        <v>45071</v>
      </c>
      <c r="B106" t="s">
        <v>13</v>
      </c>
      <c r="C106" t="s">
        <v>296</v>
      </c>
      <c r="D106" s="23" t="s">
        <v>297</v>
      </c>
      <c r="E106" t="s">
        <v>41</v>
      </c>
      <c r="F106" s="19"/>
      <c r="G106" s="53"/>
      <c r="H106" s="52">
        <v>1694</v>
      </c>
      <c r="I106" s="5">
        <v>0.1</v>
      </c>
      <c r="J106" s="52" t="str" cm="1">
        <f t="array" ref="J10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106" s="56" t="s">
        <v>151</v>
      </c>
      <c r="L106" s="54" t="s">
        <v>76</v>
      </c>
      <c r="M106" t="s">
        <v>217</v>
      </c>
      <c r="N106" s="15" t="s">
        <v>44</v>
      </c>
      <c r="O106" s="5" t="s">
        <v>298</v>
      </c>
      <c r="P106" s="17" t="s">
        <v>69</v>
      </c>
      <c r="Q106" s="10"/>
      <c r="R106" s="11"/>
      <c r="S106" s="10"/>
      <c r="T106" s="3" t="str">
        <f>IF(AND(ProtocolosAF[[#This Row],[STATUS]]="APROVADO",ProtocolosAF[[#This Row],[WAIVER]]=""),"Y","")</f>
        <v/>
      </c>
      <c r="U106" t="s">
        <v>299</v>
      </c>
      <c r="V106" s="16" t="str">
        <f t="shared" si="8"/>
        <v>CFQVABDELAFIORI/MARCOS ROBERTO MR</v>
      </c>
      <c r="W106">
        <v>89</v>
      </c>
    </row>
    <row r="107" spans="1:23" hidden="1">
      <c r="A107" s="1">
        <v>45078</v>
      </c>
      <c r="B107" t="s">
        <v>13</v>
      </c>
      <c r="C107" t="s">
        <v>300</v>
      </c>
      <c r="D107" s="23" t="s">
        <v>301</v>
      </c>
      <c r="E107" t="s">
        <v>41</v>
      </c>
      <c r="F107" s="19">
        <v>57564931</v>
      </c>
      <c r="G107" s="53">
        <v>579374976315</v>
      </c>
      <c r="H107" s="52">
        <v>1465</v>
      </c>
      <c r="I107" s="5">
        <v>0.15</v>
      </c>
      <c r="J107" s="52" cm="1">
        <f t="array" ref="J10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220</v>
      </c>
      <c r="K107" s="56" t="s">
        <v>151</v>
      </c>
      <c r="L107" s="54" t="s">
        <v>76</v>
      </c>
      <c r="M107" t="s">
        <v>43</v>
      </c>
      <c r="N107" s="15" t="s">
        <v>44</v>
      </c>
      <c r="O107" s="5" t="s">
        <v>234</v>
      </c>
      <c r="P107" s="17" t="s">
        <v>46</v>
      </c>
      <c r="Q107" s="10" t="s">
        <v>168</v>
      </c>
      <c r="R107" s="11">
        <v>45084</v>
      </c>
      <c r="S107" s="10" t="s">
        <v>48</v>
      </c>
      <c r="T107" s="3" t="str">
        <f>IF(AND(ProtocolosAF[[#This Row],[STATUS]]="APROVADO",ProtocolosAF[[#This Row],[WAIVER]]=""),"Y","")</f>
        <v/>
      </c>
      <c r="U107" t="s">
        <v>302</v>
      </c>
      <c r="V107" s="16" t="str">
        <f t="shared" si="8"/>
        <v>EYGXXCSOUZA VELLOSO/SORAYA NOVAES</v>
      </c>
      <c r="W107">
        <v>92</v>
      </c>
    </row>
    <row r="108" spans="1:23" hidden="1">
      <c r="A108" s="1">
        <v>45078</v>
      </c>
      <c r="B108" t="s">
        <v>13</v>
      </c>
      <c r="C108" t="s">
        <v>300</v>
      </c>
      <c r="D108" s="23" t="s">
        <v>301</v>
      </c>
      <c r="E108" t="s">
        <v>41</v>
      </c>
      <c r="F108" s="19">
        <v>57564931</v>
      </c>
      <c r="G108" s="53">
        <v>579374976316</v>
      </c>
      <c r="H108" s="52">
        <v>1465</v>
      </c>
      <c r="I108" s="5">
        <v>0.15</v>
      </c>
      <c r="J108" s="52" cm="1">
        <f t="array" ref="J10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220</v>
      </c>
      <c r="K108" s="56" t="s">
        <v>151</v>
      </c>
      <c r="L108" s="54" t="s">
        <v>76</v>
      </c>
      <c r="M108" t="s">
        <v>43</v>
      </c>
      <c r="N108" s="15" t="s">
        <v>44</v>
      </c>
      <c r="O108" s="5" t="s">
        <v>234</v>
      </c>
      <c r="P108" s="17" t="s">
        <v>46</v>
      </c>
      <c r="Q108" s="10" t="s">
        <v>168</v>
      </c>
      <c r="R108" s="11">
        <v>45084</v>
      </c>
      <c r="S108" s="10" t="s">
        <v>48</v>
      </c>
      <c r="T108" s="3" t="str">
        <f>IF(AND(ProtocolosAF[[#This Row],[STATUS]]="APROVADO",ProtocolosAF[[#This Row],[WAIVER]]=""),"Y","")</f>
        <v/>
      </c>
      <c r="U108" t="s">
        <v>303</v>
      </c>
      <c r="V108" s="16" t="str">
        <f t="shared" si="8"/>
        <v>EYGXXCMONT ALVAO/PEDRO DANIEL</v>
      </c>
      <c r="W108">
        <v>92</v>
      </c>
    </row>
    <row r="109" spans="1:23" hidden="1">
      <c r="A109" s="1">
        <v>45078</v>
      </c>
      <c r="B109" t="s">
        <v>13</v>
      </c>
      <c r="C109" t="s">
        <v>300</v>
      </c>
      <c r="D109" s="23" t="s">
        <v>301</v>
      </c>
      <c r="E109" t="s">
        <v>41</v>
      </c>
      <c r="F109" s="19">
        <v>57564931</v>
      </c>
      <c r="G109" s="53">
        <v>579374976317</v>
      </c>
      <c r="H109" s="52">
        <v>1465</v>
      </c>
      <c r="I109" s="5">
        <v>0.15</v>
      </c>
      <c r="J109" s="52" cm="1">
        <f t="array" ref="J10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220</v>
      </c>
      <c r="K109" s="56" t="s">
        <v>151</v>
      </c>
      <c r="L109" s="54" t="s">
        <v>76</v>
      </c>
      <c r="M109" t="s">
        <v>43</v>
      </c>
      <c r="N109" s="15" t="s">
        <v>44</v>
      </c>
      <c r="O109" s="5" t="s">
        <v>234</v>
      </c>
      <c r="P109" s="17" t="s">
        <v>46</v>
      </c>
      <c r="Q109" s="10" t="s">
        <v>168</v>
      </c>
      <c r="R109" s="11">
        <v>45084</v>
      </c>
      <c r="S109" s="10" t="s">
        <v>48</v>
      </c>
      <c r="T109" s="3" t="str">
        <f>IF(AND(ProtocolosAF[[#This Row],[STATUS]]="APROVADO",ProtocolosAF[[#This Row],[WAIVER]]=""),"Y","")</f>
        <v/>
      </c>
      <c r="U109" t="s">
        <v>304</v>
      </c>
      <c r="V109" s="16" t="str">
        <f t="shared" si="8"/>
        <v>EYGXXCCARVALHO/THIAGO LOPES</v>
      </c>
      <c r="W109">
        <v>92</v>
      </c>
    </row>
    <row r="110" spans="1:23" hidden="1">
      <c r="A110" s="1">
        <v>45079</v>
      </c>
      <c r="B110" t="s">
        <v>10</v>
      </c>
      <c r="C110" t="s">
        <v>305</v>
      </c>
      <c r="D110" s="23" t="s">
        <v>305</v>
      </c>
      <c r="E110" t="s">
        <v>73</v>
      </c>
      <c r="F110" s="19">
        <v>57994602</v>
      </c>
      <c r="G110" s="53">
        <v>574200484004</v>
      </c>
      <c r="H110" s="52">
        <v>141</v>
      </c>
      <c r="I110" s="5" t="s">
        <v>74</v>
      </c>
      <c r="J110" s="52" cm="1">
        <f t="array" ref="J11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141</v>
      </c>
      <c r="K110" s="56" t="s">
        <v>306</v>
      </c>
      <c r="L110" s="54" t="s">
        <v>172</v>
      </c>
      <c r="M110" t="s">
        <v>43</v>
      </c>
      <c r="N110" s="15" t="s">
        <v>67</v>
      </c>
      <c r="O110" s="5" t="s">
        <v>307</v>
      </c>
      <c r="P110" s="17" t="s">
        <v>46</v>
      </c>
      <c r="Q110" s="10" t="s">
        <v>222</v>
      </c>
      <c r="R110" s="11">
        <v>45079</v>
      </c>
      <c r="S110" s="10" t="s">
        <v>173</v>
      </c>
      <c r="T110" s="3" t="str">
        <f>IF(AND(ProtocolosAF[[#This Row],[STATUS]]="APROVADO",ProtocolosAF[[#This Row],[WAIVER]]=""),"Y","")</f>
        <v/>
      </c>
      <c r="U110" t="s">
        <v>308</v>
      </c>
      <c r="V110" s="16" t="str">
        <f t="shared" si="8"/>
        <v>2CWGCIPEIXOTO DOS SANTOS/DAVID</v>
      </c>
      <c r="W110">
        <v>94</v>
      </c>
    </row>
    <row r="111" spans="1:23" hidden="1">
      <c r="A111" s="1">
        <v>45079</v>
      </c>
      <c r="B111" t="s">
        <v>10</v>
      </c>
      <c r="C111" t="s">
        <v>309</v>
      </c>
      <c r="D111" s="23" t="s">
        <v>309</v>
      </c>
      <c r="E111" t="s">
        <v>73</v>
      </c>
      <c r="F111" s="19">
        <v>57994602</v>
      </c>
      <c r="G111" s="53">
        <v>574200484005</v>
      </c>
      <c r="H111" s="52">
        <v>141</v>
      </c>
      <c r="I111" s="5" t="s">
        <v>74</v>
      </c>
      <c r="J111" s="52" cm="1">
        <f t="array" ref="J11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141</v>
      </c>
      <c r="K111" s="56" t="s">
        <v>306</v>
      </c>
      <c r="L111" s="54" t="s">
        <v>172</v>
      </c>
      <c r="M111" t="s">
        <v>43</v>
      </c>
      <c r="N111" s="15" t="s">
        <v>67</v>
      </c>
      <c r="O111" s="5" t="s">
        <v>307</v>
      </c>
      <c r="P111" s="17" t="s">
        <v>46</v>
      </c>
      <c r="Q111" s="10" t="s">
        <v>222</v>
      </c>
      <c r="R111" s="11">
        <v>45080</v>
      </c>
      <c r="S111" s="10" t="s">
        <v>173</v>
      </c>
      <c r="T111" s="3" t="str">
        <f>IF(AND(ProtocolosAF[[#This Row],[STATUS]]="APROVADO",ProtocolosAF[[#This Row],[WAIVER]]=""),"Y","")</f>
        <v/>
      </c>
      <c r="U111" t="s">
        <v>310</v>
      </c>
      <c r="V111" s="16" t="str">
        <f t="shared" si="8"/>
        <v xml:space="preserve">2CY2L8DOS SANTOS/BRUNA LUIZA </v>
      </c>
      <c r="W111">
        <v>95</v>
      </c>
    </row>
    <row r="112" spans="1:23" hidden="1">
      <c r="A112" s="1">
        <v>45079</v>
      </c>
      <c r="B112" t="s">
        <v>10</v>
      </c>
      <c r="C112" t="s">
        <v>311</v>
      </c>
      <c r="D112" s="23" t="s">
        <v>312</v>
      </c>
      <c r="E112" t="s">
        <v>41</v>
      </c>
      <c r="F112" s="19"/>
      <c r="G112" s="53"/>
      <c r="H112" s="52">
        <v>5061</v>
      </c>
      <c r="I112" s="5">
        <v>0.08</v>
      </c>
      <c r="J112" s="52" t="str" cm="1">
        <f t="array" ref="J11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112" s="56" t="s">
        <v>189</v>
      </c>
      <c r="L112" s="54" t="s">
        <v>76</v>
      </c>
      <c r="M112" t="s">
        <v>100</v>
      </c>
      <c r="N112" s="15" t="s">
        <v>67</v>
      </c>
      <c r="O112" s="5" t="s">
        <v>164</v>
      </c>
      <c r="P112" s="17" t="s">
        <v>69</v>
      </c>
      <c r="Q112" s="10"/>
      <c r="R112" s="11"/>
      <c r="S112" s="10"/>
      <c r="T112" s="3" t="str">
        <f>IF(AND(ProtocolosAF[[#This Row],[STATUS]]="APROVADO",ProtocolosAF[[#This Row],[WAIVER]]=""),"Y","")</f>
        <v/>
      </c>
      <c r="U112" t="s">
        <v>313</v>
      </c>
      <c r="V112" s="16" t="str">
        <f t="shared" si="8"/>
        <v>BGLNNELAMOGLIA/DANIELA AGNES</v>
      </c>
      <c r="W112">
        <v>100</v>
      </c>
    </row>
    <row r="113" spans="1:23" hidden="1">
      <c r="A113" s="1">
        <v>45084</v>
      </c>
      <c r="B113" t="s">
        <v>10</v>
      </c>
      <c r="C113" t="s">
        <v>314</v>
      </c>
      <c r="D113" s="23" t="s">
        <v>315</v>
      </c>
      <c r="E113" t="s">
        <v>41</v>
      </c>
      <c r="F113" s="19">
        <v>57564931</v>
      </c>
      <c r="G113" s="53">
        <v>579374982552</v>
      </c>
      <c r="H113" s="52">
        <v>4494</v>
      </c>
      <c r="I113" s="5">
        <v>0.1</v>
      </c>
      <c r="J113" s="52" cm="1">
        <f t="array" ref="J11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450</v>
      </c>
      <c r="K113" s="56" t="s">
        <v>189</v>
      </c>
      <c r="L113" s="54" t="s">
        <v>76</v>
      </c>
      <c r="M113" t="s">
        <v>43</v>
      </c>
      <c r="N113" s="15" t="s">
        <v>67</v>
      </c>
      <c r="O113" s="5" t="s">
        <v>164</v>
      </c>
      <c r="P113" s="17" t="s">
        <v>69</v>
      </c>
      <c r="Q113" s="10" t="s">
        <v>222</v>
      </c>
      <c r="R113" s="11">
        <v>45086</v>
      </c>
      <c r="S113" s="10" t="s">
        <v>48</v>
      </c>
      <c r="T113" s="3" t="str">
        <f>IF(AND(ProtocolosAF[[#This Row],[STATUS]]="APROVADO",ProtocolosAF[[#This Row],[WAIVER]]=""),"Y","")</f>
        <v/>
      </c>
      <c r="U113" t="s">
        <v>313</v>
      </c>
      <c r="V113" s="16" t="str">
        <f t="shared" si="8"/>
        <v>XTOPQGLAMOGLIA/DANIELA AGNES</v>
      </c>
      <c r="W113">
        <v>106</v>
      </c>
    </row>
    <row r="114" spans="1:23" hidden="1">
      <c r="A114" s="1">
        <v>45086</v>
      </c>
      <c r="B114" t="s">
        <v>10</v>
      </c>
      <c r="C114" t="s">
        <v>316</v>
      </c>
      <c r="D114" s="23" t="s">
        <v>317</v>
      </c>
      <c r="E114" t="s">
        <v>41</v>
      </c>
      <c r="F114" s="19">
        <v>57564931</v>
      </c>
      <c r="G114" s="53">
        <v>579374990193</v>
      </c>
      <c r="H114" s="52">
        <v>3834</v>
      </c>
      <c r="I114" s="5">
        <v>0.1</v>
      </c>
      <c r="J114" s="52" cm="1">
        <f t="array" ref="J11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384</v>
      </c>
      <c r="K114" s="56" t="s">
        <v>189</v>
      </c>
      <c r="L114" s="54" t="s">
        <v>76</v>
      </c>
      <c r="M114" t="s">
        <v>43</v>
      </c>
      <c r="N114" s="15" t="s">
        <v>67</v>
      </c>
      <c r="O114" s="5" t="s">
        <v>318</v>
      </c>
      <c r="P114" s="17" t="s">
        <v>69</v>
      </c>
      <c r="Q114" s="10" t="s">
        <v>222</v>
      </c>
      <c r="R114" s="11">
        <v>45086</v>
      </c>
      <c r="S114" s="10" t="s">
        <v>48</v>
      </c>
      <c r="T114" s="3" t="str">
        <f>IF(AND(ProtocolosAF[[#This Row],[STATUS]]="APROVADO",ProtocolosAF[[#This Row],[WAIVER]]=""),"Y","")</f>
        <v/>
      </c>
      <c r="U114" t="s">
        <v>319</v>
      </c>
      <c r="V114" s="16" t="str">
        <f t="shared" ref="V114:V123" si="9">_xlfn.CONCAT(C114,U114)</f>
        <v>WAABPABARROSO/THIAGO MR</v>
      </c>
      <c r="W114">
        <v>108</v>
      </c>
    </row>
    <row r="115" spans="1:23" hidden="1">
      <c r="A115" s="1">
        <v>45090</v>
      </c>
      <c r="B115" t="s">
        <v>13</v>
      </c>
      <c r="C115" t="s">
        <v>320</v>
      </c>
      <c r="D115" s="23" t="s">
        <v>321</v>
      </c>
      <c r="E115" t="s">
        <v>207</v>
      </c>
      <c r="F115" s="19">
        <v>57994602</v>
      </c>
      <c r="G115" s="53">
        <v>574200484033</v>
      </c>
      <c r="H115" s="52">
        <v>140</v>
      </c>
      <c r="I115" s="5" t="s">
        <v>74</v>
      </c>
      <c r="J115" s="52" cm="1">
        <f t="array" ref="J11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140</v>
      </c>
      <c r="K115" s="56" t="s">
        <v>289</v>
      </c>
      <c r="L115" s="54" t="s">
        <v>322</v>
      </c>
      <c r="M115" t="s">
        <v>43</v>
      </c>
      <c r="N115" s="15" t="s">
        <v>44</v>
      </c>
      <c r="O115" s="5" t="s">
        <v>178</v>
      </c>
      <c r="P115" s="17" t="s">
        <v>46</v>
      </c>
      <c r="Q115" s="10" t="s">
        <v>291</v>
      </c>
      <c r="R115" s="11">
        <v>45092</v>
      </c>
      <c r="S115" s="10" t="s">
        <v>173</v>
      </c>
      <c r="T115" s="3" t="str">
        <f>IF(AND(ProtocolosAF[[#This Row],[STATUS]]="APROVADO",ProtocolosAF[[#This Row],[WAIVER]]=""),"Y","")</f>
        <v/>
      </c>
      <c r="U115" t="s">
        <v>323</v>
      </c>
      <c r="V115" s="16" t="str">
        <f t="shared" si="9"/>
        <v>XBBJDGDE CAMPOS NOBREGA/LIVIA</v>
      </c>
      <c r="W115">
        <v>109</v>
      </c>
    </row>
    <row r="116" spans="1:23" hidden="1">
      <c r="A116" s="1">
        <v>45090</v>
      </c>
      <c r="B116" t="s">
        <v>13</v>
      </c>
      <c r="C116" t="s">
        <v>320</v>
      </c>
      <c r="D116" s="23" t="s">
        <v>321</v>
      </c>
      <c r="E116" t="s">
        <v>207</v>
      </c>
      <c r="F116" s="19">
        <v>57994602</v>
      </c>
      <c r="G116" s="53">
        <v>574200484034</v>
      </c>
      <c r="H116" s="52">
        <v>140</v>
      </c>
      <c r="I116" s="5" t="s">
        <v>74</v>
      </c>
      <c r="J116" s="52" cm="1">
        <f t="array" ref="J11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140</v>
      </c>
      <c r="K116" s="56" t="s">
        <v>289</v>
      </c>
      <c r="L116" s="54" t="s">
        <v>322</v>
      </c>
      <c r="M116" t="s">
        <v>43</v>
      </c>
      <c r="N116" s="15" t="s">
        <v>44</v>
      </c>
      <c r="O116" s="5" t="s">
        <v>178</v>
      </c>
      <c r="P116" s="17" t="s">
        <v>46</v>
      </c>
      <c r="Q116" s="10" t="s">
        <v>291</v>
      </c>
      <c r="R116" s="11">
        <v>45092</v>
      </c>
      <c r="S116" s="10" t="s">
        <v>173</v>
      </c>
      <c r="T116" s="3" t="str">
        <f>IF(AND(ProtocolosAF[[#This Row],[STATUS]]="APROVADO",ProtocolosAF[[#This Row],[WAIVER]]=""),"Y","")</f>
        <v/>
      </c>
      <c r="U116" t="s">
        <v>324</v>
      </c>
      <c r="V116" s="16" t="str">
        <f t="shared" si="9"/>
        <v>XBBJDGAGUIAR DE CAMPOS/PATRICIA EVELIN</v>
      </c>
      <c r="W116">
        <v>109</v>
      </c>
    </row>
    <row r="117" spans="1:23" hidden="1">
      <c r="A117" s="1">
        <v>45090</v>
      </c>
      <c r="B117" t="s">
        <v>10</v>
      </c>
      <c r="C117" t="s">
        <v>325</v>
      </c>
      <c r="D117" s="23" t="s">
        <v>326</v>
      </c>
      <c r="E117" t="s">
        <v>41</v>
      </c>
      <c r="F117" s="19">
        <v>57564931</v>
      </c>
      <c r="G117" s="53">
        <v>579375011752</v>
      </c>
      <c r="H117" s="52">
        <v>1427</v>
      </c>
      <c r="I117" s="5">
        <v>0.12</v>
      </c>
      <c r="J117" s="52" cm="1">
        <f t="array" ref="J11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172</v>
      </c>
      <c r="K117" s="56" t="s">
        <v>144</v>
      </c>
      <c r="L117" s="54" t="s">
        <v>76</v>
      </c>
      <c r="M117" t="s">
        <v>43</v>
      </c>
      <c r="N117" s="15" t="s">
        <v>67</v>
      </c>
      <c r="O117" s="5" t="s">
        <v>140</v>
      </c>
      <c r="P117" s="17" t="s">
        <v>46</v>
      </c>
      <c r="Q117" s="10" t="s">
        <v>222</v>
      </c>
      <c r="R117" s="11">
        <v>45091</v>
      </c>
      <c r="S117" s="10" t="s">
        <v>48</v>
      </c>
      <c r="T117" s="3" t="str">
        <f>IF(AND(ProtocolosAF[[#This Row],[STATUS]]="APROVADO",ProtocolosAF[[#This Row],[WAIVER]]=""),"Y","")</f>
        <v/>
      </c>
      <c r="U117" t="s">
        <v>327</v>
      </c>
      <c r="V117" s="16" t="str">
        <f t="shared" si="9"/>
        <v>STTXET1.1CAVICCHIOLI/SILVIA</v>
      </c>
      <c r="W117">
        <v>110</v>
      </c>
    </row>
    <row r="118" spans="1:23" hidden="1">
      <c r="A118" s="1">
        <v>45090</v>
      </c>
      <c r="B118" t="s">
        <v>10</v>
      </c>
      <c r="C118" t="s">
        <v>325</v>
      </c>
      <c r="D118" s="23" t="s">
        <v>326</v>
      </c>
      <c r="E118" t="s">
        <v>41</v>
      </c>
      <c r="F118" s="19">
        <v>57564931</v>
      </c>
      <c r="G118" s="53">
        <v>579375011766</v>
      </c>
      <c r="H118" s="52">
        <v>1427</v>
      </c>
      <c r="I118" s="5">
        <v>0.12</v>
      </c>
      <c r="J118" s="52" cm="1">
        <f t="array" ref="J11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172</v>
      </c>
      <c r="K118" s="56" t="s">
        <v>144</v>
      </c>
      <c r="L118" s="54" t="s">
        <v>76</v>
      </c>
      <c r="M118" t="s">
        <v>43</v>
      </c>
      <c r="N118" s="15" t="s">
        <v>67</v>
      </c>
      <c r="O118" s="5" t="s">
        <v>140</v>
      </c>
      <c r="P118" s="17" t="s">
        <v>46</v>
      </c>
      <c r="Q118" s="10" t="s">
        <v>222</v>
      </c>
      <c r="R118" s="11">
        <v>45091</v>
      </c>
      <c r="S118" s="10" t="s">
        <v>48</v>
      </c>
      <c r="T118" s="3" t="str">
        <f>IF(AND(ProtocolosAF[[#This Row],[STATUS]]="APROVADO",ProtocolosAF[[#This Row],[WAIVER]]=""),"Y","")</f>
        <v/>
      </c>
      <c r="U118" t="s">
        <v>328</v>
      </c>
      <c r="V118" s="16" t="str">
        <f t="shared" si="9"/>
        <v>STTXET2.1GUARIGLIA/LIGIA MRS</v>
      </c>
      <c r="W118">
        <v>110</v>
      </c>
    </row>
    <row r="119" spans="1:23" hidden="1">
      <c r="A119" s="1">
        <v>45090</v>
      </c>
      <c r="B119" t="s">
        <v>10</v>
      </c>
      <c r="C119" t="s">
        <v>325</v>
      </c>
      <c r="D119" s="23" t="s">
        <v>326</v>
      </c>
      <c r="E119" t="s">
        <v>41</v>
      </c>
      <c r="F119" s="19">
        <v>57564931</v>
      </c>
      <c r="G119" s="53">
        <v>579375011694</v>
      </c>
      <c r="H119" s="52">
        <v>1427</v>
      </c>
      <c r="I119" s="5">
        <v>0.12</v>
      </c>
      <c r="J119" s="52" cm="1">
        <f t="array" ref="J11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172</v>
      </c>
      <c r="K119" s="56" t="s">
        <v>144</v>
      </c>
      <c r="L119" s="54" t="s">
        <v>76</v>
      </c>
      <c r="M119" t="s">
        <v>43</v>
      </c>
      <c r="N119" s="15" t="s">
        <v>67</v>
      </c>
      <c r="O119" s="5" t="s">
        <v>140</v>
      </c>
      <c r="P119" s="17" t="s">
        <v>46</v>
      </c>
      <c r="Q119" s="10" t="s">
        <v>222</v>
      </c>
      <c r="R119" s="11">
        <v>45091</v>
      </c>
      <c r="S119" s="10" t="s">
        <v>48</v>
      </c>
      <c r="T119" s="3" t="str">
        <f>IF(AND(ProtocolosAF[[#This Row],[STATUS]]="APROVADO",ProtocolosAF[[#This Row],[WAIVER]]=""),"Y","")</f>
        <v/>
      </c>
      <c r="U119" t="s">
        <v>329</v>
      </c>
      <c r="V119" s="16" t="str">
        <f t="shared" si="9"/>
        <v>STTXETMOUCACHEN/RENATA HELENA MRS</v>
      </c>
      <c r="W119">
        <v>110</v>
      </c>
    </row>
    <row r="120" spans="1:23" hidden="1">
      <c r="A120" s="1">
        <v>45091</v>
      </c>
      <c r="B120" t="s">
        <v>10</v>
      </c>
      <c r="C120" t="s">
        <v>330</v>
      </c>
      <c r="D120" s="23" t="s">
        <v>331</v>
      </c>
      <c r="E120" t="s">
        <v>41</v>
      </c>
      <c r="F120" s="19"/>
      <c r="G120" s="53"/>
      <c r="H120" s="52">
        <v>1636</v>
      </c>
      <c r="I120" s="5">
        <v>0.1</v>
      </c>
      <c r="J120" s="52" t="str" cm="1">
        <f t="array" ref="J12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120" s="56" t="s">
        <v>144</v>
      </c>
      <c r="L120" s="54" t="s">
        <v>76</v>
      </c>
      <c r="M120" t="s">
        <v>100</v>
      </c>
      <c r="N120" s="15" t="s">
        <v>67</v>
      </c>
      <c r="O120" s="5" t="s">
        <v>140</v>
      </c>
      <c r="P120" s="17" t="s">
        <v>46</v>
      </c>
      <c r="Q120" s="10"/>
      <c r="R120" s="11"/>
      <c r="S120" s="10"/>
      <c r="T120" s="3" t="str">
        <f>IF(AND(ProtocolosAF[[#This Row],[STATUS]]="APROVADO",ProtocolosAF[[#This Row],[WAIVER]]=""),"Y","")</f>
        <v/>
      </c>
      <c r="U120" t="s">
        <v>332</v>
      </c>
      <c r="V120" s="16" t="str">
        <f t="shared" si="9"/>
        <v>SSOWLK1.1AMARAL DE AZAMBUJA/DEBORAH MRS</v>
      </c>
      <c r="W120">
        <v>111</v>
      </c>
    </row>
    <row r="121" spans="1:23" hidden="1">
      <c r="A121" s="1">
        <v>45091</v>
      </c>
      <c r="B121" t="s">
        <v>10</v>
      </c>
      <c r="C121" t="s">
        <v>330</v>
      </c>
      <c r="D121" s="23" t="s">
        <v>331</v>
      </c>
      <c r="E121" t="s">
        <v>41</v>
      </c>
      <c r="F121" s="19"/>
      <c r="G121" s="53"/>
      <c r="H121" s="52">
        <v>1636</v>
      </c>
      <c r="I121" s="5">
        <v>0.1</v>
      </c>
      <c r="J121" s="52" t="str" cm="1">
        <f t="array" ref="J12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121" s="56" t="s">
        <v>144</v>
      </c>
      <c r="L121" s="54" t="s">
        <v>76</v>
      </c>
      <c r="M121" t="s">
        <v>100</v>
      </c>
      <c r="N121" s="15" t="s">
        <v>67</v>
      </c>
      <c r="O121" s="5" t="s">
        <v>140</v>
      </c>
      <c r="P121" s="17" t="s">
        <v>46</v>
      </c>
      <c r="Q121" s="10"/>
      <c r="R121" s="11"/>
      <c r="S121" s="10"/>
      <c r="T121" s="3" t="str">
        <f>IF(AND(ProtocolosAF[[#This Row],[STATUS]]="APROVADO",ProtocolosAF[[#This Row],[WAIVER]]=""),"Y","")</f>
        <v/>
      </c>
      <c r="U121" t="s">
        <v>333</v>
      </c>
      <c r="V121" s="16" t="str">
        <f t="shared" si="9"/>
        <v>SSOWLK2.1NESZLINGER/MARCIA MRS</v>
      </c>
      <c r="W121">
        <v>111</v>
      </c>
    </row>
    <row r="122" spans="1:23" hidden="1">
      <c r="A122" s="1">
        <v>45091</v>
      </c>
      <c r="B122" t="s">
        <v>10</v>
      </c>
      <c r="C122" t="s">
        <v>330</v>
      </c>
      <c r="D122" s="23" t="s">
        <v>331</v>
      </c>
      <c r="E122" t="s">
        <v>41</v>
      </c>
      <c r="F122" s="19">
        <v>57564931</v>
      </c>
      <c r="G122" s="53">
        <v>579375018354</v>
      </c>
      <c r="H122" s="52">
        <v>1433</v>
      </c>
      <c r="I122" s="5">
        <v>0.1</v>
      </c>
      <c r="J122" s="52" cm="1">
        <f t="array" ref="J12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144</v>
      </c>
      <c r="K122" s="56" t="s">
        <v>144</v>
      </c>
      <c r="L122" s="54" t="s">
        <v>76</v>
      </c>
      <c r="M122" t="s">
        <v>43</v>
      </c>
      <c r="N122" s="15" t="s">
        <v>67</v>
      </c>
      <c r="O122" s="5" t="s">
        <v>140</v>
      </c>
      <c r="P122" s="17" t="s">
        <v>46</v>
      </c>
      <c r="Q122" s="10" t="s">
        <v>222</v>
      </c>
      <c r="R122" s="11">
        <v>45092</v>
      </c>
      <c r="S122" s="10" t="s">
        <v>48</v>
      </c>
      <c r="T122" s="3" t="str">
        <f>IF(AND(ProtocolosAF[[#This Row],[STATUS]]="APROVADO",ProtocolosAF[[#This Row],[WAIVER]]=""),"Y","")</f>
        <v/>
      </c>
      <c r="U122" t="s">
        <v>332</v>
      </c>
      <c r="V122" s="16" t="str">
        <f t="shared" si="9"/>
        <v>SSOWLK1.1AMARAL DE AZAMBUJA/DEBORAH MRS</v>
      </c>
      <c r="W122">
        <v>112</v>
      </c>
    </row>
    <row r="123" spans="1:23" hidden="1">
      <c r="A123" s="1">
        <v>45091</v>
      </c>
      <c r="B123" t="s">
        <v>10</v>
      </c>
      <c r="C123" t="s">
        <v>330</v>
      </c>
      <c r="D123" s="23" t="s">
        <v>331</v>
      </c>
      <c r="E123" t="s">
        <v>41</v>
      </c>
      <c r="F123" s="19">
        <v>57564931</v>
      </c>
      <c r="G123" s="53">
        <v>579375018350</v>
      </c>
      <c r="H123" s="52">
        <v>1433</v>
      </c>
      <c r="I123" s="5">
        <v>0.1</v>
      </c>
      <c r="J123" s="52" cm="1">
        <f t="array" ref="J12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144</v>
      </c>
      <c r="K123" s="56" t="s">
        <v>144</v>
      </c>
      <c r="L123" s="54" t="s">
        <v>76</v>
      </c>
      <c r="M123" t="s">
        <v>43</v>
      </c>
      <c r="N123" s="15" t="s">
        <v>67</v>
      </c>
      <c r="O123" s="5" t="s">
        <v>140</v>
      </c>
      <c r="P123" s="17" t="s">
        <v>46</v>
      </c>
      <c r="Q123" s="10" t="s">
        <v>222</v>
      </c>
      <c r="R123" s="11">
        <v>45092</v>
      </c>
      <c r="S123" s="10" t="s">
        <v>48</v>
      </c>
      <c r="T123" s="3" t="str">
        <f>IF(AND(ProtocolosAF[[#This Row],[STATUS]]="APROVADO",ProtocolosAF[[#This Row],[WAIVER]]=""),"Y","")</f>
        <v/>
      </c>
      <c r="U123" t="s">
        <v>333</v>
      </c>
      <c r="V123" s="16" t="str">
        <f t="shared" si="9"/>
        <v>SSOWLK2.1NESZLINGER/MARCIA MRS</v>
      </c>
      <c r="W123">
        <v>112</v>
      </c>
    </row>
    <row r="124" spans="1:23" hidden="1">
      <c r="A124" s="1">
        <v>45091</v>
      </c>
      <c r="B124" t="s">
        <v>10</v>
      </c>
      <c r="C124" t="s">
        <v>334</v>
      </c>
      <c r="D124" s="23" t="s">
        <v>335</v>
      </c>
      <c r="E124" t="s">
        <v>41</v>
      </c>
      <c r="F124" s="19">
        <v>57564931</v>
      </c>
      <c r="G124" s="53">
        <v>579375018334</v>
      </c>
      <c r="H124" s="52">
        <v>1458</v>
      </c>
      <c r="I124" s="5">
        <v>0.1</v>
      </c>
      <c r="J124" s="52" cm="1">
        <f t="array" ref="J12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146</v>
      </c>
      <c r="K124" s="56" t="s">
        <v>336</v>
      </c>
      <c r="L124" s="54" t="s">
        <v>66</v>
      </c>
      <c r="M124" t="s">
        <v>43</v>
      </c>
      <c r="N124" s="15" t="s">
        <v>67</v>
      </c>
      <c r="O124" s="5" t="s">
        <v>337</v>
      </c>
      <c r="P124" s="17" t="s">
        <v>46</v>
      </c>
      <c r="Q124" s="10" t="s">
        <v>222</v>
      </c>
      <c r="R124" s="11">
        <v>45092</v>
      </c>
      <c r="S124" s="10" t="s">
        <v>48</v>
      </c>
      <c r="T124" s="3" t="str">
        <f>IF(AND(ProtocolosAF[[#This Row],[STATUS]]="APROVADO",ProtocolosAF[[#This Row],[WAIVER]]=""),"Y","")</f>
        <v/>
      </c>
      <c r="U124" t="s">
        <v>338</v>
      </c>
      <c r="V124" s="16" t="str">
        <f t="shared" ref="V124:V137" si="10">_xlfn.CONCAT(C124,U124)</f>
        <v>WXSWVULOURENCO FARIA/KAIQUE FERNANDO</v>
      </c>
      <c r="W124">
        <v>113</v>
      </c>
    </row>
    <row r="125" spans="1:23" hidden="1">
      <c r="A125" s="1">
        <v>45092</v>
      </c>
      <c r="B125" t="s">
        <v>10</v>
      </c>
      <c r="C125" t="s">
        <v>339</v>
      </c>
      <c r="D125" s="23" t="s">
        <v>340</v>
      </c>
      <c r="E125" t="s">
        <v>73</v>
      </c>
      <c r="F125" s="19">
        <v>57996444</v>
      </c>
      <c r="G125" s="53">
        <v>574201394075</v>
      </c>
      <c r="H125" s="52">
        <v>59</v>
      </c>
      <c r="I125" s="5" t="s">
        <v>74</v>
      </c>
      <c r="J125" s="52" cm="1">
        <f t="array" ref="J12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59</v>
      </c>
      <c r="K125" s="56" t="s">
        <v>144</v>
      </c>
      <c r="L125" s="54" t="s">
        <v>172</v>
      </c>
      <c r="M125" t="s">
        <v>43</v>
      </c>
      <c r="N125" s="15" t="s">
        <v>67</v>
      </c>
      <c r="O125" s="5" t="s">
        <v>78</v>
      </c>
      <c r="P125" s="17" t="s">
        <v>46</v>
      </c>
      <c r="Q125" s="10" t="s">
        <v>341</v>
      </c>
      <c r="R125" s="11">
        <v>45099</v>
      </c>
      <c r="S125" s="10" t="s">
        <v>173</v>
      </c>
      <c r="T125" s="3" t="str">
        <f>IF(AND(ProtocolosAF[[#This Row],[STATUS]]="APROVADO",ProtocolosAF[[#This Row],[WAIVER]]=""),"Y","")</f>
        <v/>
      </c>
      <c r="U125" t="s">
        <v>342</v>
      </c>
      <c r="V125" s="16" t="str">
        <f t="shared" si="10"/>
        <v>ZHPGST1.1MARLETTI DEBATIN DA SILVEIRA/RICARDO MR</v>
      </c>
      <c r="W125">
        <v>115</v>
      </c>
    </row>
    <row r="126" spans="1:23" hidden="1">
      <c r="A126" s="1">
        <v>45098</v>
      </c>
      <c r="B126" t="s">
        <v>10</v>
      </c>
      <c r="C126" t="s">
        <v>343</v>
      </c>
      <c r="D126" s="23" t="s">
        <v>344</v>
      </c>
      <c r="E126" t="s">
        <v>41</v>
      </c>
      <c r="F126" s="19">
        <v>57564931</v>
      </c>
      <c r="G126" s="53">
        <v>579375056937</v>
      </c>
      <c r="H126" s="52">
        <v>1590</v>
      </c>
      <c r="I126" s="5">
        <v>0.08</v>
      </c>
      <c r="J126" s="52" cm="1">
        <f t="array" ref="J12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128</v>
      </c>
      <c r="K126" s="56" t="s">
        <v>345</v>
      </c>
      <c r="L126" s="54" t="s">
        <v>76</v>
      </c>
      <c r="M126" t="s">
        <v>43</v>
      </c>
      <c r="N126" s="15" t="s">
        <v>67</v>
      </c>
      <c r="O126" s="5" t="s">
        <v>346</v>
      </c>
      <c r="P126" s="17" t="s">
        <v>69</v>
      </c>
      <c r="Q126" s="10" t="s">
        <v>222</v>
      </c>
      <c r="R126" s="11">
        <v>45099</v>
      </c>
      <c r="S126" s="10" t="s">
        <v>48</v>
      </c>
      <c r="T126" s="3" t="str">
        <f>IF(AND(ProtocolosAF[[#This Row],[STATUS]]="APROVADO",ProtocolosAF[[#This Row],[WAIVER]]=""),"Y","")</f>
        <v/>
      </c>
      <c r="U126" t="s">
        <v>347</v>
      </c>
      <c r="V126" s="16" t="str">
        <f t="shared" si="10"/>
        <v>QMHGAPDI RISSIO BARBOSA/MARIA EDUARDA</v>
      </c>
      <c r="W126">
        <v>117</v>
      </c>
    </row>
    <row r="127" spans="1:23" hidden="1">
      <c r="A127" s="1">
        <v>45098</v>
      </c>
      <c r="B127" t="s">
        <v>10</v>
      </c>
      <c r="C127" t="s">
        <v>343</v>
      </c>
      <c r="D127" s="23" t="s">
        <v>344</v>
      </c>
      <c r="E127" t="s">
        <v>41</v>
      </c>
      <c r="F127" s="19">
        <v>57564931</v>
      </c>
      <c r="G127" s="53">
        <v>579375056979</v>
      </c>
      <c r="H127" s="52">
        <v>1590</v>
      </c>
      <c r="I127" s="5">
        <v>0.08</v>
      </c>
      <c r="J127" s="52" cm="1">
        <f t="array" ref="J12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128</v>
      </c>
      <c r="K127" s="56" t="s">
        <v>345</v>
      </c>
      <c r="L127" s="54" t="s">
        <v>76</v>
      </c>
      <c r="M127" t="s">
        <v>43</v>
      </c>
      <c r="N127" s="15" t="s">
        <v>67</v>
      </c>
      <c r="O127" s="5" t="s">
        <v>346</v>
      </c>
      <c r="P127" s="17" t="s">
        <v>69</v>
      </c>
      <c r="Q127" s="10" t="s">
        <v>348</v>
      </c>
      <c r="R127" s="11">
        <v>45099</v>
      </c>
      <c r="S127" s="10" t="s">
        <v>48</v>
      </c>
      <c r="T127" s="3" t="str">
        <f>IF(AND(ProtocolosAF[[#This Row],[STATUS]]="APROVADO",ProtocolosAF[[#This Row],[WAIVER]]=""),"Y","")</f>
        <v/>
      </c>
      <c r="U127" t="s">
        <v>349</v>
      </c>
      <c r="V127" s="16" t="str">
        <f t="shared" si="10"/>
        <v>QMHGAPMACEDO COSTA DE MORAES/LUISA</v>
      </c>
      <c r="W127">
        <v>117</v>
      </c>
    </row>
    <row r="128" spans="1:23" hidden="1">
      <c r="A128" s="1">
        <v>45093</v>
      </c>
      <c r="B128" t="s">
        <v>11</v>
      </c>
      <c r="C128" t="s">
        <v>350</v>
      </c>
      <c r="D128" s="23" t="s">
        <v>351</v>
      </c>
      <c r="E128" t="s">
        <v>73</v>
      </c>
      <c r="F128" s="19">
        <v>57564931</v>
      </c>
      <c r="G128" s="53">
        <v>579375028725</v>
      </c>
      <c r="H128" s="52">
        <v>179.02</v>
      </c>
      <c r="I128" s="5" t="s">
        <v>74</v>
      </c>
      <c r="J128" s="52" cm="1">
        <f t="array" ref="J12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179.02</v>
      </c>
      <c r="K128" s="56" t="s">
        <v>99</v>
      </c>
      <c r="L128" s="54" t="s">
        <v>76</v>
      </c>
      <c r="M128" t="s">
        <v>43</v>
      </c>
      <c r="N128" s="15" t="s">
        <v>85</v>
      </c>
      <c r="O128" s="5" t="s">
        <v>352</v>
      </c>
      <c r="P128" s="17" t="s">
        <v>69</v>
      </c>
      <c r="Q128" s="10" t="s">
        <v>353</v>
      </c>
      <c r="R128" s="11">
        <v>45110</v>
      </c>
      <c r="S128" s="10" t="s">
        <v>173</v>
      </c>
      <c r="T128" s="3" t="str">
        <f>IF(AND(ProtocolosAF[[#This Row],[STATUS]]="APROVADO",ProtocolosAF[[#This Row],[WAIVER]]=""),"Y","")</f>
        <v/>
      </c>
      <c r="U128" t="s">
        <v>354</v>
      </c>
      <c r="V128" s="16" t="str">
        <f t="shared" si="10"/>
        <v>QAPIRNSIMONI/MICHAEL MR</v>
      </c>
      <c r="W128">
        <v>118</v>
      </c>
    </row>
    <row r="129" spans="1:23" hidden="1">
      <c r="A129" s="1">
        <v>45098</v>
      </c>
      <c r="B129" t="s">
        <v>11</v>
      </c>
      <c r="C129" t="s">
        <v>355</v>
      </c>
      <c r="D129" s="23" t="s">
        <v>355</v>
      </c>
      <c r="E129" t="s">
        <v>41</v>
      </c>
      <c r="F129" s="19">
        <v>57564931</v>
      </c>
      <c r="G129" s="53">
        <v>579285860470</v>
      </c>
      <c r="H129" s="52">
        <v>2445</v>
      </c>
      <c r="I129" s="5">
        <v>0.13</v>
      </c>
      <c r="J129" s="52" cm="1">
        <f t="array" ref="J12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318</v>
      </c>
      <c r="K129" s="56" t="s">
        <v>84</v>
      </c>
      <c r="L129" s="54" t="s">
        <v>66</v>
      </c>
      <c r="M129" t="s">
        <v>43</v>
      </c>
      <c r="N129" s="15" t="s">
        <v>85</v>
      </c>
      <c r="O129" s="5" t="s">
        <v>356</v>
      </c>
      <c r="P129" s="17" t="s">
        <v>46</v>
      </c>
      <c r="Q129" s="10" t="s">
        <v>353</v>
      </c>
      <c r="R129" s="11">
        <v>45099</v>
      </c>
      <c r="S129" s="10" t="s">
        <v>48</v>
      </c>
      <c r="T129" s="3" t="str">
        <f>IF(AND(ProtocolosAF[[#This Row],[STATUS]]="APROVADO",ProtocolosAF[[#This Row],[WAIVER]]=""),"Y","")</f>
        <v/>
      </c>
      <c r="U129" t="s">
        <v>357</v>
      </c>
      <c r="V129" s="16" t="str">
        <f t="shared" si="10"/>
        <v>2MRYC6SIMOES COST SOUTO/ANDRESSA MRS</v>
      </c>
      <c r="W129">
        <v>119</v>
      </c>
    </row>
    <row r="130" spans="1:23" hidden="1">
      <c r="A130" s="1">
        <v>45098</v>
      </c>
      <c r="B130" t="s">
        <v>11</v>
      </c>
      <c r="C130" t="s">
        <v>355</v>
      </c>
      <c r="D130" s="23" t="s">
        <v>355</v>
      </c>
      <c r="E130" t="s">
        <v>41</v>
      </c>
      <c r="F130" s="19">
        <v>57564931</v>
      </c>
      <c r="G130" s="53">
        <v>579285860472</v>
      </c>
      <c r="H130" s="52">
        <v>2445</v>
      </c>
      <c r="I130" s="5">
        <v>0.13</v>
      </c>
      <c r="J130" s="52" cm="1">
        <f t="array" ref="J13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318</v>
      </c>
      <c r="K130" s="56" t="s">
        <v>84</v>
      </c>
      <c r="L130" s="54" t="s">
        <v>66</v>
      </c>
      <c r="M130" t="s">
        <v>43</v>
      </c>
      <c r="N130" s="15" t="s">
        <v>85</v>
      </c>
      <c r="O130" s="5" t="s">
        <v>356</v>
      </c>
      <c r="P130" s="17" t="s">
        <v>46</v>
      </c>
      <c r="Q130" s="10" t="s">
        <v>353</v>
      </c>
      <c r="R130" s="11">
        <v>45099</v>
      </c>
      <c r="S130" s="10" t="s">
        <v>48</v>
      </c>
      <c r="T130" s="3" t="str">
        <f>IF(AND(ProtocolosAF[[#This Row],[STATUS]]="APROVADO",ProtocolosAF[[#This Row],[WAIVER]]=""),"Y","")</f>
        <v/>
      </c>
      <c r="U130" t="s">
        <v>358</v>
      </c>
      <c r="V130" s="16" t="str">
        <f t="shared" si="10"/>
        <v>2MRYC6JUNIO DA SILVA BEZERRA/BENEFRAN</v>
      </c>
      <c r="W130">
        <v>119</v>
      </c>
    </row>
    <row r="131" spans="1:23" hidden="1">
      <c r="A131" s="1">
        <v>45098</v>
      </c>
      <c r="B131" t="s">
        <v>10</v>
      </c>
      <c r="C131" t="s">
        <v>359</v>
      </c>
      <c r="D131" s="23" t="s">
        <v>360</v>
      </c>
      <c r="E131" t="s">
        <v>41</v>
      </c>
      <c r="F131" s="19">
        <v>57564931</v>
      </c>
      <c r="G131" s="53">
        <v>579375056988</v>
      </c>
      <c r="H131" s="52">
        <v>1809</v>
      </c>
      <c r="I131" s="5">
        <v>0.1</v>
      </c>
      <c r="J131" s="52" cm="1">
        <f t="array" ref="J13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181</v>
      </c>
      <c r="K131" s="56" t="s">
        <v>144</v>
      </c>
      <c r="L131" s="54" t="s">
        <v>76</v>
      </c>
      <c r="M131" t="s">
        <v>43</v>
      </c>
      <c r="N131" s="15" t="s">
        <v>67</v>
      </c>
      <c r="O131" s="5" t="s">
        <v>164</v>
      </c>
      <c r="P131" s="17" t="s">
        <v>255</v>
      </c>
      <c r="Q131" s="10" t="s">
        <v>222</v>
      </c>
      <c r="R131" s="11">
        <v>45099</v>
      </c>
      <c r="S131" s="10" t="s">
        <v>48</v>
      </c>
      <c r="T131" s="3" t="str">
        <f>IF(AND(ProtocolosAF[[#This Row],[STATUS]]="APROVADO",ProtocolosAF[[#This Row],[WAIVER]]=""),"Y","")</f>
        <v/>
      </c>
      <c r="U131" t="s">
        <v>361</v>
      </c>
      <c r="V131" s="16" t="str">
        <f t="shared" si="10"/>
        <v>BGGZGUHADDAD NAHAS/OCTAVIO</v>
      </c>
      <c r="W131">
        <v>120</v>
      </c>
    </row>
    <row r="132" spans="1:23" hidden="1">
      <c r="A132" s="1">
        <v>45104</v>
      </c>
      <c r="B132" t="s">
        <v>10</v>
      </c>
      <c r="C132" t="s">
        <v>362</v>
      </c>
      <c r="D132" s="23" t="s">
        <v>363</v>
      </c>
      <c r="E132" t="s">
        <v>41</v>
      </c>
      <c r="F132" s="19">
        <v>57564931</v>
      </c>
      <c r="G132" s="53">
        <v>579375086600</v>
      </c>
      <c r="H132" s="52">
        <v>1464</v>
      </c>
      <c r="I132" s="5">
        <v>0.15</v>
      </c>
      <c r="J132" s="52" cm="1">
        <f t="array" ref="J13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220</v>
      </c>
      <c r="K132" s="56" t="s">
        <v>336</v>
      </c>
      <c r="L132" s="54" t="s">
        <v>66</v>
      </c>
      <c r="M132" t="s">
        <v>43</v>
      </c>
      <c r="N132" s="15" t="s">
        <v>67</v>
      </c>
      <c r="O132" s="5" t="s">
        <v>101</v>
      </c>
      <c r="P132" s="17" t="s">
        <v>255</v>
      </c>
      <c r="Q132" s="10" t="s">
        <v>222</v>
      </c>
      <c r="R132" s="11">
        <v>45105</v>
      </c>
      <c r="S132" s="10" t="s">
        <v>48</v>
      </c>
      <c r="T132" s="3" t="str">
        <f>IF(AND(ProtocolosAF[[#This Row],[STATUS]]="APROVADO",ProtocolosAF[[#This Row],[WAIVER]]=""),"Y","")</f>
        <v/>
      </c>
      <c r="U132" t="s">
        <v>364</v>
      </c>
      <c r="V132" s="16" t="str">
        <f t="shared" si="10"/>
        <v>BCPHVBGUEDES/ANA CECILIA MRS</v>
      </c>
      <c r="W132">
        <v>122</v>
      </c>
    </row>
    <row r="133" spans="1:23" hidden="1">
      <c r="A133" s="1">
        <v>45104</v>
      </c>
      <c r="B133" t="s">
        <v>10</v>
      </c>
      <c r="C133" t="s">
        <v>362</v>
      </c>
      <c r="D133" s="23" t="s">
        <v>363</v>
      </c>
      <c r="E133" t="s">
        <v>41</v>
      </c>
      <c r="F133" s="19">
        <v>57564931</v>
      </c>
      <c r="G133" s="53">
        <v>579375086612</v>
      </c>
      <c r="H133" s="52">
        <v>1464</v>
      </c>
      <c r="I133" s="5">
        <v>0.15</v>
      </c>
      <c r="J133" s="52" cm="1">
        <f t="array" ref="J13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220</v>
      </c>
      <c r="K133" s="56" t="s">
        <v>336</v>
      </c>
      <c r="L133" s="54" t="s">
        <v>66</v>
      </c>
      <c r="M133" t="s">
        <v>43</v>
      </c>
      <c r="N133" s="15" t="s">
        <v>67</v>
      </c>
      <c r="O133" s="5" t="s">
        <v>101</v>
      </c>
      <c r="P133" s="17" t="s">
        <v>255</v>
      </c>
      <c r="Q133" s="10" t="s">
        <v>222</v>
      </c>
      <c r="R133" s="11">
        <v>45105</v>
      </c>
      <c r="S133" s="10" t="s">
        <v>48</v>
      </c>
      <c r="T133" s="3" t="str">
        <f>IF(AND(ProtocolosAF[[#This Row],[STATUS]]="APROVADO",ProtocolosAF[[#This Row],[WAIVER]]=""),"Y","")</f>
        <v/>
      </c>
      <c r="U133" t="s">
        <v>365</v>
      </c>
      <c r="V133" s="16" t="str">
        <f t="shared" si="10"/>
        <v>BCPHVBGUEDES/BERNARDETE MARIA MRS</v>
      </c>
      <c r="W133">
        <v>122</v>
      </c>
    </row>
    <row r="134" spans="1:23" hidden="1">
      <c r="A134" s="1">
        <v>45104</v>
      </c>
      <c r="B134" t="s">
        <v>10</v>
      </c>
      <c r="C134" t="s">
        <v>362</v>
      </c>
      <c r="D134" s="23" t="s">
        <v>363</v>
      </c>
      <c r="E134" t="s">
        <v>41</v>
      </c>
      <c r="F134" s="19">
        <v>57564931</v>
      </c>
      <c r="G134" s="53">
        <v>579375086597</v>
      </c>
      <c r="H134" s="52">
        <v>1464</v>
      </c>
      <c r="I134" s="5">
        <v>0.15</v>
      </c>
      <c r="J134" s="52" cm="1">
        <f t="array" ref="J13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220</v>
      </c>
      <c r="K134" s="56" t="s">
        <v>336</v>
      </c>
      <c r="L134" s="54" t="s">
        <v>66</v>
      </c>
      <c r="M134" t="s">
        <v>43</v>
      </c>
      <c r="N134" s="15" t="s">
        <v>67</v>
      </c>
      <c r="O134" s="5" t="s">
        <v>101</v>
      </c>
      <c r="P134" s="17" t="s">
        <v>255</v>
      </c>
      <c r="Q134" s="10" t="s">
        <v>222</v>
      </c>
      <c r="R134" s="11">
        <v>45105</v>
      </c>
      <c r="S134" s="10" t="s">
        <v>48</v>
      </c>
      <c r="T134" s="3" t="str">
        <f>IF(AND(ProtocolosAF[[#This Row],[STATUS]]="APROVADO",ProtocolosAF[[#This Row],[WAIVER]]=""),"Y","")</f>
        <v/>
      </c>
      <c r="U134" t="s">
        <v>366</v>
      </c>
      <c r="V134" s="16" t="str">
        <f t="shared" si="10"/>
        <v>BCPHVBNOVAES/SYLVIA MARIA MRS</v>
      </c>
      <c r="W134">
        <v>122</v>
      </c>
    </row>
    <row r="135" spans="1:23" hidden="1">
      <c r="A135" s="1">
        <v>45104</v>
      </c>
      <c r="B135" t="s">
        <v>10</v>
      </c>
      <c r="C135" t="s">
        <v>367</v>
      </c>
      <c r="D135" s="23" t="s">
        <v>368</v>
      </c>
      <c r="E135" t="s">
        <v>41</v>
      </c>
      <c r="F135" s="19">
        <v>57564931</v>
      </c>
      <c r="G135" s="53">
        <v>579375086581</v>
      </c>
      <c r="H135" s="52">
        <v>1464</v>
      </c>
      <c r="I135" s="5">
        <v>0.15</v>
      </c>
      <c r="J135" s="52" cm="1">
        <f t="array" ref="J13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220</v>
      </c>
      <c r="K135" s="56" t="s">
        <v>336</v>
      </c>
      <c r="L135" s="54" t="s">
        <v>66</v>
      </c>
      <c r="M135" t="s">
        <v>43</v>
      </c>
      <c r="N135" s="15" t="s">
        <v>67</v>
      </c>
      <c r="O135" s="5" t="s">
        <v>101</v>
      </c>
      <c r="P135" s="17" t="s">
        <v>255</v>
      </c>
      <c r="Q135" s="10" t="s">
        <v>222</v>
      </c>
      <c r="R135" s="11">
        <v>45105</v>
      </c>
      <c r="S135" s="10" t="s">
        <v>48</v>
      </c>
      <c r="T135" s="3" t="str">
        <f>IF(AND(ProtocolosAF[[#This Row],[STATUS]]="APROVADO",ProtocolosAF[[#This Row],[WAIVER]]=""),"Y","")</f>
        <v/>
      </c>
      <c r="U135" t="s">
        <v>369</v>
      </c>
      <c r="V135" s="16" t="str">
        <f t="shared" si="10"/>
        <v>VGFEBATRAMONTINI BENEVENUTO/SIMONE DARC</v>
      </c>
      <c r="W135">
        <v>122</v>
      </c>
    </row>
    <row r="136" spans="1:23" hidden="1">
      <c r="A136" s="1">
        <v>45104</v>
      </c>
      <c r="B136" t="s">
        <v>11</v>
      </c>
      <c r="C136" t="s">
        <v>370</v>
      </c>
      <c r="D136" s="23" t="s">
        <v>371</v>
      </c>
      <c r="E136" t="s">
        <v>41</v>
      </c>
      <c r="F136" s="19">
        <v>57565476</v>
      </c>
      <c r="G136" s="53">
        <v>579375062149</v>
      </c>
      <c r="H136" s="52">
        <v>1297</v>
      </c>
      <c r="I136" s="5">
        <v>0.12</v>
      </c>
      <c r="J136" s="52" cm="1">
        <f t="array" ref="J13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156</v>
      </c>
      <c r="K136" s="56" t="s">
        <v>99</v>
      </c>
      <c r="L136" s="54" t="s">
        <v>76</v>
      </c>
      <c r="M136" t="s">
        <v>43</v>
      </c>
      <c r="N136" s="15" t="s">
        <v>85</v>
      </c>
      <c r="O136" s="5" t="s">
        <v>372</v>
      </c>
      <c r="P136" s="17" t="s">
        <v>46</v>
      </c>
      <c r="Q136" s="10" t="s">
        <v>250</v>
      </c>
      <c r="R136" s="11">
        <v>45104</v>
      </c>
      <c r="S136" s="10" t="s">
        <v>48</v>
      </c>
      <c r="T136" s="3" t="str">
        <f>IF(AND(ProtocolosAF[[#This Row],[STATUS]]="APROVADO",ProtocolosAF[[#This Row],[WAIVER]]=""),"Y","")</f>
        <v/>
      </c>
      <c r="U136" t="s">
        <v>373</v>
      </c>
      <c r="V136" s="16" t="str">
        <f t="shared" si="10"/>
        <v>RBWSPLDE PAULA/RODRIGO MR</v>
      </c>
      <c r="W136">
        <v>123</v>
      </c>
    </row>
    <row r="137" spans="1:23" hidden="1">
      <c r="A137" s="1">
        <v>45104</v>
      </c>
      <c r="B137" t="s">
        <v>11</v>
      </c>
      <c r="C137" t="s">
        <v>370</v>
      </c>
      <c r="D137" s="23" t="s">
        <v>371</v>
      </c>
      <c r="E137" t="s">
        <v>41</v>
      </c>
      <c r="F137" s="19">
        <v>57565476</v>
      </c>
      <c r="G137" s="53">
        <v>579375062151</v>
      </c>
      <c r="H137" s="52">
        <v>1297</v>
      </c>
      <c r="I137" s="5">
        <v>0.12</v>
      </c>
      <c r="J137" s="52" cm="1">
        <f t="array" ref="J13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156</v>
      </c>
      <c r="K137" s="56" t="s">
        <v>99</v>
      </c>
      <c r="L137" s="54" t="s">
        <v>76</v>
      </c>
      <c r="M137" t="s">
        <v>43</v>
      </c>
      <c r="N137" s="15" t="s">
        <v>85</v>
      </c>
      <c r="O137" s="5" t="s">
        <v>372</v>
      </c>
      <c r="P137" s="17" t="s">
        <v>46</v>
      </c>
      <c r="Q137" s="10" t="s">
        <v>250</v>
      </c>
      <c r="R137" s="11">
        <v>45104</v>
      </c>
      <c r="S137" s="10" t="s">
        <v>48</v>
      </c>
      <c r="T137" s="3" t="str">
        <f>IF(AND(ProtocolosAF[[#This Row],[STATUS]]="APROVADO",ProtocolosAF[[#This Row],[WAIVER]]=""),"Y","")</f>
        <v/>
      </c>
      <c r="U137" t="s">
        <v>374</v>
      </c>
      <c r="V137" s="16" t="str">
        <f t="shared" si="10"/>
        <v>RBWSPLSALGADO DIAS DE PAULA/KENIA MARCIA MRS</v>
      </c>
      <c r="W137">
        <v>123</v>
      </c>
    </row>
    <row r="138" spans="1:23" hidden="1">
      <c r="A138" s="1">
        <v>45105</v>
      </c>
      <c r="B138" t="s">
        <v>11</v>
      </c>
      <c r="C138" t="s">
        <v>375</v>
      </c>
      <c r="D138" s="23" t="s">
        <v>375</v>
      </c>
      <c r="E138" t="s">
        <v>41</v>
      </c>
      <c r="F138" s="19">
        <v>57564931</v>
      </c>
      <c r="G138" s="53">
        <v>579285906043</v>
      </c>
      <c r="H138" s="52">
        <v>2295</v>
      </c>
      <c r="I138" s="5">
        <v>0.12</v>
      </c>
      <c r="J138" s="52" cm="1">
        <f t="array" ref="J13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276</v>
      </c>
      <c r="K138" s="56" t="s">
        <v>84</v>
      </c>
      <c r="L138" s="54" t="s">
        <v>66</v>
      </c>
      <c r="M138" t="s">
        <v>43</v>
      </c>
      <c r="N138" s="15" t="s">
        <v>85</v>
      </c>
      <c r="O138" s="5" t="s">
        <v>376</v>
      </c>
      <c r="P138" s="17" t="s">
        <v>146</v>
      </c>
      <c r="Q138" s="10" t="s">
        <v>353</v>
      </c>
      <c r="R138" s="11">
        <v>45111</v>
      </c>
      <c r="S138" s="10" t="s">
        <v>48</v>
      </c>
      <c r="T138" s="3" t="str">
        <f>IF(AND(ProtocolosAF[[#This Row],[STATUS]]="APROVADO",ProtocolosAF[[#This Row],[WAIVER]]=""),"Y","")</f>
        <v/>
      </c>
      <c r="U138" t="s">
        <v>377</v>
      </c>
      <c r="V138" s="16" t="str">
        <f t="shared" ref="V138:V147" si="11">_xlfn.CONCAT(C138,U138)</f>
        <v>4RQIQKARAUJO FERREIRA/AIDA</v>
      </c>
      <c r="W138">
        <v>126</v>
      </c>
    </row>
    <row r="139" spans="1:23" hidden="1">
      <c r="A139" s="1">
        <v>45105</v>
      </c>
      <c r="B139" t="s">
        <v>13</v>
      </c>
      <c r="C139" t="s">
        <v>378</v>
      </c>
      <c r="D139" s="23" t="s">
        <v>379</v>
      </c>
      <c r="E139" t="s">
        <v>41</v>
      </c>
      <c r="F139" s="19">
        <v>57519652</v>
      </c>
      <c r="G139" s="53">
        <v>579375084602</v>
      </c>
      <c r="H139" s="52">
        <v>845</v>
      </c>
      <c r="I139" s="5">
        <v>0.15</v>
      </c>
      <c r="J139" s="52" cm="1">
        <f t="array" ref="J13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127</v>
      </c>
      <c r="K139" s="56" t="s">
        <v>151</v>
      </c>
      <c r="L139" s="54" t="s">
        <v>66</v>
      </c>
      <c r="M139" t="s">
        <v>43</v>
      </c>
      <c r="N139" s="15" t="s">
        <v>44</v>
      </c>
      <c r="O139" s="5" t="s">
        <v>380</v>
      </c>
      <c r="P139" s="17" t="s">
        <v>69</v>
      </c>
      <c r="Q139" s="10" t="s">
        <v>168</v>
      </c>
      <c r="R139" s="11">
        <v>45106</v>
      </c>
      <c r="S139" s="10" t="s">
        <v>48</v>
      </c>
      <c r="T139" s="3" t="str">
        <f>IF(AND(ProtocolosAF[[#This Row],[STATUS]]="APROVADO",ProtocolosAF[[#This Row],[WAIVER]]=""),"Y","")</f>
        <v/>
      </c>
      <c r="U139" t="s">
        <v>381</v>
      </c>
      <c r="V139" s="16" t="str">
        <f t="shared" si="11"/>
        <v>ULBDVJDA SILVA LIMA/NAERTE</v>
      </c>
      <c r="W139">
        <v>128</v>
      </c>
    </row>
    <row r="140" spans="1:23" hidden="1">
      <c r="A140" s="1">
        <v>45105</v>
      </c>
      <c r="B140" t="s">
        <v>13</v>
      </c>
      <c r="C140" t="s">
        <v>378</v>
      </c>
      <c r="D140" s="23" t="s">
        <v>379</v>
      </c>
      <c r="E140" t="s">
        <v>41</v>
      </c>
      <c r="F140" s="19">
        <v>57519652</v>
      </c>
      <c r="G140" s="53">
        <v>579375084603</v>
      </c>
      <c r="H140" s="52">
        <v>845</v>
      </c>
      <c r="I140" s="5">
        <v>0.15</v>
      </c>
      <c r="J140" s="52" cm="1">
        <f t="array" ref="J14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127</v>
      </c>
      <c r="K140" s="56" t="s">
        <v>151</v>
      </c>
      <c r="L140" s="54" t="s">
        <v>66</v>
      </c>
      <c r="M140" t="s">
        <v>43</v>
      </c>
      <c r="N140" s="15" t="s">
        <v>44</v>
      </c>
      <c r="O140" s="5" t="s">
        <v>380</v>
      </c>
      <c r="P140" s="17" t="s">
        <v>69</v>
      </c>
      <c r="Q140" s="10" t="s">
        <v>168</v>
      </c>
      <c r="R140" s="11">
        <v>45106</v>
      </c>
      <c r="S140" s="10" t="s">
        <v>48</v>
      </c>
      <c r="T140" s="3" t="str">
        <f>IF(AND(ProtocolosAF[[#This Row],[STATUS]]="APROVADO",ProtocolosAF[[#This Row],[WAIVER]]=""),"Y","")</f>
        <v/>
      </c>
      <c r="U140" t="s">
        <v>382</v>
      </c>
      <c r="V140" s="16" t="str">
        <f t="shared" si="11"/>
        <v>ULBDVJMARA DE OLIVEIRA LIMA/ZAINA</v>
      </c>
      <c r="W140">
        <v>128</v>
      </c>
    </row>
    <row r="141" spans="1:23" hidden="1">
      <c r="A141" s="1">
        <v>45105</v>
      </c>
      <c r="B141" t="s">
        <v>13</v>
      </c>
      <c r="C141" t="s">
        <v>378</v>
      </c>
      <c r="D141" s="23" t="s">
        <v>379</v>
      </c>
      <c r="E141" t="s">
        <v>41</v>
      </c>
      <c r="F141" s="19">
        <v>57519652</v>
      </c>
      <c r="G141" s="53">
        <v>579375084604</v>
      </c>
      <c r="H141" s="52">
        <v>845</v>
      </c>
      <c r="I141" s="5">
        <v>0.15</v>
      </c>
      <c r="J141" s="52" cm="1">
        <f t="array" ref="J14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127</v>
      </c>
      <c r="K141" s="56" t="s">
        <v>151</v>
      </c>
      <c r="L141" s="54" t="s">
        <v>66</v>
      </c>
      <c r="M141" t="s">
        <v>43</v>
      </c>
      <c r="N141" s="15" t="s">
        <v>44</v>
      </c>
      <c r="O141" s="5" t="s">
        <v>380</v>
      </c>
      <c r="P141" s="17" t="s">
        <v>69</v>
      </c>
      <c r="Q141" s="10" t="s">
        <v>168</v>
      </c>
      <c r="R141" s="11">
        <v>45106</v>
      </c>
      <c r="S141" s="10" t="s">
        <v>48</v>
      </c>
      <c r="T141" s="3" t="str">
        <f>IF(AND(ProtocolosAF[[#This Row],[STATUS]]="APROVADO",ProtocolosAF[[#This Row],[WAIVER]]=""),"Y","")</f>
        <v/>
      </c>
      <c r="U141" t="s">
        <v>383</v>
      </c>
      <c r="V141" s="16" t="str">
        <f t="shared" si="11"/>
        <v>ULBDVJDE OLIVEIRA LIMA/GABRIEL</v>
      </c>
      <c r="W141">
        <v>128</v>
      </c>
    </row>
    <row r="142" spans="1:23" hidden="1">
      <c r="A142" s="1">
        <v>45105</v>
      </c>
      <c r="B142" t="s">
        <v>13</v>
      </c>
      <c r="C142" t="s">
        <v>378</v>
      </c>
      <c r="D142" s="23" t="s">
        <v>379</v>
      </c>
      <c r="E142" t="s">
        <v>41</v>
      </c>
      <c r="F142" s="19">
        <v>57519652</v>
      </c>
      <c r="G142" s="53">
        <v>579375084605</v>
      </c>
      <c r="H142" s="52">
        <v>845</v>
      </c>
      <c r="I142" s="5">
        <v>0.15</v>
      </c>
      <c r="J142" s="52" cm="1">
        <f t="array" ref="J14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127</v>
      </c>
      <c r="K142" s="56" t="s">
        <v>151</v>
      </c>
      <c r="L142" s="54" t="s">
        <v>66</v>
      </c>
      <c r="M142" t="s">
        <v>43</v>
      </c>
      <c r="N142" s="15" t="s">
        <v>44</v>
      </c>
      <c r="O142" s="5" t="s">
        <v>380</v>
      </c>
      <c r="P142" s="17" t="s">
        <v>69</v>
      </c>
      <c r="Q142" s="10" t="s">
        <v>168</v>
      </c>
      <c r="R142" s="11">
        <v>45106</v>
      </c>
      <c r="S142" s="10" t="s">
        <v>48</v>
      </c>
      <c r="T142" s="3" t="str">
        <f>IF(AND(ProtocolosAF[[#This Row],[STATUS]]="APROVADO",ProtocolosAF[[#This Row],[WAIVER]]=""),"Y","")</f>
        <v/>
      </c>
      <c r="U142" t="s">
        <v>384</v>
      </c>
      <c r="V142" s="16" t="str">
        <f t="shared" si="11"/>
        <v>ULBDVJDA SILVA LIMA JUNIOR/NAERTE</v>
      </c>
      <c r="W142">
        <v>128</v>
      </c>
    </row>
    <row r="143" spans="1:23" hidden="1">
      <c r="A143" s="1">
        <v>45105</v>
      </c>
      <c r="B143" t="s">
        <v>13</v>
      </c>
      <c r="C143" t="s">
        <v>385</v>
      </c>
      <c r="D143" s="23" t="s">
        <v>386</v>
      </c>
      <c r="E143" t="s">
        <v>41</v>
      </c>
      <c r="F143" s="19">
        <v>57519652</v>
      </c>
      <c r="G143" s="53">
        <v>579375084608</v>
      </c>
      <c r="H143" s="52">
        <v>845</v>
      </c>
      <c r="I143" s="5">
        <v>0.15</v>
      </c>
      <c r="J143" s="52" cm="1">
        <f t="array" ref="J14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127</v>
      </c>
      <c r="K143" s="56" t="s">
        <v>151</v>
      </c>
      <c r="L143" s="54" t="s">
        <v>66</v>
      </c>
      <c r="M143" t="s">
        <v>43</v>
      </c>
      <c r="N143" s="15" t="s">
        <v>44</v>
      </c>
      <c r="O143" s="5" t="s">
        <v>134</v>
      </c>
      <c r="P143" s="17" t="s">
        <v>69</v>
      </c>
      <c r="Q143" s="10" t="s">
        <v>168</v>
      </c>
      <c r="R143" s="11">
        <v>45106</v>
      </c>
      <c r="S143" s="10" t="s">
        <v>48</v>
      </c>
      <c r="T143" s="3" t="str">
        <f>IF(AND(ProtocolosAF[[#This Row],[STATUS]]="APROVADO",ProtocolosAF[[#This Row],[WAIVER]]=""),"Y","")</f>
        <v/>
      </c>
      <c r="U143" t="s">
        <v>387</v>
      </c>
      <c r="V143" s="16" t="str">
        <f t="shared" si="11"/>
        <v>YBAJOGDE OLIVEIRA LIMA/GUSTAVO</v>
      </c>
      <c r="W143">
        <v>129</v>
      </c>
    </row>
    <row r="144" spans="1:23" hidden="1">
      <c r="A144" s="1">
        <v>45105</v>
      </c>
      <c r="B144" t="s">
        <v>13</v>
      </c>
      <c r="C144" t="s">
        <v>385</v>
      </c>
      <c r="D144" s="23" t="s">
        <v>386</v>
      </c>
      <c r="E144" t="s">
        <v>41</v>
      </c>
      <c r="F144" s="19">
        <v>57519652</v>
      </c>
      <c r="G144" s="53">
        <v>579375084609</v>
      </c>
      <c r="H144" s="52">
        <v>845</v>
      </c>
      <c r="I144" s="5">
        <v>0.15</v>
      </c>
      <c r="J144" s="52" cm="1">
        <f t="array" ref="J14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127</v>
      </c>
      <c r="K144" s="56" t="s">
        <v>151</v>
      </c>
      <c r="L144" s="54" t="s">
        <v>66</v>
      </c>
      <c r="M144" t="s">
        <v>43</v>
      </c>
      <c r="N144" s="15" t="s">
        <v>44</v>
      </c>
      <c r="O144" s="5" t="s">
        <v>134</v>
      </c>
      <c r="P144" s="17" t="s">
        <v>69</v>
      </c>
      <c r="Q144" s="10" t="s">
        <v>168</v>
      </c>
      <c r="R144" s="11">
        <v>45106</v>
      </c>
      <c r="S144" s="10" t="s">
        <v>48</v>
      </c>
      <c r="T144" s="3" t="str">
        <f>IF(AND(ProtocolosAF[[#This Row],[STATUS]]="APROVADO",ProtocolosAF[[#This Row],[WAIVER]]=""),"Y","")</f>
        <v/>
      </c>
      <c r="U144" t="s">
        <v>388</v>
      </c>
      <c r="V144" s="16" t="str">
        <f t="shared" si="11"/>
        <v>YBAJOGGOMES ROCHA/NATALIA</v>
      </c>
      <c r="W144">
        <v>129</v>
      </c>
    </row>
    <row r="145" spans="1:23" hidden="1">
      <c r="A145" s="1">
        <v>45105</v>
      </c>
      <c r="B145" t="s">
        <v>10</v>
      </c>
      <c r="C145" t="s">
        <v>389</v>
      </c>
      <c r="D145" s="23" t="s">
        <v>390</v>
      </c>
      <c r="E145" t="s">
        <v>41</v>
      </c>
      <c r="F145" s="19">
        <v>57564931</v>
      </c>
      <c r="G145" s="53">
        <v>579375093793</v>
      </c>
      <c r="H145" s="52">
        <v>3538</v>
      </c>
      <c r="I145" s="5">
        <v>0.15</v>
      </c>
      <c r="J145" s="52" cm="1">
        <f t="array" ref="J14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531</v>
      </c>
      <c r="K145" s="56" t="s">
        <v>345</v>
      </c>
      <c r="L145" s="54" t="s">
        <v>76</v>
      </c>
      <c r="M145" t="s">
        <v>43</v>
      </c>
      <c r="N145" s="15" t="s">
        <v>67</v>
      </c>
      <c r="O145" s="5" t="s">
        <v>391</v>
      </c>
      <c r="P145" s="17" t="s">
        <v>146</v>
      </c>
      <c r="Q145" s="10" t="s">
        <v>222</v>
      </c>
      <c r="R145" s="11">
        <v>45106</v>
      </c>
      <c r="S145" s="10" t="s">
        <v>48</v>
      </c>
      <c r="T145" s="3" t="str">
        <f>IF(AND(ProtocolosAF[[#This Row],[STATUS]]="APROVADO",ProtocolosAF[[#This Row],[WAIVER]]=""),"Y","")</f>
        <v/>
      </c>
      <c r="U145" t="s">
        <v>392</v>
      </c>
      <c r="V145" s="16" t="str">
        <f t="shared" si="11"/>
        <v>VOOCYEROMANIN/LEANDRO MR</v>
      </c>
      <c r="W145">
        <v>130</v>
      </c>
    </row>
    <row r="146" spans="1:23" hidden="1">
      <c r="A146" s="1">
        <v>45105</v>
      </c>
      <c r="B146" t="s">
        <v>10</v>
      </c>
      <c r="C146" t="s">
        <v>389</v>
      </c>
      <c r="D146" s="23" t="s">
        <v>390</v>
      </c>
      <c r="E146" t="s">
        <v>41</v>
      </c>
      <c r="F146" s="19">
        <v>57564931</v>
      </c>
      <c r="G146" s="53">
        <v>579375093795</v>
      </c>
      <c r="H146" s="52">
        <v>3538</v>
      </c>
      <c r="I146" s="5">
        <v>0.15</v>
      </c>
      <c r="J146" s="52" cm="1">
        <f t="array" ref="J14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531</v>
      </c>
      <c r="K146" s="56" t="s">
        <v>345</v>
      </c>
      <c r="L146" s="54" t="s">
        <v>76</v>
      </c>
      <c r="M146" t="s">
        <v>43</v>
      </c>
      <c r="N146" s="15" t="s">
        <v>67</v>
      </c>
      <c r="O146" s="5" t="s">
        <v>391</v>
      </c>
      <c r="P146" s="17" t="s">
        <v>146</v>
      </c>
      <c r="Q146" s="10" t="s">
        <v>222</v>
      </c>
      <c r="R146" s="11">
        <v>45106</v>
      </c>
      <c r="S146" s="10" t="s">
        <v>48</v>
      </c>
      <c r="T146" s="3" t="str">
        <f>IF(AND(ProtocolosAF[[#This Row],[STATUS]]="APROVADO",ProtocolosAF[[#This Row],[WAIVER]]=""),"Y","")</f>
        <v/>
      </c>
      <c r="U146" t="s">
        <v>393</v>
      </c>
      <c r="V146" s="16" t="str">
        <f t="shared" si="11"/>
        <v>VOOCYEDEVAI ALCANTARA/JORGE EDUARDO MR</v>
      </c>
      <c r="W146">
        <v>130</v>
      </c>
    </row>
    <row r="147" spans="1:23" hidden="1">
      <c r="A147" s="1">
        <v>45106</v>
      </c>
      <c r="B147" t="s">
        <v>16</v>
      </c>
      <c r="C147" t="s">
        <v>394</v>
      </c>
      <c r="D147" s="23" t="s">
        <v>394</v>
      </c>
      <c r="E147" t="s">
        <v>41</v>
      </c>
      <c r="F147" s="19">
        <v>57564931</v>
      </c>
      <c r="G147" s="53">
        <v>579285913742</v>
      </c>
      <c r="H147" s="52">
        <v>1719</v>
      </c>
      <c r="I147" s="5">
        <v>0.1</v>
      </c>
      <c r="J147" s="52" cm="1">
        <f t="array" ref="J14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172</v>
      </c>
      <c r="K147" s="56" t="s">
        <v>177</v>
      </c>
      <c r="L147" s="54" t="s">
        <v>76</v>
      </c>
      <c r="M147" t="s">
        <v>43</v>
      </c>
      <c r="N147" s="15" t="s">
        <v>77</v>
      </c>
      <c r="O147" s="5" t="s">
        <v>395</v>
      </c>
      <c r="P147" s="17" t="s">
        <v>46</v>
      </c>
      <c r="Q147" s="10" t="s">
        <v>396</v>
      </c>
      <c r="R147" s="11">
        <v>45106</v>
      </c>
      <c r="S147" s="10" t="s">
        <v>48</v>
      </c>
      <c r="T147" s="3" t="str">
        <f>IF(AND(ProtocolosAF[[#This Row],[STATUS]]="APROVADO",ProtocolosAF[[#This Row],[WAIVER]]=""),"Y","")</f>
        <v/>
      </c>
      <c r="U147" t="s">
        <v>397</v>
      </c>
      <c r="V147" s="16" t="str">
        <f t="shared" si="11"/>
        <v>4RLMBIFARINHA/MARISTELA</v>
      </c>
      <c r="W147">
        <v>131</v>
      </c>
    </row>
    <row r="148" spans="1:23" hidden="1">
      <c r="A148" s="1">
        <v>45107</v>
      </c>
      <c r="B148" t="s">
        <v>10</v>
      </c>
      <c r="C148" t="s">
        <v>398</v>
      </c>
      <c r="D148" s="23" t="s">
        <v>399</v>
      </c>
      <c r="E148" t="s">
        <v>73</v>
      </c>
      <c r="F148" s="19">
        <v>57564931</v>
      </c>
      <c r="G148" s="53">
        <v>574200484094</v>
      </c>
      <c r="H148" s="52">
        <v>178</v>
      </c>
      <c r="I148" s="5" t="s">
        <v>74</v>
      </c>
      <c r="J148" s="52" cm="1">
        <f t="array" ref="J14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</v>
      </c>
      <c r="K148" s="56" t="s">
        <v>345</v>
      </c>
      <c r="L148" s="54" t="s">
        <v>172</v>
      </c>
      <c r="M148" t="s">
        <v>43</v>
      </c>
      <c r="N148" s="15" t="s">
        <v>67</v>
      </c>
      <c r="O148" s="5" t="s">
        <v>78</v>
      </c>
      <c r="P148" s="17" t="s">
        <v>46</v>
      </c>
      <c r="Q148" s="10" t="s">
        <v>239</v>
      </c>
      <c r="R148" s="11">
        <v>45107</v>
      </c>
      <c r="S148" s="10" t="s">
        <v>173</v>
      </c>
      <c r="T148" s="3" t="str">
        <f>IF(AND(ProtocolosAF[[#This Row],[STATUS]]="APROVADO",ProtocolosAF[[#This Row],[WAIVER]]=""),"Y","")</f>
        <v/>
      </c>
      <c r="U148" t="s">
        <v>400</v>
      </c>
      <c r="V148" s="16" t="str">
        <f t="shared" ref="V148:V179" si="12">_xlfn.CONCAT(C148,U148)</f>
        <v>BQURJVCAVALCANTI MACHADO/JOSE EDUARDO</v>
      </c>
    </row>
    <row r="149" spans="1:23" hidden="1">
      <c r="A149" s="1">
        <v>45107</v>
      </c>
      <c r="B149" t="s">
        <v>15</v>
      </c>
      <c r="C149" t="s">
        <v>401</v>
      </c>
      <c r="D149" s="23" t="s">
        <v>402</v>
      </c>
      <c r="E149" t="s">
        <v>41</v>
      </c>
      <c r="F149" s="19"/>
      <c r="G149" s="53"/>
      <c r="H149" s="52">
        <v>1250</v>
      </c>
      <c r="I149" s="5">
        <v>0.15</v>
      </c>
      <c r="J149" s="52" t="str" cm="1">
        <f t="array" ref="J14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149" s="56" t="s">
        <v>75</v>
      </c>
      <c r="L149" s="54" t="s">
        <v>172</v>
      </c>
      <c r="M149" t="s">
        <v>100</v>
      </c>
      <c r="N149" s="15" t="s">
        <v>77</v>
      </c>
      <c r="O149" s="5" t="s">
        <v>140</v>
      </c>
      <c r="P149" s="17" t="s">
        <v>69</v>
      </c>
      <c r="Q149" s="10"/>
      <c r="R149" s="11"/>
      <c r="S149" s="10"/>
      <c r="T149" s="3" t="str">
        <f>IF(AND(ProtocolosAF[[#This Row],[STATUS]]="APROVADO",ProtocolosAF[[#This Row],[WAIVER]]=""),"Y","")</f>
        <v/>
      </c>
      <c r="U149" t="s">
        <v>403</v>
      </c>
      <c r="V149" s="16" t="str">
        <f t="shared" si="12"/>
        <v>AOGZLAMYR/ALINE MORAIS</v>
      </c>
      <c r="W149">
        <v>136</v>
      </c>
    </row>
    <row r="150" spans="1:23" hidden="1">
      <c r="A150" s="1">
        <v>45110</v>
      </c>
      <c r="B150" t="s">
        <v>15</v>
      </c>
      <c r="C150" t="s">
        <v>404</v>
      </c>
      <c r="D150" s="23" t="s">
        <v>405</v>
      </c>
      <c r="E150" t="s">
        <v>41</v>
      </c>
      <c r="F150" s="19"/>
      <c r="G150" s="53"/>
      <c r="H150" s="52">
        <v>1224</v>
      </c>
      <c r="I150" s="5">
        <v>0.15</v>
      </c>
      <c r="J150" s="52" t="str" cm="1">
        <f t="array" ref="J15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150" s="56" t="s">
        <v>75</v>
      </c>
      <c r="L150" s="54" t="s">
        <v>172</v>
      </c>
      <c r="M150" t="s">
        <v>100</v>
      </c>
      <c r="N150" s="15" t="s">
        <v>77</v>
      </c>
      <c r="O150" s="5" t="s">
        <v>140</v>
      </c>
      <c r="P150" s="17" t="s">
        <v>69</v>
      </c>
      <c r="Q150" s="10"/>
      <c r="R150" s="11"/>
      <c r="S150" s="10"/>
      <c r="T150" s="3" t="str">
        <f>IF(AND(ProtocolosAF[[#This Row],[STATUS]]="APROVADO",ProtocolosAF[[#This Row],[WAIVER]]=""),"Y","")</f>
        <v/>
      </c>
      <c r="U150" t="s">
        <v>403</v>
      </c>
      <c r="V150" s="16" t="str">
        <f t="shared" si="12"/>
        <v>EGBEZVMYR/ALINE MORAIS</v>
      </c>
      <c r="W150">
        <v>137</v>
      </c>
    </row>
    <row r="151" spans="1:23" hidden="1">
      <c r="A151" s="1">
        <v>45113</v>
      </c>
      <c r="B151" t="s">
        <v>11</v>
      </c>
      <c r="C151" t="s">
        <v>406</v>
      </c>
      <c r="D151" s="23" t="s">
        <v>407</v>
      </c>
      <c r="E151" t="s">
        <v>41</v>
      </c>
      <c r="F151" s="19">
        <v>57565421</v>
      </c>
      <c r="G151" s="53">
        <v>579375115084</v>
      </c>
      <c r="H151" s="52">
        <v>2204</v>
      </c>
      <c r="I151" s="5">
        <v>0.08</v>
      </c>
      <c r="J151" s="52" cm="1">
        <f t="array" ref="J15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177</v>
      </c>
      <c r="K151" s="56" t="s">
        <v>99</v>
      </c>
      <c r="L151" s="54" t="s">
        <v>76</v>
      </c>
      <c r="M151" t="s">
        <v>43</v>
      </c>
      <c r="N151" s="15" t="s">
        <v>67</v>
      </c>
      <c r="O151" s="5" t="s">
        <v>395</v>
      </c>
      <c r="P151" s="17" t="s">
        <v>46</v>
      </c>
      <c r="Q151" s="10" t="s">
        <v>250</v>
      </c>
      <c r="R151" s="11">
        <v>45118</v>
      </c>
      <c r="S151" s="10" t="s">
        <v>48</v>
      </c>
      <c r="T151" s="3" t="str">
        <f>IF(AND(ProtocolosAF[[#This Row],[STATUS]]="APROVADO",ProtocolosAF[[#This Row],[WAIVER]]=""),"Y","")</f>
        <v/>
      </c>
      <c r="U151" t="s">
        <v>408</v>
      </c>
      <c r="V151" s="16" t="str">
        <f t="shared" si="12"/>
        <v>HZUSJBERMANNY/FLAVIO MR</v>
      </c>
      <c r="W151">
        <v>142</v>
      </c>
    </row>
    <row r="152" spans="1:23" hidden="1">
      <c r="A152" s="1">
        <v>45113</v>
      </c>
      <c r="B152" t="s">
        <v>11</v>
      </c>
      <c r="C152" t="s">
        <v>406</v>
      </c>
      <c r="D152" s="23" t="s">
        <v>407</v>
      </c>
      <c r="E152" t="s">
        <v>41</v>
      </c>
      <c r="F152" s="19">
        <v>57565421</v>
      </c>
      <c r="G152" s="53">
        <v>579375115086</v>
      </c>
      <c r="H152" s="52">
        <v>2204</v>
      </c>
      <c r="I152" s="5">
        <v>0.08</v>
      </c>
      <c r="J152" s="52" cm="1">
        <f t="array" ref="J15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177</v>
      </c>
      <c r="K152" s="56" t="s">
        <v>99</v>
      </c>
      <c r="L152" s="54" t="s">
        <v>76</v>
      </c>
      <c r="M152" t="s">
        <v>43</v>
      </c>
      <c r="N152" s="15" t="s">
        <v>67</v>
      </c>
      <c r="O152" s="5" t="s">
        <v>395</v>
      </c>
      <c r="P152" s="17" t="s">
        <v>46</v>
      </c>
      <c r="Q152" s="10" t="s">
        <v>250</v>
      </c>
      <c r="R152" s="11">
        <v>45118</v>
      </c>
      <c r="S152" s="10" t="s">
        <v>48</v>
      </c>
      <c r="T152" s="3" t="str">
        <f>IF(AND(ProtocolosAF[[#This Row],[STATUS]]="APROVADO",ProtocolosAF[[#This Row],[WAIVER]]=""),"Y","")</f>
        <v/>
      </c>
      <c r="U152" t="s">
        <v>409</v>
      </c>
      <c r="V152" s="16" t="str">
        <f t="shared" si="12"/>
        <v>HZUSJBPEREIRA HERMANNY/SANDRA LUCIA MRS</v>
      </c>
      <c r="W152">
        <v>142</v>
      </c>
    </row>
    <row r="153" spans="1:23" hidden="1">
      <c r="A153" s="1">
        <v>45114</v>
      </c>
      <c r="B153" t="s">
        <v>12</v>
      </c>
      <c r="C153" t="s">
        <v>410</v>
      </c>
      <c r="D153" s="23" t="s">
        <v>410</v>
      </c>
      <c r="E153" t="s">
        <v>41</v>
      </c>
      <c r="F153" s="19">
        <v>57564931</v>
      </c>
      <c r="G153" s="53">
        <v>579285964831</v>
      </c>
      <c r="H153" s="52">
        <v>1334</v>
      </c>
      <c r="I153" s="5">
        <v>0.15</v>
      </c>
      <c r="J153" s="52" cm="1">
        <f t="array" ref="J15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201</v>
      </c>
      <c r="K153" s="56" t="s">
        <v>227</v>
      </c>
      <c r="L153" s="54" t="s">
        <v>172</v>
      </c>
      <c r="M153" t="s">
        <v>43</v>
      </c>
      <c r="N153" s="15" t="s">
        <v>85</v>
      </c>
      <c r="O153" s="5" t="s">
        <v>68</v>
      </c>
      <c r="P153" s="17" t="s">
        <v>69</v>
      </c>
      <c r="Q153" s="10" t="s">
        <v>229</v>
      </c>
      <c r="R153" s="11">
        <v>45117</v>
      </c>
      <c r="S153" s="10" t="s">
        <v>48</v>
      </c>
      <c r="T153" s="3" t="str">
        <f>IF(AND(ProtocolosAF[[#This Row],[STATUS]]="APROVADO",ProtocolosAF[[#This Row],[WAIVER]]=""),"Y","")</f>
        <v/>
      </c>
      <c r="U153" t="s">
        <v>411</v>
      </c>
      <c r="V153" s="16" t="str">
        <f t="shared" si="12"/>
        <v>4HVRO8CAVALCANTE DA COSTA/AMANDA</v>
      </c>
      <c r="W153">
        <v>143</v>
      </c>
    </row>
    <row r="154" spans="1:23" hidden="1">
      <c r="A154" s="1">
        <v>45114</v>
      </c>
      <c r="B154" t="s">
        <v>12</v>
      </c>
      <c r="C154" t="s">
        <v>410</v>
      </c>
      <c r="D154" s="23" t="s">
        <v>410</v>
      </c>
      <c r="E154" t="s">
        <v>41</v>
      </c>
      <c r="F154" s="19">
        <v>57564931</v>
      </c>
      <c r="G154" s="53">
        <v>579285964833</v>
      </c>
      <c r="H154" s="52">
        <v>1334</v>
      </c>
      <c r="I154" s="5">
        <v>0.15</v>
      </c>
      <c r="J154" s="52" cm="1">
        <f t="array" ref="J15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201</v>
      </c>
      <c r="K154" s="56" t="s">
        <v>227</v>
      </c>
      <c r="L154" s="54" t="s">
        <v>172</v>
      </c>
      <c r="M154" t="s">
        <v>43</v>
      </c>
      <c r="N154" s="15" t="s">
        <v>85</v>
      </c>
      <c r="O154" s="5" t="s">
        <v>68</v>
      </c>
      <c r="P154" s="17" t="s">
        <v>69</v>
      </c>
      <c r="Q154" s="10" t="s">
        <v>229</v>
      </c>
      <c r="R154" s="11">
        <v>45117</v>
      </c>
      <c r="S154" s="10" t="s">
        <v>48</v>
      </c>
      <c r="T154" s="3" t="str">
        <f>IF(AND(ProtocolosAF[[#This Row],[STATUS]]="APROVADO",ProtocolosAF[[#This Row],[WAIVER]]=""),"Y","")</f>
        <v/>
      </c>
      <c r="U154" t="s">
        <v>412</v>
      </c>
      <c r="V154" s="16" t="str">
        <f t="shared" si="12"/>
        <v>4HVRO8CAVALCANTE DA COSTA/LUCA</v>
      </c>
      <c r="W154">
        <v>143</v>
      </c>
    </row>
    <row r="155" spans="1:23" hidden="1">
      <c r="A155" s="1">
        <v>45114</v>
      </c>
      <c r="B155" t="s">
        <v>10</v>
      </c>
      <c r="C155" t="s">
        <v>413</v>
      </c>
      <c r="D155" s="23" t="s">
        <v>414</v>
      </c>
      <c r="E155" t="s">
        <v>41</v>
      </c>
      <c r="F155" s="19">
        <v>57564931</v>
      </c>
      <c r="G155" s="53">
        <v>579375154065</v>
      </c>
      <c r="H155" s="52">
        <v>1347</v>
      </c>
      <c r="I155" s="5">
        <v>0.15</v>
      </c>
      <c r="J155" s="52" cm="1">
        <f t="array" ref="J15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203</v>
      </c>
      <c r="K155" s="56" t="s">
        <v>189</v>
      </c>
      <c r="L155" s="54" t="s">
        <v>76</v>
      </c>
      <c r="M155" t="s">
        <v>43</v>
      </c>
      <c r="N155" s="15" t="s">
        <v>67</v>
      </c>
      <c r="O155" s="5" t="s">
        <v>68</v>
      </c>
      <c r="P155" s="17" t="s">
        <v>69</v>
      </c>
      <c r="Q155" s="10" t="s">
        <v>222</v>
      </c>
      <c r="R155" s="11">
        <v>45117</v>
      </c>
      <c r="S155" s="10" t="s">
        <v>48</v>
      </c>
      <c r="T155" s="3" t="str">
        <f>IF(AND(ProtocolosAF[[#This Row],[STATUS]]="APROVADO",ProtocolosAF[[#This Row],[WAIVER]]=""),"Y","")</f>
        <v/>
      </c>
      <c r="U155" t="s">
        <v>415</v>
      </c>
      <c r="V155" s="16" t="str">
        <f t="shared" si="12"/>
        <v>RAERCSRANZINI/FABIOLA MRS</v>
      </c>
      <c r="W155">
        <v>145</v>
      </c>
    </row>
    <row r="156" spans="1:23" hidden="1">
      <c r="A156" s="1">
        <v>45114</v>
      </c>
      <c r="B156" t="s">
        <v>11</v>
      </c>
      <c r="C156" t="s">
        <v>416</v>
      </c>
      <c r="D156" s="23" t="s">
        <v>416</v>
      </c>
      <c r="E156" t="s">
        <v>41</v>
      </c>
      <c r="F156" s="19">
        <v>57564931</v>
      </c>
      <c r="G156" s="53">
        <v>579285964872</v>
      </c>
      <c r="H156" s="52">
        <v>1909</v>
      </c>
      <c r="I156" s="5">
        <v>0.12</v>
      </c>
      <c r="J156" s="52" cm="1">
        <f t="array" ref="J15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230</v>
      </c>
      <c r="K156" s="56" t="s">
        <v>99</v>
      </c>
      <c r="L156" s="54" t="s">
        <v>76</v>
      </c>
      <c r="M156" t="s">
        <v>43</v>
      </c>
      <c r="N156" s="15" t="s">
        <v>85</v>
      </c>
      <c r="O156" s="5" t="s">
        <v>417</v>
      </c>
      <c r="P156" s="17" t="s">
        <v>146</v>
      </c>
      <c r="Q156" s="10" t="s">
        <v>250</v>
      </c>
      <c r="R156" s="11">
        <v>45119</v>
      </c>
      <c r="S156" s="10" t="s">
        <v>48</v>
      </c>
      <c r="T156" s="3" t="str">
        <f>IF(AND(ProtocolosAF[[#This Row],[STATUS]]="APROVADO",ProtocolosAF[[#This Row],[WAIVER]]=""),"Y","")</f>
        <v/>
      </c>
      <c r="U156" t="s">
        <v>418</v>
      </c>
      <c r="V156" s="16" t="str">
        <f t="shared" si="12"/>
        <v xml:space="preserve">47TFY3NEGRISOLO/VINICIUS </v>
      </c>
      <c r="W156">
        <v>146</v>
      </c>
    </row>
    <row r="157" spans="1:23" hidden="1">
      <c r="A157" s="1">
        <v>45117</v>
      </c>
      <c r="B157" t="s">
        <v>11</v>
      </c>
      <c r="C157" t="s">
        <v>419</v>
      </c>
      <c r="D157" s="23" t="s">
        <v>419</v>
      </c>
      <c r="E157" t="s">
        <v>41</v>
      </c>
      <c r="F157" s="19">
        <v>57564931</v>
      </c>
      <c r="G157" s="53">
        <v>579285964752</v>
      </c>
      <c r="H157" s="52">
        <v>3482</v>
      </c>
      <c r="I157" s="5">
        <v>0.12</v>
      </c>
      <c r="J157" s="52" cm="1">
        <f t="array" ref="J15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418</v>
      </c>
      <c r="K157" s="56" t="s">
        <v>84</v>
      </c>
      <c r="L157" s="54" t="s">
        <v>66</v>
      </c>
      <c r="M157" t="s">
        <v>43</v>
      </c>
      <c r="N157" s="15" t="s">
        <v>85</v>
      </c>
      <c r="O157" s="5" t="s">
        <v>420</v>
      </c>
      <c r="P157" s="17" t="s">
        <v>69</v>
      </c>
      <c r="Q157" s="10" t="s">
        <v>353</v>
      </c>
      <c r="R157" s="11">
        <v>45117</v>
      </c>
      <c r="S157" s="10" t="s">
        <v>48</v>
      </c>
      <c r="T157" s="3" t="str">
        <f>IF(AND(ProtocolosAF[[#This Row],[STATUS]]="APROVADO",ProtocolosAF[[#This Row],[WAIVER]]=""),"Y","")</f>
        <v/>
      </c>
      <c r="U157" t="s">
        <v>421</v>
      </c>
      <c r="V157" s="16" t="str">
        <f t="shared" si="12"/>
        <v>4FR35SCOUTINHO BARBOSA/LILIANE MARIA</v>
      </c>
      <c r="W157">
        <v>144</v>
      </c>
    </row>
    <row r="158" spans="1:23" hidden="1">
      <c r="A158" s="1">
        <v>45117</v>
      </c>
      <c r="B158" t="s">
        <v>15</v>
      </c>
      <c r="C158" t="s">
        <v>422</v>
      </c>
      <c r="D158" s="23" t="s">
        <v>423</v>
      </c>
      <c r="E158" t="s">
        <v>41</v>
      </c>
      <c r="F158" s="19">
        <v>57564931</v>
      </c>
      <c r="G158" s="53">
        <v>579375167646</v>
      </c>
      <c r="H158" s="52">
        <v>2483</v>
      </c>
      <c r="I158" s="5">
        <v>0.1</v>
      </c>
      <c r="J158" s="52" cm="1">
        <f t="array" ref="J15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249</v>
      </c>
      <c r="K158" s="56" t="s">
        <v>75</v>
      </c>
      <c r="L158" s="54" t="s">
        <v>76</v>
      </c>
      <c r="M158" t="s">
        <v>43</v>
      </c>
      <c r="N158" s="15" t="s">
        <v>77</v>
      </c>
      <c r="O158" s="5" t="s">
        <v>391</v>
      </c>
      <c r="P158" s="17" t="s">
        <v>69</v>
      </c>
      <c r="Q158" s="10" t="s">
        <v>79</v>
      </c>
      <c r="R158" s="11">
        <v>45117</v>
      </c>
      <c r="S158" s="10" t="s">
        <v>48</v>
      </c>
      <c r="T158" s="3" t="str">
        <f>IF(AND(ProtocolosAF[[#This Row],[STATUS]]="APROVADO",ProtocolosAF[[#This Row],[WAIVER]]=""),"Y","")</f>
        <v/>
      </c>
      <c r="U158" t="s">
        <v>424</v>
      </c>
      <c r="V158" s="16" t="str">
        <f t="shared" si="12"/>
        <v>ZNBFNDVIEGAS/FABIO</v>
      </c>
      <c r="W158">
        <v>147</v>
      </c>
    </row>
    <row r="159" spans="1:23" hidden="1">
      <c r="A159" s="1">
        <v>45118</v>
      </c>
      <c r="B159" t="s">
        <v>11</v>
      </c>
      <c r="C159" t="s">
        <v>425</v>
      </c>
      <c r="D159" s="23" t="s">
        <v>425</v>
      </c>
      <c r="E159" t="s">
        <v>41</v>
      </c>
      <c r="F159" s="19">
        <v>57564931</v>
      </c>
      <c r="G159" s="53">
        <v>579285980077</v>
      </c>
      <c r="H159" s="52">
        <v>2423</v>
      </c>
      <c r="I159" s="5">
        <v>0.1</v>
      </c>
      <c r="J159" s="52" cm="1">
        <f t="array" ref="J15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243</v>
      </c>
      <c r="K159" s="56" t="s">
        <v>99</v>
      </c>
      <c r="L159" s="54" t="s">
        <v>76</v>
      </c>
      <c r="M159" t="s">
        <v>43</v>
      </c>
      <c r="N159" s="15" t="s">
        <v>85</v>
      </c>
      <c r="O159" s="5" t="s">
        <v>426</v>
      </c>
      <c r="P159" s="17" t="s">
        <v>146</v>
      </c>
      <c r="Q159" s="10" t="s">
        <v>250</v>
      </c>
      <c r="R159" s="11">
        <v>45119</v>
      </c>
      <c r="S159" s="10" t="s">
        <v>48</v>
      </c>
      <c r="T159" s="3" t="str">
        <f>IF(AND(ProtocolosAF[[#This Row],[STATUS]]="APROVADO",ProtocolosAF[[#This Row],[WAIVER]]=""),"Y","")</f>
        <v/>
      </c>
      <c r="U159" t="s">
        <v>427</v>
      </c>
      <c r="V159" s="16" t="str">
        <f t="shared" si="12"/>
        <v>445MBEPEREIRA/JEFFERSON MR</v>
      </c>
      <c r="W159">
        <v>148</v>
      </c>
    </row>
    <row r="160" spans="1:23" hidden="1">
      <c r="A160" s="1">
        <v>45119</v>
      </c>
      <c r="B160" t="s">
        <v>10</v>
      </c>
      <c r="C160" t="s">
        <v>428</v>
      </c>
      <c r="D160" s="23" t="s">
        <v>429</v>
      </c>
      <c r="E160" t="s">
        <v>73</v>
      </c>
      <c r="F160" s="19">
        <v>57994602</v>
      </c>
      <c r="G160" s="53">
        <v>574200484159</v>
      </c>
      <c r="H160" s="52">
        <v>336</v>
      </c>
      <c r="I160" s="5" t="s">
        <v>74</v>
      </c>
      <c r="J160" s="52" cm="1">
        <f t="array" ref="J16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336</v>
      </c>
      <c r="K160" s="56" t="s">
        <v>189</v>
      </c>
      <c r="L160" s="54" t="s">
        <v>172</v>
      </c>
      <c r="M160" t="s">
        <v>43</v>
      </c>
      <c r="N160" s="15" t="s">
        <v>67</v>
      </c>
      <c r="O160" s="5" t="s">
        <v>430</v>
      </c>
      <c r="P160" s="17" t="s">
        <v>69</v>
      </c>
      <c r="Q160" s="10" t="s">
        <v>222</v>
      </c>
      <c r="R160" s="11">
        <v>45120</v>
      </c>
      <c r="S160" s="10" t="s">
        <v>173</v>
      </c>
      <c r="T160" s="3" t="str">
        <f>IF(AND(ProtocolosAF[[#This Row],[STATUS]]="APROVADO",ProtocolosAF[[#This Row],[WAIVER]]=""),"Y","")</f>
        <v/>
      </c>
      <c r="U160" t="s">
        <v>431</v>
      </c>
      <c r="V160" s="16" t="str">
        <f t="shared" si="12"/>
        <v>RAUMASAYOUB FERNANDES/MIRIAM MRS</v>
      </c>
      <c r="W160">
        <v>149</v>
      </c>
    </row>
    <row r="161" spans="1:23" hidden="1">
      <c r="A161" s="1">
        <v>45119</v>
      </c>
      <c r="B161" t="s">
        <v>10</v>
      </c>
      <c r="C161" t="s">
        <v>432</v>
      </c>
      <c r="D161" s="23" t="s">
        <v>433</v>
      </c>
      <c r="E161" t="s">
        <v>73</v>
      </c>
      <c r="F161" s="19">
        <v>57994602</v>
      </c>
      <c r="G161" s="53">
        <v>574200484158</v>
      </c>
      <c r="H161" s="52">
        <v>336</v>
      </c>
      <c r="I161" s="5" t="s">
        <v>74</v>
      </c>
      <c r="J161" s="52" cm="1">
        <f t="array" ref="J16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336</v>
      </c>
      <c r="K161" s="56" t="s">
        <v>189</v>
      </c>
      <c r="L161" s="54" t="s">
        <v>172</v>
      </c>
      <c r="M161" t="s">
        <v>43</v>
      </c>
      <c r="N161" s="15" t="s">
        <v>67</v>
      </c>
      <c r="O161" s="5" t="s">
        <v>430</v>
      </c>
      <c r="P161" s="17" t="s">
        <v>69</v>
      </c>
      <c r="Q161" s="10" t="s">
        <v>222</v>
      </c>
      <c r="R161" s="11">
        <v>45120</v>
      </c>
      <c r="S161" s="10" t="s">
        <v>173</v>
      </c>
      <c r="T161" s="3" t="str">
        <f>IF(AND(ProtocolosAF[[#This Row],[STATUS]]="APROVADO",ProtocolosAF[[#This Row],[WAIVER]]=""),"Y","")</f>
        <v/>
      </c>
      <c r="U161" t="s">
        <v>434</v>
      </c>
      <c r="V161" s="16" t="str">
        <f t="shared" si="12"/>
        <v>RENFFVTUFIK/MARGARETH MRS</v>
      </c>
      <c r="W161">
        <v>150</v>
      </c>
    </row>
    <row r="162" spans="1:23" hidden="1">
      <c r="A162" s="1">
        <v>45119</v>
      </c>
      <c r="B162" t="s">
        <v>11</v>
      </c>
      <c r="C162" t="s">
        <v>435</v>
      </c>
      <c r="D162" s="23" t="s">
        <v>435</v>
      </c>
      <c r="E162" t="s">
        <v>41</v>
      </c>
      <c r="F162" s="19">
        <v>57564931</v>
      </c>
      <c r="G162" s="53">
        <v>579057337114</v>
      </c>
      <c r="H162" s="52">
        <v>1197</v>
      </c>
      <c r="I162" s="5">
        <v>0.08</v>
      </c>
      <c r="J162" s="52" cm="1">
        <f t="array" ref="J16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96</v>
      </c>
      <c r="K162" s="56" t="s">
        <v>99</v>
      </c>
      <c r="L162" s="54" t="s">
        <v>76</v>
      </c>
      <c r="M162" t="s">
        <v>43</v>
      </c>
      <c r="N162" s="15" t="s">
        <v>85</v>
      </c>
      <c r="O162" s="5" t="s">
        <v>436</v>
      </c>
      <c r="P162" s="17" t="s">
        <v>46</v>
      </c>
      <c r="Q162" s="10" t="s">
        <v>250</v>
      </c>
      <c r="R162" s="11">
        <v>45124</v>
      </c>
      <c r="S162" s="10" t="s">
        <v>48</v>
      </c>
      <c r="T162" s="3" t="str">
        <f>IF(AND(ProtocolosAF[[#This Row],[STATUS]]="APROVADO",ProtocolosAF[[#This Row],[WAIVER]]=""),"Y","")</f>
        <v/>
      </c>
      <c r="U162" t="s">
        <v>437</v>
      </c>
      <c r="V162" s="16" t="str">
        <f t="shared" si="12"/>
        <v>4NYBU8TAKANO/KATSUMI MR</v>
      </c>
      <c r="W162">
        <v>151</v>
      </c>
    </row>
    <row r="163" spans="1:23" hidden="1">
      <c r="A163" s="1">
        <v>45119</v>
      </c>
      <c r="B163" t="s">
        <v>11</v>
      </c>
      <c r="C163" t="s">
        <v>438</v>
      </c>
      <c r="D163" s="23" t="s">
        <v>438</v>
      </c>
      <c r="E163" t="s">
        <v>41</v>
      </c>
      <c r="F163" s="19">
        <v>57564931</v>
      </c>
      <c r="G163" s="53">
        <v>579057337109</v>
      </c>
      <c r="H163" s="52">
        <v>1248</v>
      </c>
      <c r="I163" s="5">
        <v>0.08</v>
      </c>
      <c r="J163" s="52" cm="1">
        <f t="array" ref="J16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100</v>
      </c>
      <c r="K163" s="56" t="s">
        <v>99</v>
      </c>
      <c r="L163" s="54" t="s">
        <v>76</v>
      </c>
      <c r="M163" t="s">
        <v>43</v>
      </c>
      <c r="N163" s="15" t="s">
        <v>85</v>
      </c>
      <c r="O163" s="5" t="s">
        <v>439</v>
      </c>
      <c r="P163" s="17" t="s">
        <v>46</v>
      </c>
      <c r="Q163" s="10" t="s">
        <v>250</v>
      </c>
      <c r="R163" s="11">
        <v>45124</v>
      </c>
      <c r="S163" s="10" t="s">
        <v>48</v>
      </c>
      <c r="T163" s="3" t="str">
        <f>IF(AND(ProtocolosAF[[#This Row],[STATUS]]="APROVADO",ProtocolosAF[[#This Row],[WAIVER]]=""),"Y","")</f>
        <v/>
      </c>
      <c r="U163" t="s">
        <v>440</v>
      </c>
      <c r="V163" s="16" t="str">
        <f t="shared" si="12"/>
        <v>4OHTREDE LIMA COLEONI/JOAO RICARDO MR</v>
      </c>
      <c r="W163">
        <v>152</v>
      </c>
    </row>
    <row r="164" spans="1:23" hidden="1">
      <c r="A164" s="1">
        <v>45120</v>
      </c>
      <c r="B164" t="s">
        <v>10</v>
      </c>
      <c r="C164" t="s">
        <v>441</v>
      </c>
      <c r="D164" s="23" t="s">
        <v>442</v>
      </c>
      <c r="E164" t="s">
        <v>73</v>
      </c>
      <c r="F164" s="19">
        <v>57994602</v>
      </c>
      <c r="G164" s="53">
        <v>574200484172</v>
      </c>
      <c r="H164" s="52">
        <v>84</v>
      </c>
      <c r="I164" s="5" t="s">
        <v>74</v>
      </c>
      <c r="J164" s="52" cm="1">
        <f t="array" ref="J16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84</v>
      </c>
      <c r="K164" s="56" t="s">
        <v>144</v>
      </c>
      <c r="L164" s="54" t="s">
        <v>172</v>
      </c>
      <c r="M164" t="s">
        <v>43</v>
      </c>
      <c r="N164" s="15" t="s">
        <v>67</v>
      </c>
      <c r="O164" s="5" t="s">
        <v>443</v>
      </c>
      <c r="P164" s="17" t="s">
        <v>146</v>
      </c>
      <c r="Q164" s="10" t="s">
        <v>222</v>
      </c>
      <c r="R164" s="11">
        <v>45124</v>
      </c>
      <c r="S164" s="10" t="s">
        <v>173</v>
      </c>
      <c r="T164" s="3" t="str">
        <f>IF(AND(ProtocolosAF[[#This Row],[STATUS]]="APROVADO",ProtocolosAF[[#This Row],[WAIVER]]=""),"Y","")</f>
        <v/>
      </c>
      <c r="U164" t="s">
        <v>444</v>
      </c>
      <c r="V164" s="16" t="str">
        <f t="shared" si="12"/>
        <v>ZWGHFR1.1LOPES VIEIRA SANTOS/ANA PAULA</v>
      </c>
      <c r="W164">
        <v>154</v>
      </c>
    </row>
    <row r="165" spans="1:23" hidden="1">
      <c r="A165" s="1">
        <v>45120</v>
      </c>
      <c r="B165" t="s">
        <v>10</v>
      </c>
      <c r="C165" t="s">
        <v>441</v>
      </c>
      <c r="D165" s="23" t="s">
        <v>442</v>
      </c>
      <c r="E165" t="s">
        <v>73</v>
      </c>
      <c r="F165" s="19">
        <v>57994602</v>
      </c>
      <c r="G165" s="53">
        <v>574200484176</v>
      </c>
      <c r="H165" s="52">
        <v>134</v>
      </c>
      <c r="I165" s="5" t="s">
        <v>74</v>
      </c>
      <c r="J165" s="52" cm="1">
        <f t="array" ref="J16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134</v>
      </c>
      <c r="K165" s="56" t="s">
        <v>144</v>
      </c>
      <c r="L165" s="54" t="s">
        <v>172</v>
      </c>
      <c r="M165" t="s">
        <v>43</v>
      </c>
      <c r="N165" s="15" t="s">
        <v>67</v>
      </c>
      <c r="O165" s="5" t="s">
        <v>443</v>
      </c>
      <c r="P165" s="17" t="s">
        <v>146</v>
      </c>
      <c r="Q165" s="10" t="s">
        <v>222</v>
      </c>
      <c r="R165" s="11">
        <v>45124</v>
      </c>
      <c r="S165" s="10" t="s">
        <v>173</v>
      </c>
      <c r="T165" s="3" t="str">
        <f>IF(AND(ProtocolosAF[[#This Row],[STATUS]]="APROVADO",ProtocolosAF[[#This Row],[WAIVER]]=""),"Y","")</f>
        <v/>
      </c>
      <c r="U165" t="s">
        <v>445</v>
      </c>
      <c r="V165" s="16" t="str">
        <f t="shared" si="12"/>
        <v>ZWGHFR2.1DEL REY/SILVIA</v>
      </c>
      <c r="W165">
        <v>154</v>
      </c>
    </row>
    <row r="166" spans="1:23" hidden="1">
      <c r="A166" s="1">
        <v>45120</v>
      </c>
      <c r="B166" t="s">
        <v>13</v>
      </c>
      <c r="C166" t="s">
        <v>446</v>
      </c>
      <c r="D166" s="23" t="s">
        <v>446</v>
      </c>
      <c r="E166" t="s">
        <v>41</v>
      </c>
      <c r="F166" s="19">
        <v>57504591</v>
      </c>
      <c r="G166" s="53">
        <v>579780815229</v>
      </c>
      <c r="H166" s="52">
        <v>508</v>
      </c>
      <c r="I166" s="5">
        <v>0.2</v>
      </c>
      <c r="J166" s="52" cm="1">
        <f t="array" ref="J16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102</v>
      </c>
      <c r="K166" s="56" t="s">
        <v>151</v>
      </c>
      <c r="L166" s="54" t="s">
        <v>76</v>
      </c>
      <c r="M166" t="s">
        <v>43</v>
      </c>
      <c r="N166" s="15" t="s">
        <v>77</v>
      </c>
      <c r="O166" s="5" t="s">
        <v>372</v>
      </c>
      <c r="P166" s="17" t="s">
        <v>69</v>
      </c>
      <c r="Q166" s="10" t="s">
        <v>168</v>
      </c>
      <c r="R166" s="11">
        <v>45120</v>
      </c>
      <c r="S166" s="10" t="s">
        <v>48</v>
      </c>
      <c r="T166" s="3" t="str">
        <f>IF(AND(ProtocolosAF[[#This Row],[STATUS]]="APROVADO",ProtocolosAF[[#This Row],[WAIVER]]=""),"Y","")</f>
        <v/>
      </c>
      <c r="U166" t="s">
        <v>447</v>
      </c>
      <c r="V166" s="16" t="str">
        <f t="shared" si="12"/>
        <v>4J7JIPCOMUNE ODININO/ANDRE MR</v>
      </c>
      <c r="W166">
        <v>153</v>
      </c>
    </row>
    <row r="167" spans="1:23" hidden="1">
      <c r="A167" s="1">
        <v>45120</v>
      </c>
      <c r="B167" t="s">
        <v>13</v>
      </c>
      <c r="C167" t="s">
        <v>446</v>
      </c>
      <c r="D167" s="23" t="s">
        <v>446</v>
      </c>
      <c r="E167" t="s">
        <v>41</v>
      </c>
      <c r="F167" s="19">
        <v>57504591</v>
      </c>
      <c r="G167" s="53">
        <v>579780815231</v>
      </c>
      <c r="H167" s="52">
        <v>508</v>
      </c>
      <c r="I167" s="5">
        <v>0.2</v>
      </c>
      <c r="J167" s="52" cm="1">
        <f t="array" ref="J16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102</v>
      </c>
      <c r="K167" s="56" t="s">
        <v>151</v>
      </c>
      <c r="L167" s="54" t="s">
        <v>76</v>
      </c>
      <c r="M167" t="s">
        <v>43</v>
      </c>
      <c r="N167" s="15" t="s">
        <v>77</v>
      </c>
      <c r="O167" s="5" t="s">
        <v>372</v>
      </c>
      <c r="P167" s="17" t="s">
        <v>69</v>
      </c>
      <c r="Q167" s="10" t="s">
        <v>168</v>
      </c>
      <c r="R167" s="11">
        <v>45120</v>
      </c>
      <c r="S167" s="10" t="s">
        <v>48</v>
      </c>
      <c r="T167" s="3" t="str">
        <f>IF(AND(ProtocolosAF[[#This Row],[STATUS]]="APROVADO",ProtocolosAF[[#This Row],[WAIVER]]=""),"Y","")</f>
        <v/>
      </c>
      <c r="U167" t="s">
        <v>448</v>
      </c>
      <c r="V167" s="16" t="str">
        <f t="shared" si="12"/>
        <v>4J7JIPPEDROSO/JONAS MR</v>
      </c>
      <c r="W167">
        <v>153</v>
      </c>
    </row>
    <row r="168" spans="1:23" hidden="1">
      <c r="A168" s="1">
        <v>45120</v>
      </c>
      <c r="B168" t="s">
        <v>13</v>
      </c>
      <c r="C168" t="s">
        <v>446</v>
      </c>
      <c r="D168" s="23" t="s">
        <v>446</v>
      </c>
      <c r="E168" t="s">
        <v>41</v>
      </c>
      <c r="F168" s="19">
        <v>57504591</v>
      </c>
      <c r="G168" s="53">
        <v>579780815233</v>
      </c>
      <c r="H168" s="52">
        <v>508</v>
      </c>
      <c r="I168" s="5">
        <v>0.2</v>
      </c>
      <c r="J168" s="52" cm="1">
        <f t="array" ref="J16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102</v>
      </c>
      <c r="K168" s="56" t="s">
        <v>151</v>
      </c>
      <c r="L168" s="54" t="s">
        <v>76</v>
      </c>
      <c r="M168" t="s">
        <v>43</v>
      </c>
      <c r="N168" s="15" t="s">
        <v>77</v>
      </c>
      <c r="O168" s="5" t="s">
        <v>372</v>
      </c>
      <c r="P168" s="17" t="s">
        <v>69</v>
      </c>
      <c r="Q168" s="10" t="s">
        <v>168</v>
      </c>
      <c r="R168" s="11">
        <v>45120</v>
      </c>
      <c r="S168" s="10" t="s">
        <v>48</v>
      </c>
      <c r="T168" s="3" t="str">
        <f>IF(AND(ProtocolosAF[[#This Row],[STATUS]]="APROVADO",ProtocolosAF[[#This Row],[WAIVER]]=""),"Y","")</f>
        <v/>
      </c>
      <c r="U168" t="s">
        <v>449</v>
      </c>
      <c r="V168" s="16" t="str">
        <f t="shared" si="12"/>
        <v>4J7JIPSAES/CLEBER MR</v>
      </c>
      <c r="W168">
        <v>153</v>
      </c>
    </row>
    <row r="169" spans="1:23" hidden="1">
      <c r="A169" s="1">
        <v>45120</v>
      </c>
      <c r="B169" t="s">
        <v>13</v>
      </c>
      <c r="C169" t="s">
        <v>446</v>
      </c>
      <c r="D169" s="23" t="s">
        <v>446</v>
      </c>
      <c r="E169" t="s">
        <v>41</v>
      </c>
      <c r="F169" s="19">
        <v>57504591</v>
      </c>
      <c r="G169" s="53">
        <v>579780815235</v>
      </c>
      <c r="H169" s="52">
        <v>508</v>
      </c>
      <c r="I169" s="5">
        <v>0.2</v>
      </c>
      <c r="J169" s="52" cm="1">
        <f t="array" ref="J16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102</v>
      </c>
      <c r="K169" s="56" t="s">
        <v>151</v>
      </c>
      <c r="L169" s="54" t="s">
        <v>76</v>
      </c>
      <c r="M169" t="s">
        <v>43</v>
      </c>
      <c r="N169" s="15" t="s">
        <v>77</v>
      </c>
      <c r="O169" s="5" t="s">
        <v>372</v>
      </c>
      <c r="P169" s="17" t="s">
        <v>69</v>
      </c>
      <c r="Q169" s="10" t="s">
        <v>168</v>
      </c>
      <c r="R169" s="11">
        <v>45120</v>
      </c>
      <c r="S169" s="10" t="s">
        <v>48</v>
      </c>
      <c r="T169" s="3" t="str">
        <f>IF(AND(ProtocolosAF[[#This Row],[STATUS]]="APROVADO",ProtocolosAF[[#This Row],[WAIVER]]=""),"Y","")</f>
        <v/>
      </c>
      <c r="U169" t="s">
        <v>450</v>
      </c>
      <c r="V169" s="16" t="str">
        <f t="shared" si="12"/>
        <v>4J7JIPSILVA ODININO/JAIR MR</v>
      </c>
      <c r="W169">
        <v>153</v>
      </c>
    </row>
    <row r="170" spans="1:23" hidden="1">
      <c r="A170" s="1">
        <v>45120</v>
      </c>
      <c r="B170" t="s">
        <v>13</v>
      </c>
      <c r="C170" t="s">
        <v>446</v>
      </c>
      <c r="D170" s="23" t="s">
        <v>446</v>
      </c>
      <c r="E170" t="s">
        <v>41</v>
      </c>
      <c r="F170" s="19">
        <v>57504591</v>
      </c>
      <c r="G170" s="53">
        <v>579780815237</v>
      </c>
      <c r="H170" s="52">
        <v>508</v>
      </c>
      <c r="I170" s="5">
        <v>0.2</v>
      </c>
      <c r="J170" s="52" cm="1">
        <f t="array" ref="J17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102</v>
      </c>
      <c r="K170" s="56" t="s">
        <v>151</v>
      </c>
      <c r="L170" s="54" t="s">
        <v>76</v>
      </c>
      <c r="M170" t="s">
        <v>43</v>
      </c>
      <c r="N170" s="15" t="s">
        <v>77</v>
      </c>
      <c r="O170" s="5" t="s">
        <v>372</v>
      </c>
      <c r="P170" s="17" t="s">
        <v>69</v>
      </c>
      <c r="Q170" s="10" t="s">
        <v>168</v>
      </c>
      <c r="R170" s="11">
        <v>45120</v>
      </c>
      <c r="S170" s="10" t="s">
        <v>48</v>
      </c>
      <c r="T170" s="3" t="str">
        <f>IF(AND(ProtocolosAF[[#This Row],[STATUS]]="APROVADO",ProtocolosAF[[#This Row],[WAIVER]]=""),"Y","")</f>
        <v/>
      </c>
      <c r="U170" t="s">
        <v>451</v>
      </c>
      <c r="V170" s="16" t="str">
        <f t="shared" si="12"/>
        <v>4J7JIPTAVARES DE LIMA PEDROSO/ENGRACIA MRS</v>
      </c>
      <c r="W170">
        <v>153</v>
      </c>
    </row>
    <row r="171" spans="1:23" hidden="1">
      <c r="A171" s="1">
        <v>45120</v>
      </c>
      <c r="B171" t="s">
        <v>13</v>
      </c>
      <c r="C171" t="s">
        <v>446</v>
      </c>
      <c r="D171" s="23" t="s">
        <v>446</v>
      </c>
      <c r="E171" t="s">
        <v>41</v>
      </c>
      <c r="F171" s="19">
        <v>57504591</v>
      </c>
      <c r="G171" s="53">
        <v>579780815239</v>
      </c>
      <c r="H171" s="52">
        <v>508</v>
      </c>
      <c r="I171" s="5">
        <v>0.2</v>
      </c>
      <c r="J171" s="52" cm="1">
        <f t="array" ref="J17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102</v>
      </c>
      <c r="K171" s="56" t="s">
        <v>151</v>
      </c>
      <c r="L171" s="54" t="s">
        <v>76</v>
      </c>
      <c r="M171" t="s">
        <v>43</v>
      </c>
      <c r="N171" s="15" t="s">
        <v>77</v>
      </c>
      <c r="O171" s="5" t="s">
        <v>372</v>
      </c>
      <c r="P171" s="17"/>
      <c r="Q171" s="10" t="s">
        <v>168</v>
      </c>
      <c r="R171" s="11">
        <v>45120</v>
      </c>
      <c r="S171" s="10" t="s">
        <v>48</v>
      </c>
      <c r="T171" s="3" t="str">
        <f>IF(AND(ProtocolosAF[[#This Row],[STATUS]]="APROVADO",ProtocolosAF[[#This Row],[WAIVER]]=""),"Y","")</f>
        <v/>
      </c>
      <c r="U171" t="s">
        <v>452</v>
      </c>
      <c r="V171" s="16" t="str">
        <f t="shared" si="12"/>
        <v>4J7JIPTAVARES DE LIMA PEDROSO/LIVIA MRS</v>
      </c>
      <c r="W171">
        <v>153</v>
      </c>
    </row>
    <row r="172" spans="1:23" hidden="1">
      <c r="A172" s="1">
        <v>45120</v>
      </c>
      <c r="B172" t="s">
        <v>13</v>
      </c>
      <c r="C172" t="s">
        <v>446</v>
      </c>
      <c r="D172" s="23" t="s">
        <v>446</v>
      </c>
      <c r="E172" t="s">
        <v>41</v>
      </c>
      <c r="F172" s="19">
        <v>57504591</v>
      </c>
      <c r="G172" s="53">
        <v>579780815241</v>
      </c>
      <c r="H172" s="52">
        <v>508</v>
      </c>
      <c r="I172" s="5">
        <v>0.2</v>
      </c>
      <c r="J172" s="52" cm="1">
        <f t="array" ref="J17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102</v>
      </c>
      <c r="K172" s="56" t="s">
        <v>151</v>
      </c>
      <c r="L172" s="54" t="s">
        <v>76</v>
      </c>
      <c r="M172" t="s">
        <v>43</v>
      </c>
      <c r="N172" s="15" t="s">
        <v>77</v>
      </c>
      <c r="O172" s="5" t="s">
        <v>372</v>
      </c>
      <c r="P172" s="17" t="s">
        <v>69</v>
      </c>
      <c r="Q172" s="10" t="s">
        <v>168</v>
      </c>
      <c r="R172" s="11">
        <v>45120</v>
      </c>
      <c r="S172" s="10" t="s">
        <v>48</v>
      </c>
      <c r="T172" s="3" t="str">
        <f>IF(AND(ProtocolosAF[[#This Row],[STATUS]]="APROVADO",ProtocolosAF[[#This Row],[WAIVER]]=""),"Y","")</f>
        <v/>
      </c>
      <c r="U172" t="s">
        <v>453</v>
      </c>
      <c r="V172" s="16" t="str">
        <f t="shared" si="12"/>
        <v>4J7JIPTAVARES DE LIMA PEDROSO/MAYARA MRS</v>
      </c>
      <c r="W172">
        <v>153</v>
      </c>
    </row>
    <row r="173" spans="1:23" hidden="1">
      <c r="A173" s="1">
        <v>45120</v>
      </c>
      <c r="B173" t="s">
        <v>13</v>
      </c>
      <c r="C173" t="s">
        <v>446</v>
      </c>
      <c r="D173" s="23" t="s">
        <v>446</v>
      </c>
      <c r="E173" t="s">
        <v>41</v>
      </c>
      <c r="F173" s="19">
        <v>57504591</v>
      </c>
      <c r="G173" s="53">
        <v>579780815243</v>
      </c>
      <c r="H173" s="52">
        <v>508</v>
      </c>
      <c r="I173" s="5">
        <v>0.2</v>
      </c>
      <c r="J173" s="52" cm="1">
        <f t="array" ref="J17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102</v>
      </c>
      <c r="K173" s="56" t="s">
        <v>151</v>
      </c>
      <c r="L173" s="54" t="s">
        <v>76</v>
      </c>
      <c r="M173" t="s">
        <v>43</v>
      </c>
      <c r="N173" s="15" t="s">
        <v>77</v>
      </c>
      <c r="O173" s="5" t="s">
        <v>372</v>
      </c>
      <c r="P173" s="17" t="s">
        <v>69</v>
      </c>
      <c r="Q173" s="10" t="s">
        <v>168</v>
      </c>
      <c r="R173" s="11">
        <v>45120</v>
      </c>
      <c r="S173" s="10" t="s">
        <v>48</v>
      </c>
      <c r="T173" s="3" t="str">
        <f>IF(AND(ProtocolosAF[[#This Row],[STATUS]]="APROVADO",ProtocolosAF[[#This Row],[WAIVER]]=""),"Y","")</f>
        <v/>
      </c>
      <c r="U173" t="s">
        <v>454</v>
      </c>
      <c r="V173" s="16" t="str">
        <f t="shared" si="12"/>
        <v>4J7JIPTAVARES PEREIRA SAES/AMANDA MRS</v>
      </c>
      <c r="W173">
        <v>153</v>
      </c>
    </row>
    <row r="174" spans="1:23" hidden="1">
      <c r="A174" s="1">
        <v>45120</v>
      </c>
      <c r="B174" t="s">
        <v>13</v>
      </c>
      <c r="C174" t="s">
        <v>446</v>
      </c>
      <c r="D174" s="23" t="s">
        <v>446</v>
      </c>
      <c r="E174" t="s">
        <v>41</v>
      </c>
      <c r="F174" s="19">
        <v>57504591</v>
      </c>
      <c r="G174" s="53">
        <v>579780815245</v>
      </c>
      <c r="H174" s="52">
        <v>508</v>
      </c>
      <c r="I174" s="5">
        <v>0.2</v>
      </c>
      <c r="J174" s="52" cm="1">
        <f t="array" ref="J17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102</v>
      </c>
      <c r="K174" s="56" t="s">
        <v>151</v>
      </c>
      <c r="L174" s="54" t="s">
        <v>76</v>
      </c>
      <c r="M174" t="s">
        <v>43</v>
      </c>
      <c r="N174" s="15" t="s">
        <v>77</v>
      </c>
      <c r="O174" s="5" t="s">
        <v>372</v>
      </c>
      <c r="P174" s="17" t="s">
        <v>69</v>
      </c>
      <c r="Q174" s="10" t="s">
        <v>168</v>
      </c>
      <c r="R174" s="11">
        <v>45120</v>
      </c>
      <c r="S174" s="10" t="s">
        <v>48</v>
      </c>
      <c r="T174" s="3" t="str">
        <f>IF(AND(ProtocolosAF[[#This Row],[STATUS]]="APROVADO",ProtocolosAF[[#This Row],[WAIVER]]=""),"Y","")</f>
        <v/>
      </c>
      <c r="U174" t="s">
        <v>455</v>
      </c>
      <c r="V174" s="16" t="str">
        <f t="shared" si="12"/>
        <v>4J7JIPVIEIRA DE TOLEDO/RENATA MRS</v>
      </c>
      <c r="W174">
        <v>153</v>
      </c>
    </row>
    <row r="175" spans="1:23" hidden="1">
      <c r="A175" s="1">
        <v>45121</v>
      </c>
      <c r="B175" t="s">
        <v>10</v>
      </c>
      <c r="C175" t="s">
        <v>456</v>
      </c>
      <c r="D175" s="23" t="s">
        <v>456</v>
      </c>
      <c r="E175" t="s">
        <v>41</v>
      </c>
      <c r="F175" s="19"/>
      <c r="G175" s="53"/>
      <c r="H175" s="52">
        <v>2760</v>
      </c>
      <c r="I175" s="5">
        <v>0.2</v>
      </c>
      <c r="J175" s="52" t="str" cm="1">
        <f t="array" ref="J17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175" s="56" t="s">
        <v>189</v>
      </c>
      <c r="L175" s="54" t="s">
        <v>76</v>
      </c>
      <c r="M175" t="s">
        <v>100</v>
      </c>
      <c r="N175" s="15" t="s">
        <v>67</v>
      </c>
      <c r="O175" s="5" t="s">
        <v>457</v>
      </c>
      <c r="P175" s="17" t="s">
        <v>69</v>
      </c>
      <c r="Q175" s="10"/>
      <c r="R175" s="11"/>
      <c r="S175" s="10"/>
      <c r="T175" s="3" t="str">
        <f>IF(AND(ProtocolosAF[[#This Row],[STATUS]]="APROVADO",ProtocolosAF[[#This Row],[WAIVER]]=""),"Y","")</f>
        <v/>
      </c>
      <c r="U175" t="s">
        <v>458</v>
      </c>
      <c r="V175" s="16" t="str">
        <f t="shared" si="12"/>
        <v>38OPYKDASSOLER/GRAZIELA MRS</v>
      </c>
      <c r="W175">
        <v>156</v>
      </c>
    </row>
    <row r="176" spans="1:23" hidden="1">
      <c r="A176" s="1">
        <v>45121</v>
      </c>
      <c r="B176" t="s">
        <v>10</v>
      </c>
      <c r="C176" t="s">
        <v>456</v>
      </c>
      <c r="D176" s="23" t="s">
        <v>456</v>
      </c>
      <c r="E176" t="s">
        <v>41</v>
      </c>
      <c r="F176" s="19"/>
      <c r="G176" s="53"/>
      <c r="H176" s="52">
        <v>2760</v>
      </c>
      <c r="I176" s="5">
        <v>0.2</v>
      </c>
      <c r="J176" s="52" t="str" cm="1">
        <f t="array" ref="J17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176" s="56" t="s">
        <v>189</v>
      </c>
      <c r="L176" s="54" t="s">
        <v>76</v>
      </c>
      <c r="M176" t="s">
        <v>100</v>
      </c>
      <c r="N176" s="15" t="s">
        <v>67</v>
      </c>
      <c r="O176" s="5" t="s">
        <v>457</v>
      </c>
      <c r="P176" s="17" t="s">
        <v>69</v>
      </c>
      <c r="Q176" s="10"/>
      <c r="R176" s="11"/>
      <c r="S176" s="10"/>
      <c r="T176" s="3" t="str">
        <f>IF(AND(ProtocolosAF[[#This Row],[STATUS]]="APROVADO",ProtocolosAF[[#This Row],[WAIVER]]=""),"Y","")</f>
        <v/>
      </c>
      <c r="U176" t="s">
        <v>459</v>
      </c>
      <c r="V176" s="16" t="str">
        <f t="shared" si="12"/>
        <v>38OPYKDASSOLER MELLO FREIRE/AMANDA MRS</v>
      </c>
      <c r="W176">
        <v>156</v>
      </c>
    </row>
    <row r="177" spans="1:23" hidden="1">
      <c r="A177" s="1">
        <v>45121</v>
      </c>
      <c r="B177" t="s">
        <v>10</v>
      </c>
      <c r="C177" t="s">
        <v>456</v>
      </c>
      <c r="D177" s="23" t="s">
        <v>456</v>
      </c>
      <c r="E177" t="s">
        <v>41</v>
      </c>
      <c r="F177" s="19"/>
      <c r="G177" s="53"/>
      <c r="H177" s="52">
        <v>2760</v>
      </c>
      <c r="I177" s="5">
        <v>0.2</v>
      </c>
      <c r="J177" s="52" t="str" cm="1">
        <f t="array" ref="J17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177" s="56" t="s">
        <v>189</v>
      </c>
      <c r="L177" s="54" t="s">
        <v>76</v>
      </c>
      <c r="M177" t="s">
        <v>100</v>
      </c>
      <c r="N177" s="15" t="s">
        <v>67</v>
      </c>
      <c r="O177" s="5" t="s">
        <v>457</v>
      </c>
      <c r="P177" s="17" t="s">
        <v>69</v>
      </c>
      <c r="Q177" s="10"/>
      <c r="R177" s="11"/>
      <c r="S177" s="10"/>
      <c r="T177" s="3" t="str">
        <f>IF(AND(ProtocolosAF[[#This Row],[STATUS]]="APROVADO",ProtocolosAF[[#This Row],[WAIVER]]=""),"Y","")</f>
        <v/>
      </c>
      <c r="U177" t="s">
        <v>460</v>
      </c>
      <c r="V177" s="16" t="str">
        <f t="shared" si="12"/>
        <v>38OPYKDASSOLER MELLO FREIRE/VICTORIA MRS</v>
      </c>
      <c r="W177">
        <v>156</v>
      </c>
    </row>
    <row r="178" spans="1:23" hidden="1">
      <c r="A178" s="1">
        <v>45121</v>
      </c>
      <c r="B178" t="s">
        <v>10</v>
      </c>
      <c r="C178" t="s">
        <v>456</v>
      </c>
      <c r="D178" s="23" t="s">
        <v>456</v>
      </c>
      <c r="E178" t="s">
        <v>41</v>
      </c>
      <c r="F178" s="19"/>
      <c r="G178" s="53"/>
      <c r="H178" s="52">
        <v>2760</v>
      </c>
      <c r="I178" s="5">
        <v>0.2</v>
      </c>
      <c r="J178" s="52" t="str" cm="1">
        <f t="array" ref="J17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178" s="56" t="s">
        <v>189</v>
      </c>
      <c r="L178" s="54" t="s">
        <v>76</v>
      </c>
      <c r="M178" t="s">
        <v>100</v>
      </c>
      <c r="N178" s="15" t="s">
        <v>67</v>
      </c>
      <c r="O178" s="5" t="s">
        <v>457</v>
      </c>
      <c r="P178" s="17" t="s">
        <v>69</v>
      </c>
      <c r="Q178" s="10"/>
      <c r="R178" s="11"/>
      <c r="S178" s="10"/>
      <c r="T178" s="3" t="str">
        <f>IF(AND(ProtocolosAF[[#This Row],[STATUS]]="APROVADO",ProtocolosAF[[#This Row],[WAIVER]]=""),"Y","")</f>
        <v/>
      </c>
      <c r="U178" t="s">
        <v>461</v>
      </c>
      <c r="V178" s="16" t="str">
        <f t="shared" si="12"/>
        <v>38OPYKMELLO FREIRE NETO/MARIO MR</v>
      </c>
      <c r="W178">
        <v>156</v>
      </c>
    </row>
    <row r="179" spans="1:23" hidden="1">
      <c r="A179" s="1">
        <v>45125</v>
      </c>
      <c r="B179" t="s">
        <v>11</v>
      </c>
      <c r="C179" t="s">
        <v>462</v>
      </c>
      <c r="D179" s="23" t="s">
        <v>463</v>
      </c>
      <c r="E179" t="s">
        <v>41</v>
      </c>
      <c r="F179" s="19">
        <v>57564931</v>
      </c>
      <c r="G179" s="53">
        <v>579375222617</v>
      </c>
      <c r="H179" s="52">
        <v>1465</v>
      </c>
      <c r="I179" s="5">
        <v>0.08</v>
      </c>
      <c r="J179" s="52" cm="1">
        <f t="array" ref="J17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118</v>
      </c>
      <c r="K179" s="56" t="s">
        <v>99</v>
      </c>
      <c r="L179" s="54" t="s">
        <v>76</v>
      </c>
      <c r="M179" t="s">
        <v>43</v>
      </c>
      <c r="N179" s="15" t="s">
        <v>85</v>
      </c>
      <c r="O179" s="5" t="s">
        <v>221</v>
      </c>
      <c r="P179" s="17" t="s">
        <v>46</v>
      </c>
      <c r="Q179" s="10" t="s">
        <v>250</v>
      </c>
      <c r="R179" s="11">
        <v>45128</v>
      </c>
      <c r="S179" s="10" t="s">
        <v>48</v>
      </c>
      <c r="T179" s="3" t="str">
        <f>IF(AND(ProtocolosAF[[#This Row],[STATUS]]="APROVADO",ProtocolosAF[[#This Row],[WAIVER]]=""),"Y","")</f>
        <v/>
      </c>
      <c r="U179" t="s">
        <v>464</v>
      </c>
      <c r="V179" s="16" t="str">
        <f t="shared" si="12"/>
        <v>RKISXAPORSANI/JORGE LUIS</v>
      </c>
      <c r="W179">
        <v>158</v>
      </c>
    </row>
    <row r="180" spans="1:23" hidden="1">
      <c r="A180" s="1">
        <v>45125</v>
      </c>
      <c r="B180" t="s">
        <v>11</v>
      </c>
      <c r="C180" t="s">
        <v>465</v>
      </c>
      <c r="D180" s="23" t="s">
        <v>465</v>
      </c>
      <c r="E180" t="s">
        <v>41</v>
      </c>
      <c r="F180" s="19"/>
      <c r="G180" s="53"/>
      <c r="H180" s="52">
        <v>3118</v>
      </c>
      <c r="I180" s="5">
        <v>0.08</v>
      </c>
      <c r="J180" s="52" t="str" cm="1">
        <f t="array" ref="J18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180" s="56" t="s">
        <v>99</v>
      </c>
      <c r="L180" s="54" t="s">
        <v>76</v>
      </c>
      <c r="M180" t="s">
        <v>100</v>
      </c>
      <c r="N180" s="15" t="s">
        <v>85</v>
      </c>
      <c r="O180" s="5" t="s">
        <v>68</v>
      </c>
      <c r="P180" s="17" t="s">
        <v>46</v>
      </c>
      <c r="Q180" s="10"/>
      <c r="R180" s="11"/>
      <c r="S180" s="10"/>
      <c r="T180" s="3" t="str">
        <f>IF(AND(ProtocolosAF[[#This Row],[STATUS]]="APROVADO",ProtocolosAF[[#This Row],[WAIVER]]=""),"Y","")</f>
        <v/>
      </c>
      <c r="U180" t="s">
        <v>466</v>
      </c>
      <c r="V180" s="16" t="str">
        <f t="shared" ref="V180:V188" si="13">_xlfn.CONCAT(C180,U180)</f>
        <v>49P5HFLUGLI/ADRIANO</v>
      </c>
      <c r="W180">
        <v>158</v>
      </c>
    </row>
    <row r="181" spans="1:23" hidden="1">
      <c r="A181" s="1">
        <v>45125</v>
      </c>
      <c r="B181" t="s">
        <v>13</v>
      </c>
      <c r="C181" t="s">
        <v>467</v>
      </c>
      <c r="D181" s="23" t="s">
        <v>467</v>
      </c>
      <c r="E181" t="s">
        <v>41</v>
      </c>
      <c r="F181" s="19">
        <v>57564931</v>
      </c>
      <c r="G181" s="53">
        <v>579057376636</v>
      </c>
      <c r="H181" s="52">
        <v>1515</v>
      </c>
      <c r="I181" s="5">
        <v>0.2</v>
      </c>
      <c r="J181" s="52" cm="1">
        <f t="array" ref="J18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303</v>
      </c>
      <c r="K181" s="56" t="s">
        <v>151</v>
      </c>
      <c r="L181" s="54" t="s">
        <v>76</v>
      </c>
      <c r="M181" t="s">
        <v>43</v>
      </c>
      <c r="N181" s="15" t="s">
        <v>44</v>
      </c>
      <c r="O181" s="5" t="s">
        <v>468</v>
      </c>
      <c r="P181" s="17" t="s">
        <v>69</v>
      </c>
      <c r="Q181" s="10" t="s">
        <v>168</v>
      </c>
      <c r="R181" s="11">
        <v>45126</v>
      </c>
      <c r="S181" s="10" t="s">
        <v>48</v>
      </c>
      <c r="T181" s="3" t="str">
        <f>IF(AND(ProtocolosAF[[#This Row],[STATUS]]="APROVADO",ProtocolosAF[[#This Row],[WAIVER]]=""),"Y","")</f>
        <v/>
      </c>
      <c r="U181" t="s">
        <v>469</v>
      </c>
      <c r="V181" s="16" t="str">
        <f t="shared" si="13"/>
        <v>2GU9QGKANOJIA/TANMAY MR</v>
      </c>
      <c r="W181">
        <v>159</v>
      </c>
    </row>
    <row r="182" spans="1:23" hidden="1">
      <c r="A182" s="1">
        <v>45126</v>
      </c>
      <c r="B182" t="s">
        <v>12</v>
      </c>
      <c r="C182" t="s">
        <v>470</v>
      </c>
      <c r="D182" s="23" t="s">
        <v>470</v>
      </c>
      <c r="E182" t="s">
        <v>41</v>
      </c>
      <c r="F182" s="19">
        <v>57564931</v>
      </c>
      <c r="G182" s="53">
        <v>579057376741</v>
      </c>
      <c r="H182" s="52">
        <v>2759</v>
      </c>
      <c r="I182" s="5">
        <v>0.1</v>
      </c>
      <c r="J182" s="52" cm="1">
        <f t="array" ref="J18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276</v>
      </c>
      <c r="K182" s="56" t="s">
        <v>227</v>
      </c>
      <c r="L182" s="54" t="s">
        <v>66</v>
      </c>
      <c r="M182" t="s">
        <v>43</v>
      </c>
      <c r="N182" s="15" t="s">
        <v>44</v>
      </c>
      <c r="O182" s="5" t="s">
        <v>352</v>
      </c>
      <c r="P182" s="17" t="s">
        <v>255</v>
      </c>
      <c r="Q182" s="10" t="s">
        <v>229</v>
      </c>
      <c r="R182" s="11">
        <v>45127</v>
      </c>
      <c r="S182" s="10" t="s">
        <v>48</v>
      </c>
      <c r="T182" s="3" t="str">
        <f>IF(AND(ProtocolosAF[[#This Row],[STATUS]]="APROVADO",ProtocolosAF[[#This Row],[WAIVER]]=""),"Y","")</f>
        <v/>
      </c>
      <c r="U182" t="s">
        <v>471</v>
      </c>
      <c r="V182" s="16" t="str">
        <f t="shared" si="13"/>
        <v xml:space="preserve">4BK5W7LAMBERTI/ELEMAR </v>
      </c>
      <c r="W182">
        <v>160</v>
      </c>
    </row>
    <row r="183" spans="1:23" hidden="1">
      <c r="A183" s="1">
        <v>45126</v>
      </c>
      <c r="B183" t="s">
        <v>12</v>
      </c>
      <c r="C183" t="s">
        <v>470</v>
      </c>
      <c r="D183" s="23" t="s">
        <v>470</v>
      </c>
      <c r="E183" t="s">
        <v>41</v>
      </c>
      <c r="F183" s="19">
        <v>57564931</v>
      </c>
      <c r="G183" s="53">
        <v>579057376743</v>
      </c>
      <c r="H183" s="52">
        <v>2759</v>
      </c>
      <c r="I183" s="5">
        <v>0.1</v>
      </c>
      <c r="J183" s="52" cm="1">
        <f t="array" ref="J18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276</v>
      </c>
      <c r="K183" s="56" t="s">
        <v>227</v>
      </c>
      <c r="L183" s="54" t="s">
        <v>66</v>
      </c>
      <c r="M183" t="s">
        <v>43</v>
      </c>
      <c r="N183" s="15" t="s">
        <v>44</v>
      </c>
      <c r="O183" s="5" t="s">
        <v>352</v>
      </c>
      <c r="P183" s="17" t="s">
        <v>255</v>
      </c>
      <c r="Q183" s="10" t="s">
        <v>229</v>
      </c>
      <c r="R183" s="11">
        <v>45127</v>
      </c>
      <c r="S183" s="10" t="s">
        <v>48</v>
      </c>
      <c r="T183" s="3" t="str">
        <f>IF(AND(ProtocolosAF[[#This Row],[STATUS]]="APROVADO",ProtocolosAF[[#This Row],[WAIVER]]=""),"Y","")</f>
        <v/>
      </c>
      <c r="U183" t="s">
        <v>472</v>
      </c>
      <c r="V183" s="16" t="str">
        <f t="shared" si="13"/>
        <v>4BK5W7MARIANI DA SILVA/NELSON</v>
      </c>
      <c r="W183">
        <v>160</v>
      </c>
    </row>
    <row r="184" spans="1:23" hidden="1">
      <c r="A184" s="1">
        <v>45126</v>
      </c>
      <c r="B184" t="s">
        <v>12</v>
      </c>
      <c r="C184" t="s">
        <v>473</v>
      </c>
      <c r="D184" s="23" t="s">
        <v>473</v>
      </c>
      <c r="E184" t="s">
        <v>41</v>
      </c>
      <c r="F184" s="19"/>
      <c r="G184" s="53"/>
      <c r="H184" s="52">
        <v>3105</v>
      </c>
      <c r="I184" s="5">
        <v>0.15</v>
      </c>
      <c r="J184" s="52" t="str" cm="1">
        <f t="array" ref="J18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184" s="56" t="s">
        <v>227</v>
      </c>
      <c r="L184" s="54" t="s">
        <v>66</v>
      </c>
      <c r="M184" t="s">
        <v>100</v>
      </c>
      <c r="N184" s="15" t="s">
        <v>44</v>
      </c>
      <c r="O184" s="5" t="s">
        <v>352</v>
      </c>
      <c r="P184" s="17" t="s">
        <v>255</v>
      </c>
      <c r="Q184" s="10"/>
      <c r="R184" s="11"/>
      <c r="S184" s="10"/>
      <c r="T184" s="3" t="str">
        <f>IF(AND(ProtocolosAF[[#This Row],[STATUS]]="APROVADO",ProtocolosAF[[#This Row],[WAIVER]]=""),"Y","")</f>
        <v/>
      </c>
      <c r="U184" t="s">
        <v>474</v>
      </c>
      <c r="V184" s="16" t="str">
        <f t="shared" si="13"/>
        <v>4BC8L6METZ/GILSON</v>
      </c>
      <c r="W184">
        <v>160</v>
      </c>
    </row>
    <row r="185" spans="1:23" hidden="1">
      <c r="A185" s="1">
        <v>45126</v>
      </c>
      <c r="B185" t="s">
        <v>12</v>
      </c>
      <c r="C185" t="s">
        <v>473</v>
      </c>
      <c r="D185" s="23" t="s">
        <v>473</v>
      </c>
      <c r="E185" t="s">
        <v>41</v>
      </c>
      <c r="F185" s="19"/>
      <c r="G185" s="53"/>
      <c r="H185" s="52">
        <v>3105</v>
      </c>
      <c r="I185" s="5">
        <v>0.15</v>
      </c>
      <c r="J185" s="52" t="str" cm="1">
        <f t="array" ref="J18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185" s="56" t="s">
        <v>227</v>
      </c>
      <c r="L185" s="54" t="s">
        <v>66</v>
      </c>
      <c r="M185" t="s">
        <v>100</v>
      </c>
      <c r="N185" s="15" t="s">
        <v>44</v>
      </c>
      <c r="O185" s="5" t="s">
        <v>352</v>
      </c>
      <c r="P185" s="17" t="s">
        <v>255</v>
      </c>
      <c r="Q185" s="10"/>
      <c r="R185" s="11"/>
      <c r="S185" s="10"/>
      <c r="T185" s="3" t="str">
        <f>IF(AND(ProtocolosAF[[#This Row],[STATUS]]="APROVADO",ProtocolosAF[[#This Row],[WAIVER]]=""),"Y","")</f>
        <v/>
      </c>
      <c r="U185" t="s">
        <v>475</v>
      </c>
      <c r="V185" s="16" t="str">
        <f t="shared" si="13"/>
        <v>4BC8L6WOLFF/EGON</v>
      </c>
      <c r="W185">
        <v>160</v>
      </c>
    </row>
    <row r="186" spans="1:23" hidden="1">
      <c r="A186" s="1">
        <v>45125</v>
      </c>
      <c r="B186" t="s">
        <v>13</v>
      </c>
      <c r="C186" t="s">
        <v>476</v>
      </c>
      <c r="D186" s="23" t="s">
        <v>477</v>
      </c>
      <c r="E186" t="s">
        <v>41</v>
      </c>
      <c r="F186" s="19">
        <v>57564931</v>
      </c>
      <c r="G186" s="53">
        <v>579375222615</v>
      </c>
      <c r="H186" s="52">
        <v>1073</v>
      </c>
      <c r="I186" s="5">
        <v>0.15</v>
      </c>
      <c r="J186" s="52" cm="1">
        <f t="array" ref="J18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161</v>
      </c>
      <c r="K186" s="56" t="s">
        <v>151</v>
      </c>
      <c r="L186" s="54" t="s">
        <v>76</v>
      </c>
      <c r="M186" t="s">
        <v>43</v>
      </c>
      <c r="N186" s="15" t="s">
        <v>44</v>
      </c>
      <c r="O186" s="5" t="s">
        <v>167</v>
      </c>
      <c r="P186" s="17" t="s">
        <v>46</v>
      </c>
      <c r="Q186" s="10" t="s">
        <v>168</v>
      </c>
      <c r="R186" s="11">
        <v>45126</v>
      </c>
      <c r="S186" s="10" t="s">
        <v>48</v>
      </c>
      <c r="T186" s="3" t="str">
        <f>IF(AND(ProtocolosAF[[#This Row],[STATUS]]="APROVADO",ProtocolosAF[[#This Row],[WAIVER]]=""),"Y","")</f>
        <v/>
      </c>
      <c r="U186" t="s">
        <v>478</v>
      </c>
      <c r="V186" s="16" t="str">
        <f t="shared" si="13"/>
        <v xml:space="preserve">KBHUQRNASCIMENTO GARCIA DE SANTANA/IVANA </v>
      </c>
      <c r="W186">
        <v>162</v>
      </c>
    </row>
    <row r="187" spans="1:23" hidden="1">
      <c r="A187" s="1">
        <v>45125</v>
      </c>
      <c r="B187" t="s">
        <v>13</v>
      </c>
      <c r="C187" t="s">
        <v>479</v>
      </c>
      <c r="D187" s="23" t="s">
        <v>480</v>
      </c>
      <c r="E187" t="s">
        <v>41</v>
      </c>
      <c r="F187" s="19">
        <v>57519652</v>
      </c>
      <c r="G187" s="53">
        <v>579375215091</v>
      </c>
      <c r="H187" s="52">
        <v>997</v>
      </c>
      <c r="I187" s="5">
        <v>0.2</v>
      </c>
      <c r="J187" s="52" cm="1">
        <f t="array" ref="J18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200</v>
      </c>
      <c r="K187" s="56" t="s">
        <v>151</v>
      </c>
      <c r="L187" s="54" t="s">
        <v>76</v>
      </c>
      <c r="M187" t="s">
        <v>43</v>
      </c>
      <c r="N187" s="15" t="s">
        <v>44</v>
      </c>
      <c r="O187" s="5" t="s">
        <v>68</v>
      </c>
      <c r="P187" s="17" t="s">
        <v>46</v>
      </c>
      <c r="Q187" s="10" t="s">
        <v>168</v>
      </c>
      <c r="R187" s="11">
        <v>45126</v>
      </c>
      <c r="S187" s="10" t="s">
        <v>48</v>
      </c>
      <c r="T187" s="3" t="str">
        <f>IF(AND(ProtocolosAF[[#This Row],[STATUS]]="APROVADO",ProtocolosAF[[#This Row],[WAIVER]]=""),"Y","")</f>
        <v/>
      </c>
      <c r="U187" t="s">
        <v>481</v>
      </c>
      <c r="V187" s="16" t="str">
        <f t="shared" si="13"/>
        <v>OHJOQTCARDOSO DOS SANTOS ROSA/IZILDINHA MRS</v>
      </c>
      <c r="W187">
        <v>161</v>
      </c>
    </row>
    <row r="188" spans="1:23" hidden="1">
      <c r="A188" s="1">
        <v>45127</v>
      </c>
      <c r="B188" t="s">
        <v>13</v>
      </c>
      <c r="C188" t="s">
        <v>482</v>
      </c>
      <c r="D188" s="23" t="s">
        <v>483</v>
      </c>
      <c r="E188" t="s">
        <v>41</v>
      </c>
      <c r="F188" s="19">
        <v>57564931</v>
      </c>
      <c r="G188" s="53">
        <v>579375229264</v>
      </c>
      <c r="H188" s="52">
        <v>1993</v>
      </c>
      <c r="I188" s="5">
        <v>0.1</v>
      </c>
      <c r="J188" s="52" cm="1">
        <f t="array" ref="J18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200</v>
      </c>
      <c r="K188" s="56" t="s">
        <v>151</v>
      </c>
      <c r="L188" s="54" t="s">
        <v>172</v>
      </c>
      <c r="M188" t="s">
        <v>43</v>
      </c>
      <c r="N188" s="15" t="s">
        <v>44</v>
      </c>
      <c r="O188" s="5" t="s">
        <v>484</v>
      </c>
      <c r="P188" s="17" t="s">
        <v>46</v>
      </c>
      <c r="Q188" s="10" t="s">
        <v>168</v>
      </c>
      <c r="R188" s="11">
        <v>45127</v>
      </c>
      <c r="S188" s="10" t="s">
        <v>48</v>
      </c>
      <c r="T188" s="3" t="str">
        <f>IF(AND(ProtocolosAF[[#This Row],[STATUS]]="APROVADO",ProtocolosAF[[#This Row],[WAIVER]]=""),"Y","")</f>
        <v/>
      </c>
      <c r="U188" t="s">
        <v>485</v>
      </c>
      <c r="V188" s="16" t="str">
        <f t="shared" si="13"/>
        <v>XLDKHUFERREIRA/FABIO</v>
      </c>
      <c r="W188">
        <v>163</v>
      </c>
    </row>
    <row r="189" spans="1:23" hidden="1">
      <c r="A189" s="1">
        <v>45133</v>
      </c>
      <c r="B189" t="s">
        <v>13</v>
      </c>
      <c r="C189" t="s">
        <v>486</v>
      </c>
      <c r="D189" s="23" t="s">
        <v>487</v>
      </c>
      <c r="E189" t="s">
        <v>41</v>
      </c>
      <c r="F189" s="19">
        <v>57564931</v>
      </c>
      <c r="G189" s="53">
        <v>579375257703</v>
      </c>
      <c r="H189" s="52">
        <v>1630</v>
      </c>
      <c r="I189" s="5">
        <v>0.15</v>
      </c>
      <c r="J189" s="52" cm="1">
        <f t="array" ref="J18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245</v>
      </c>
      <c r="K189" s="56" t="s">
        <v>151</v>
      </c>
      <c r="L189" s="54" t="s">
        <v>488</v>
      </c>
      <c r="M189" t="s">
        <v>43</v>
      </c>
      <c r="N189" s="15" t="s">
        <v>44</v>
      </c>
      <c r="O189" s="5" t="s">
        <v>164</v>
      </c>
      <c r="P189" s="17" t="s">
        <v>46</v>
      </c>
      <c r="Q189" s="10" t="s">
        <v>168</v>
      </c>
      <c r="R189" s="11">
        <v>45133</v>
      </c>
      <c r="S189" s="10" t="s">
        <v>48</v>
      </c>
      <c r="T189" s="3" t="str">
        <f>IF(AND(ProtocolosAF[[#This Row],[STATUS]]="APROVADO",ProtocolosAF[[#This Row],[WAIVER]]=""),"Y","")</f>
        <v/>
      </c>
      <c r="U189" t="s">
        <v>489</v>
      </c>
      <c r="V189" s="16" t="str">
        <f t="shared" ref="V189:V205" si="14">_xlfn.CONCAT(C189,U189)</f>
        <v>SHFTNYRABELO DA SILVEIRA/DENISE</v>
      </c>
      <c r="W189">
        <v>169</v>
      </c>
    </row>
    <row r="190" spans="1:23" hidden="1">
      <c r="A190" s="1">
        <v>45133</v>
      </c>
      <c r="B190" t="s">
        <v>13</v>
      </c>
      <c r="C190" t="s">
        <v>486</v>
      </c>
      <c r="D190" s="23" t="s">
        <v>487</v>
      </c>
      <c r="E190" t="s">
        <v>41</v>
      </c>
      <c r="F190" s="19">
        <v>57564931</v>
      </c>
      <c r="G190" s="53">
        <v>579375257704</v>
      </c>
      <c r="H190" s="52">
        <v>1630</v>
      </c>
      <c r="I190" s="5">
        <v>0.15</v>
      </c>
      <c r="J190" s="52" cm="1">
        <f t="array" ref="J19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245</v>
      </c>
      <c r="K190" s="56" t="s">
        <v>151</v>
      </c>
      <c r="L190" s="54" t="s">
        <v>488</v>
      </c>
      <c r="M190" t="s">
        <v>43</v>
      </c>
      <c r="N190" s="15" t="s">
        <v>44</v>
      </c>
      <c r="O190" s="5" t="s">
        <v>164</v>
      </c>
      <c r="P190" s="17" t="s">
        <v>46</v>
      </c>
      <c r="Q190" s="10" t="s">
        <v>168</v>
      </c>
      <c r="R190" s="11">
        <v>45133</v>
      </c>
      <c r="S190" s="10" t="s">
        <v>48</v>
      </c>
      <c r="T190" s="3" t="str">
        <f>IF(AND(ProtocolosAF[[#This Row],[STATUS]]="APROVADO",ProtocolosAF[[#This Row],[WAIVER]]=""),"Y","")</f>
        <v/>
      </c>
      <c r="U190" t="s">
        <v>490</v>
      </c>
      <c r="V190" s="16" t="str">
        <f t="shared" si="14"/>
        <v>SHFTNYRABELO DA SILVEIRA/LUCIANO AUGUSTO</v>
      </c>
      <c r="W190">
        <v>169</v>
      </c>
    </row>
    <row r="191" spans="1:23" hidden="1">
      <c r="A191" s="1">
        <v>45139</v>
      </c>
      <c r="B191" t="s">
        <v>11</v>
      </c>
      <c r="C191" t="s">
        <v>491</v>
      </c>
      <c r="D191" s="23" t="s">
        <v>492</v>
      </c>
      <c r="E191" t="s">
        <v>41</v>
      </c>
      <c r="F191" s="19">
        <v>57564931</v>
      </c>
      <c r="G191" s="53">
        <v>579375282213</v>
      </c>
      <c r="H191" s="52">
        <v>1927</v>
      </c>
      <c r="I191" s="5">
        <v>0.1</v>
      </c>
      <c r="J191" s="52" cm="1">
        <f t="array" ref="J19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193</v>
      </c>
      <c r="K191" s="56" t="s">
        <v>99</v>
      </c>
      <c r="L191" s="54" t="s">
        <v>76</v>
      </c>
      <c r="M191" t="s">
        <v>43</v>
      </c>
      <c r="N191" s="15" t="s">
        <v>85</v>
      </c>
      <c r="O191" s="5" t="s">
        <v>493</v>
      </c>
      <c r="P191" s="17" t="s">
        <v>69</v>
      </c>
      <c r="Q191" s="10" t="s">
        <v>250</v>
      </c>
      <c r="R191" s="11">
        <v>45160</v>
      </c>
      <c r="S191" s="10" t="s">
        <v>48</v>
      </c>
      <c r="T191" s="3" t="str">
        <f>IF(AND(ProtocolosAF[[#This Row],[STATUS]]="APROVADO",ProtocolosAF[[#This Row],[WAIVER]]=""),"Y","")</f>
        <v/>
      </c>
      <c r="U191" t="s">
        <v>494</v>
      </c>
      <c r="V191" s="16" t="str">
        <f t="shared" si="14"/>
        <v>ISCAXZCOUTINHO/DIOGO MR</v>
      </c>
      <c r="W191">
        <v>173</v>
      </c>
    </row>
    <row r="192" spans="1:23" hidden="1">
      <c r="A192" s="1">
        <v>45139</v>
      </c>
      <c r="B192" t="s">
        <v>11</v>
      </c>
      <c r="C192" t="s">
        <v>491</v>
      </c>
      <c r="D192" s="23" t="s">
        <v>492</v>
      </c>
      <c r="E192" t="s">
        <v>41</v>
      </c>
      <c r="F192" s="19">
        <v>57564931</v>
      </c>
      <c r="G192" s="53">
        <v>579375284177</v>
      </c>
      <c r="H192" s="52">
        <v>1927</v>
      </c>
      <c r="I192" s="5">
        <v>0.1</v>
      </c>
      <c r="J192" s="52" cm="1">
        <f t="array" ref="J19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193</v>
      </c>
      <c r="K192" s="56" t="s">
        <v>99</v>
      </c>
      <c r="L192" s="54" t="s">
        <v>76</v>
      </c>
      <c r="M192" t="s">
        <v>43</v>
      </c>
      <c r="N192" s="15" t="s">
        <v>85</v>
      </c>
      <c r="O192" s="5" t="s">
        <v>493</v>
      </c>
      <c r="P192" s="17" t="s">
        <v>69</v>
      </c>
      <c r="Q192" s="10" t="s">
        <v>250</v>
      </c>
      <c r="R192" s="11">
        <v>45160</v>
      </c>
      <c r="S192" s="10" t="s">
        <v>48</v>
      </c>
      <c r="T192" s="3" t="str">
        <f>IF(AND(ProtocolosAF[[#This Row],[STATUS]]="APROVADO",ProtocolosAF[[#This Row],[WAIVER]]=""),"Y","")</f>
        <v/>
      </c>
      <c r="U192" t="s">
        <v>495</v>
      </c>
      <c r="V192" s="16" t="str">
        <f t="shared" si="14"/>
        <v>ISCAXZSAMIS/MARCELA MRS</v>
      </c>
      <c r="W192">
        <v>173</v>
      </c>
    </row>
    <row r="193" spans="1:23" hidden="1">
      <c r="A193" s="1">
        <v>45139</v>
      </c>
      <c r="B193" t="s">
        <v>11</v>
      </c>
      <c r="C193" t="s">
        <v>496</v>
      </c>
      <c r="D193" s="23" t="s">
        <v>496</v>
      </c>
      <c r="E193" t="s">
        <v>41</v>
      </c>
      <c r="F193" s="19">
        <v>57507940</v>
      </c>
      <c r="G193" s="53">
        <v>579057421276</v>
      </c>
      <c r="H193" s="52">
        <v>3323</v>
      </c>
      <c r="I193" s="5">
        <v>0.1</v>
      </c>
      <c r="J193" s="52" cm="1">
        <f t="array" ref="J19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333</v>
      </c>
      <c r="K193" s="56" t="s">
        <v>99</v>
      </c>
      <c r="L193" s="54" t="s">
        <v>76</v>
      </c>
      <c r="M193" t="s">
        <v>43</v>
      </c>
      <c r="N193" s="15" t="s">
        <v>85</v>
      </c>
      <c r="O193" s="5" t="s">
        <v>497</v>
      </c>
      <c r="P193" s="17" t="s">
        <v>146</v>
      </c>
      <c r="Q193" s="10" t="s">
        <v>250</v>
      </c>
      <c r="R193" s="11">
        <v>45141</v>
      </c>
      <c r="S193" s="10" t="s">
        <v>48</v>
      </c>
      <c r="T193" s="3" t="str">
        <f>IF(AND(ProtocolosAF[[#This Row],[STATUS]]="APROVADO",ProtocolosAF[[#This Row],[WAIVER]]=""),"Y","")</f>
        <v/>
      </c>
      <c r="U193" t="s">
        <v>498</v>
      </c>
      <c r="V193" s="16" t="str">
        <f t="shared" si="14"/>
        <v>3M5G8XCOMUNELLO DAGOSTINI/LEONICE MRS</v>
      </c>
      <c r="W193">
        <v>174</v>
      </c>
    </row>
    <row r="194" spans="1:23" hidden="1">
      <c r="A194" s="1">
        <v>45139</v>
      </c>
      <c r="B194" t="s">
        <v>11</v>
      </c>
      <c r="C194" t="s">
        <v>496</v>
      </c>
      <c r="D194" s="23" t="s">
        <v>496</v>
      </c>
      <c r="E194" t="s">
        <v>41</v>
      </c>
      <c r="F194" s="19">
        <v>57507940</v>
      </c>
      <c r="G194" s="53">
        <v>579057421278</v>
      </c>
      <c r="H194" s="52">
        <v>3323</v>
      </c>
      <c r="I194" s="5">
        <v>0.1</v>
      </c>
      <c r="J194" s="52" cm="1">
        <f t="array" ref="J19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333</v>
      </c>
      <c r="K194" s="56" t="s">
        <v>99</v>
      </c>
      <c r="L194" s="54" t="s">
        <v>76</v>
      </c>
      <c r="M194" t="s">
        <v>43</v>
      </c>
      <c r="N194" s="15" t="s">
        <v>85</v>
      </c>
      <c r="O194" s="5" t="s">
        <v>497</v>
      </c>
      <c r="P194" s="17" t="s">
        <v>146</v>
      </c>
      <c r="Q194" s="10" t="s">
        <v>250</v>
      </c>
      <c r="R194" s="11">
        <v>45141</v>
      </c>
      <c r="S194" s="10" t="s">
        <v>48</v>
      </c>
      <c r="T194" s="3" t="str">
        <f>IF(AND(ProtocolosAF[[#This Row],[STATUS]]="APROVADO",ProtocolosAF[[#This Row],[WAIVER]]=""),"Y","")</f>
        <v/>
      </c>
      <c r="U194" t="s">
        <v>499</v>
      </c>
      <c r="V194" s="16" t="str">
        <f t="shared" si="14"/>
        <v>3M5G8XDAGOSTINI/JOSE NORBERTO MR</v>
      </c>
      <c r="W194">
        <v>174</v>
      </c>
    </row>
    <row r="195" spans="1:23" hidden="1">
      <c r="A195" s="1">
        <v>45139</v>
      </c>
      <c r="B195" t="s">
        <v>16</v>
      </c>
      <c r="C195" t="s">
        <v>500</v>
      </c>
      <c r="D195" s="23" t="s">
        <v>501</v>
      </c>
      <c r="E195" t="s">
        <v>41</v>
      </c>
      <c r="F195" s="19">
        <v>57565443</v>
      </c>
      <c r="G195" s="53">
        <v>579374995988</v>
      </c>
      <c r="H195" s="52">
        <v>2745</v>
      </c>
      <c r="I195" s="5">
        <v>0.1</v>
      </c>
      <c r="J195" s="52" cm="1">
        <f t="array" ref="J19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275</v>
      </c>
      <c r="K195" s="56" t="s">
        <v>177</v>
      </c>
      <c r="L195" s="54" t="s">
        <v>76</v>
      </c>
      <c r="M195" t="s">
        <v>43</v>
      </c>
      <c r="N195" s="15" t="s">
        <v>77</v>
      </c>
      <c r="O195" s="5" t="s">
        <v>502</v>
      </c>
      <c r="P195" s="17" t="s">
        <v>503</v>
      </c>
      <c r="Q195" s="10" t="s">
        <v>250</v>
      </c>
      <c r="R195" s="11">
        <v>45145</v>
      </c>
      <c r="S195" s="10" t="s">
        <v>48</v>
      </c>
      <c r="T195" s="3" t="str">
        <f>IF(AND(ProtocolosAF[[#This Row],[STATUS]]="APROVADO",ProtocolosAF[[#This Row],[WAIVER]]=""),"Y","")</f>
        <v/>
      </c>
      <c r="U195" t="s">
        <v>504</v>
      </c>
      <c r="V195" s="16" t="str">
        <f t="shared" si="14"/>
        <v>FGSYCHDE OLIVEIRA GOMES NETO/ANTONIO</v>
      </c>
      <c r="W195">
        <v>175</v>
      </c>
    </row>
    <row r="196" spans="1:23" hidden="1">
      <c r="A196" s="1">
        <v>45139</v>
      </c>
      <c r="B196" t="s">
        <v>16</v>
      </c>
      <c r="C196" t="s">
        <v>500</v>
      </c>
      <c r="D196" s="23" t="s">
        <v>501</v>
      </c>
      <c r="E196" t="s">
        <v>41</v>
      </c>
      <c r="F196" s="19">
        <v>57565443</v>
      </c>
      <c r="G196" s="53">
        <v>579374995990</v>
      </c>
      <c r="H196" s="52">
        <v>2745</v>
      </c>
      <c r="I196" s="5">
        <v>0.1</v>
      </c>
      <c r="J196" s="52" cm="1">
        <f t="array" ref="J19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275</v>
      </c>
      <c r="K196" s="56" t="s">
        <v>177</v>
      </c>
      <c r="L196" s="54" t="s">
        <v>76</v>
      </c>
      <c r="M196" t="s">
        <v>43</v>
      </c>
      <c r="N196" s="15" t="s">
        <v>77</v>
      </c>
      <c r="O196" s="5" t="s">
        <v>502</v>
      </c>
      <c r="P196" s="17" t="s">
        <v>503</v>
      </c>
      <c r="Q196" s="10" t="s">
        <v>250</v>
      </c>
      <c r="R196" s="11">
        <v>45145</v>
      </c>
      <c r="S196" s="10" t="s">
        <v>48</v>
      </c>
      <c r="T196" s="3" t="str">
        <f>IF(AND(ProtocolosAF[[#This Row],[STATUS]]="APROVADO",ProtocolosAF[[#This Row],[WAIVER]]=""),"Y","")</f>
        <v/>
      </c>
      <c r="U196" t="s">
        <v>505</v>
      </c>
      <c r="V196" s="16" t="str">
        <f t="shared" si="14"/>
        <v>FGSYCHKATAOKA DE OLIVEIRA/SILVIA</v>
      </c>
      <c r="W196">
        <v>175</v>
      </c>
    </row>
    <row r="197" spans="1:23" hidden="1">
      <c r="A197" s="1">
        <v>45140</v>
      </c>
      <c r="B197" t="s">
        <v>11</v>
      </c>
      <c r="C197" t="s">
        <v>506</v>
      </c>
      <c r="D197" s="23" t="s">
        <v>506</v>
      </c>
      <c r="E197" t="s">
        <v>41</v>
      </c>
      <c r="F197" s="19"/>
      <c r="G197" s="53"/>
      <c r="H197" s="52">
        <v>2836</v>
      </c>
      <c r="I197" s="5">
        <v>0.08</v>
      </c>
      <c r="J197" s="52" t="str" cm="1">
        <f t="array" ref="J19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197" s="56" t="s">
        <v>99</v>
      </c>
      <c r="L197" s="54" t="s">
        <v>76</v>
      </c>
      <c r="M197" t="s">
        <v>100</v>
      </c>
      <c r="N197" s="15" t="s">
        <v>85</v>
      </c>
      <c r="O197" s="5" t="s">
        <v>507</v>
      </c>
      <c r="P197" s="17" t="s">
        <v>255</v>
      </c>
      <c r="Q197" s="10"/>
      <c r="R197" s="11"/>
      <c r="S197" s="10"/>
      <c r="T197" s="3" t="str">
        <f>IF(AND(ProtocolosAF[[#This Row],[STATUS]]="APROVADO",ProtocolosAF[[#This Row],[WAIVER]]=""),"Y","")</f>
        <v/>
      </c>
      <c r="U197" t="s">
        <v>508</v>
      </c>
      <c r="V197" s="16" t="str">
        <f t="shared" si="14"/>
        <v>3NYHGENOGUEIRA LIMA/JOSE NAZARENO MR</v>
      </c>
      <c r="W197">
        <v>176</v>
      </c>
    </row>
    <row r="198" spans="1:23" hidden="1">
      <c r="A198" s="1">
        <v>45140</v>
      </c>
      <c r="B198" t="s">
        <v>11</v>
      </c>
      <c r="C198" t="s">
        <v>506</v>
      </c>
      <c r="D198" s="23" t="s">
        <v>506</v>
      </c>
      <c r="E198" t="s">
        <v>41</v>
      </c>
      <c r="F198" s="19"/>
      <c r="G198" s="53"/>
      <c r="H198" s="52">
        <v>2836</v>
      </c>
      <c r="I198" s="5">
        <v>0.08</v>
      </c>
      <c r="J198" s="52" t="str" cm="1">
        <f t="array" ref="J19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198" s="56" t="s">
        <v>99</v>
      </c>
      <c r="L198" s="54" t="s">
        <v>76</v>
      </c>
      <c r="M198" t="s">
        <v>100</v>
      </c>
      <c r="N198" s="15" t="s">
        <v>85</v>
      </c>
      <c r="O198" s="5" t="s">
        <v>507</v>
      </c>
      <c r="P198" s="17" t="s">
        <v>255</v>
      </c>
      <c r="Q198" s="10"/>
      <c r="R198" s="11"/>
      <c r="S198" s="10"/>
      <c r="T198" s="3" t="str">
        <f>IF(AND(ProtocolosAF[[#This Row],[STATUS]]="APROVADO",ProtocolosAF[[#This Row],[WAIVER]]=""),"Y","")</f>
        <v/>
      </c>
      <c r="U198" t="s">
        <v>509</v>
      </c>
      <c r="V198" s="16" t="str">
        <f t="shared" si="14"/>
        <v>3NYHGENOGUEIRA LIMA/ONEIDE KATAOKA MRS</v>
      </c>
      <c r="W198">
        <v>176</v>
      </c>
    </row>
    <row r="199" spans="1:23" hidden="1">
      <c r="A199" s="1">
        <v>45140</v>
      </c>
      <c r="B199" t="s">
        <v>12</v>
      </c>
      <c r="C199" t="s">
        <v>510</v>
      </c>
      <c r="D199" s="23" t="s">
        <v>511</v>
      </c>
      <c r="E199" t="s">
        <v>512</v>
      </c>
      <c r="F199" s="19">
        <v>57564931</v>
      </c>
      <c r="G199" s="53">
        <v>579728065972</v>
      </c>
      <c r="H199" s="52">
        <v>182</v>
      </c>
      <c r="I199" s="5" t="s">
        <v>74</v>
      </c>
      <c r="J199" s="52" cm="1">
        <f t="array" ref="J19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182</v>
      </c>
      <c r="K199" s="56" t="s">
        <v>227</v>
      </c>
      <c r="L199" s="54" t="s">
        <v>513</v>
      </c>
      <c r="M199" t="s">
        <v>43</v>
      </c>
      <c r="N199" s="15" t="s">
        <v>44</v>
      </c>
      <c r="O199" s="5" t="s">
        <v>78</v>
      </c>
      <c r="P199" s="17" t="s">
        <v>46</v>
      </c>
      <c r="Q199" s="10" t="s">
        <v>229</v>
      </c>
      <c r="R199" s="11">
        <v>45141</v>
      </c>
      <c r="S199" s="10" t="s">
        <v>514</v>
      </c>
      <c r="T199" s="3" t="str">
        <f>IF(AND(ProtocolosAF[[#This Row],[STATUS]]="APROVADO",ProtocolosAF[[#This Row],[WAIVER]]=""),"Y","")</f>
        <v/>
      </c>
      <c r="U199" t="s">
        <v>515</v>
      </c>
      <c r="V199" s="16" t="str">
        <f t="shared" si="14"/>
        <v>543ZPTCANTORI/PATRICIA</v>
      </c>
      <c r="W199">
        <v>177</v>
      </c>
    </row>
    <row r="200" spans="1:23" hidden="1">
      <c r="A200" s="1">
        <v>45140</v>
      </c>
      <c r="B200" t="s">
        <v>12</v>
      </c>
      <c r="C200" t="s">
        <v>510</v>
      </c>
      <c r="D200" s="23" t="s">
        <v>511</v>
      </c>
      <c r="E200" t="s">
        <v>512</v>
      </c>
      <c r="F200" s="19">
        <v>57564931</v>
      </c>
      <c r="G200" s="53">
        <v>579728065973</v>
      </c>
      <c r="H200" s="52">
        <v>182</v>
      </c>
      <c r="I200" s="5" t="s">
        <v>74</v>
      </c>
      <c r="J200" s="52" cm="1">
        <f t="array" ref="J20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182</v>
      </c>
      <c r="K200" s="56" t="s">
        <v>227</v>
      </c>
      <c r="L200" s="54" t="s">
        <v>513</v>
      </c>
      <c r="M200" t="s">
        <v>43</v>
      </c>
      <c r="N200" s="15" t="s">
        <v>44</v>
      </c>
      <c r="O200" s="5" t="s">
        <v>78</v>
      </c>
      <c r="P200" s="17" t="s">
        <v>46</v>
      </c>
      <c r="Q200" s="10" t="s">
        <v>229</v>
      </c>
      <c r="R200" s="11">
        <v>45141</v>
      </c>
      <c r="S200" s="10" t="s">
        <v>514</v>
      </c>
      <c r="T200" s="3" t="str">
        <f>IF(AND(ProtocolosAF[[#This Row],[STATUS]]="APROVADO",ProtocolosAF[[#This Row],[WAIVER]]=""),"Y","")</f>
        <v/>
      </c>
      <c r="U200" t="s">
        <v>516</v>
      </c>
      <c r="V200" s="16" t="str">
        <f t="shared" si="14"/>
        <v>543ZPTCANTORI/CLAUDIO</v>
      </c>
      <c r="W200">
        <v>177</v>
      </c>
    </row>
    <row r="201" spans="1:23" hidden="1">
      <c r="A201" s="1">
        <v>45140</v>
      </c>
      <c r="B201" t="s">
        <v>10</v>
      </c>
      <c r="C201" t="s">
        <v>517</v>
      </c>
      <c r="D201" s="23" t="s">
        <v>518</v>
      </c>
      <c r="E201" t="s">
        <v>73</v>
      </c>
      <c r="F201" s="19">
        <v>57994602</v>
      </c>
      <c r="G201" s="53">
        <v>574200484242</v>
      </c>
      <c r="H201" s="52">
        <v>64</v>
      </c>
      <c r="I201" s="5" t="s">
        <v>74</v>
      </c>
      <c r="J201" s="52" cm="1">
        <f t="array" ref="J20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64</v>
      </c>
      <c r="K201" s="56" t="s">
        <v>237</v>
      </c>
      <c r="L201" s="54" t="s">
        <v>513</v>
      </c>
      <c r="M201" t="s">
        <v>43</v>
      </c>
      <c r="N201" s="15" t="s">
        <v>67</v>
      </c>
      <c r="O201" s="5" t="s">
        <v>519</v>
      </c>
      <c r="P201" s="17" t="s">
        <v>46</v>
      </c>
      <c r="Q201" s="10" t="s">
        <v>239</v>
      </c>
      <c r="R201" s="11">
        <v>45140</v>
      </c>
      <c r="S201" s="10" t="s">
        <v>520</v>
      </c>
      <c r="T201" s="3" t="str">
        <f>IF(AND(ProtocolosAF[[#This Row],[STATUS]]="APROVADO",ProtocolosAF[[#This Row],[WAIVER]]=""),"Y","")</f>
        <v/>
      </c>
      <c r="U201" t="s">
        <v>521</v>
      </c>
      <c r="V201" s="16" t="str">
        <f t="shared" si="14"/>
        <v>54WBS3FRANCA CAVALCANTI/PAULO SERGIO</v>
      </c>
    </row>
    <row r="202" spans="1:23" hidden="1">
      <c r="A202" s="1">
        <v>45146</v>
      </c>
      <c r="B202" t="s">
        <v>11</v>
      </c>
      <c r="C202" t="s">
        <v>522</v>
      </c>
      <c r="D202" s="23" t="s">
        <v>523</v>
      </c>
      <c r="E202" t="s">
        <v>41</v>
      </c>
      <c r="F202" s="19">
        <v>57564931</v>
      </c>
      <c r="G202" s="53">
        <v>579375315297</v>
      </c>
      <c r="H202" s="52">
        <v>1455</v>
      </c>
      <c r="I202" s="5">
        <v>0.12</v>
      </c>
      <c r="J202" s="52" cm="1">
        <f t="array" ref="J20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175</v>
      </c>
      <c r="K202" s="56" t="s">
        <v>84</v>
      </c>
      <c r="L202" s="54" t="s">
        <v>76</v>
      </c>
      <c r="M202" t="s">
        <v>43</v>
      </c>
      <c r="N202" s="15" t="s">
        <v>85</v>
      </c>
      <c r="O202" s="5" t="s">
        <v>524</v>
      </c>
      <c r="P202" s="17" t="s">
        <v>69</v>
      </c>
      <c r="Q202" s="10" t="s">
        <v>353</v>
      </c>
      <c r="R202" s="11">
        <v>45152</v>
      </c>
      <c r="S202" s="10" t="s">
        <v>48</v>
      </c>
      <c r="T202" s="3" t="str">
        <f>IF(AND(ProtocolosAF[[#This Row],[STATUS]]="APROVADO",ProtocolosAF[[#This Row],[WAIVER]]=""),"Y","")</f>
        <v/>
      </c>
      <c r="U202" t="s">
        <v>525</v>
      </c>
      <c r="V202" s="16" t="str">
        <f t="shared" si="14"/>
        <v>ISSNUKPEREIRA DE SOUSA/VALERIA</v>
      </c>
      <c r="W202">
        <v>178</v>
      </c>
    </row>
    <row r="203" spans="1:23" hidden="1">
      <c r="A203" s="1">
        <v>45146</v>
      </c>
      <c r="B203" t="s">
        <v>11</v>
      </c>
      <c r="C203" t="s">
        <v>522</v>
      </c>
      <c r="D203" s="23" t="s">
        <v>523</v>
      </c>
      <c r="E203" t="s">
        <v>41</v>
      </c>
      <c r="F203" s="19">
        <v>57564931</v>
      </c>
      <c r="G203" s="53">
        <v>579375315299</v>
      </c>
      <c r="H203" s="52">
        <v>1455</v>
      </c>
      <c r="I203" s="5">
        <v>0.12</v>
      </c>
      <c r="J203" s="52" cm="1">
        <f t="array" ref="J20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175</v>
      </c>
      <c r="K203" s="56" t="s">
        <v>84</v>
      </c>
      <c r="L203" s="54" t="s">
        <v>76</v>
      </c>
      <c r="M203" t="s">
        <v>43</v>
      </c>
      <c r="N203" s="15" t="s">
        <v>85</v>
      </c>
      <c r="O203" s="5" t="s">
        <v>524</v>
      </c>
      <c r="P203" s="17" t="s">
        <v>69</v>
      </c>
      <c r="Q203" s="10" t="s">
        <v>353</v>
      </c>
      <c r="R203" s="11">
        <v>45152</v>
      </c>
      <c r="S203" s="10" t="s">
        <v>48</v>
      </c>
      <c r="T203" s="3" t="str">
        <f>IF(AND(ProtocolosAF[[#This Row],[STATUS]]="APROVADO",ProtocolosAF[[#This Row],[WAIVER]]=""),"Y","")</f>
        <v/>
      </c>
      <c r="U203" t="s">
        <v>526</v>
      </c>
      <c r="V203" s="16" t="str">
        <f t="shared" si="14"/>
        <v>ISSNUKMENDES CABRAL/LUCIO</v>
      </c>
      <c r="W203">
        <v>178</v>
      </c>
    </row>
    <row r="204" spans="1:23" hidden="1">
      <c r="A204" s="1">
        <v>45147</v>
      </c>
      <c r="B204" t="s">
        <v>13</v>
      </c>
      <c r="C204" t="s">
        <v>527</v>
      </c>
      <c r="D204" s="23" t="s">
        <v>527</v>
      </c>
      <c r="E204" t="s">
        <v>73</v>
      </c>
      <c r="F204" s="19">
        <v>57519652</v>
      </c>
      <c r="G204" s="53">
        <v>574200484291</v>
      </c>
      <c r="H204" s="52">
        <v>195</v>
      </c>
      <c r="I204" s="5" t="s">
        <v>74</v>
      </c>
      <c r="J204" s="52" cm="1">
        <f t="array" ref="J20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195</v>
      </c>
      <c r="K204" s="56" t="s">
        <v>528</v>
      </c>
      <c r="L204" s="54" t="s">
        <v>529</v>
      </c>
      <c r="M204" t="s">
        <v>43</v>
      </c>
      <c r="N204" s="15" t="s">
        <v>44</v>
      </c>
      <c r="O204" s="5" t="s">
        <v>78</v>
      </c>
      <c r="P204" s="17" t="s">
        <v>146</v>
      </c>
      <c r="Q204" s="10" t="s">
        <v>291</v>
      </c>
      <c r="R204" s="11">
        <v>45148</v>
      </c>
      <c r="S204" s="10" t="s">
        <v>530</v>
      </c>
      <c r="T204" s="3" t="str">
        <f>IF(AND(ProtocolosAF[[#This Row],[STATUS]]="APROVADO",ProtocolosAF[[#This Row],[WAIVER]]=""),"Y","")</f>
        <v/>
      </c>
      <c r="U204" t="s">
        <v>531</v>
      </c>
      <c r="V204" s="16" t="str">
        <f t="shared" si="14"/>
        <v>2NSBSAFERREIRA DE QUEIROZ/DIVALDO</v>
      </c>
      <c r="W204">
        <v>179</v>
      </c>
    </row>
    <row r="205" spans="1:23" hidden="1">
      <c r="A205" s="1">
        <v>45147</v>
      </c>
      <c r="B205" t="s">
        <v>13</v>
      </c>
      <c r="C205" t="s">
        <v>527</v>
      </c>
      <c r="D205" s="23" t="s">
        <v>527</v>
      </c>
      <c r="E205" t="s">
        <v>73</v>
      </c>
      <c r="F205" s="19">
        <v>57519652</v>
      </c>
      <c r="G205" s="53">
        <v>574200484292</v>
      </c>
      <c r="H205" s="52">
        <v>195</v>
      </c>
      <c r="I205" s="5" t="s">
        <v>74</v>
      </c>
      <c r="J205" s="52" cm="1">
        <f t="array" ref="J20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195</v>
      </c>
      <c r="K205" s="56" t="s">
        <v>528</v>
      </c>
      <c r="L205" s="54" t="s">
        <v>529</v>
      </c>
      <c r="M205" t="s">
        <v>43</v>
      </c>
      <c r="N205" s="15" t="s">
        <v>44</v>
      </c>
      <c r="O205" s="5" t="s">
        <v>78</v>
      </c>
      <c r="P205" s="17" t="s">
        <v>146</v>
      </c>
      <c r="Q205" s="10" t="s">
        <v>291</v>
      </c>
      <c r="R205" s="11">
        <v>45148</v>
      </c>
      <c r="S205" s="10" t="s">
        <v>530</v>
      </c>
      <c r="T205" s="3" t="str">
        <f>IF(AND(ProtocolosAF[[#This Row],[STATUS]]="APROVADO",ProtocolosAF[[#This Row],[WAIVER]]=""),"Y","")</f>
        <v/>
      </c>
      <c r="U205" t="s">
        <v>532</v>
      </c>
      <c r="V205" s="16" t="str">
        <f t="shared" si="14"/>
        <v>2NSBSAMANGABEIRA ALBERNAZ DE QUEIROZ/BEATRIZ</v>
      </c>
      <c r="W205">
        <v>179</v>
      </c>
    </row>
    <row r="206" spans="1:23" hidden="1">
      <c r="A206" s="1">
        <v>45153</v>
      </c>
      <c r="B206" t="s">
        <v>12</v>
      </c>
      <c r="C206" t="s">
        <v>533</v>
      </c>
      <c r="D206" s="23" t="s">
        <v>534</v>
      </c>
      <c r="E206" t="s">
        <v>512</v>
      </c>
      <c r="F206">
        <v>57642023</v>
      </c>
      <c r="G206" s="53">
        <v>576777452910</v>
      </c>
      <c r="H206" s="52">
        <v>231</v>
      </c>
      <c r="I206" s="5" t="s">
        <v>74</v>
      </c>
      <c r="J206" s="52" cm="1">
        <f t="array" ref="J20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231</v>
      </c>
      <c r="K206" s="56" t="s">
        <v>227</v>
      </c>
      <c r="L206" s="54" t="s">
        <v>513</v>
      </c>
      <c r="M206" t="s">
        <v>43</v>
      </c>
      <c r="N206" s="15" t="s">
        <v>44</v>
      </c>
      <c r="O206" s="5" t="s">
        <v>78</v>
      </c>
      <c r="P206" s="17" t="s">
        <v>69</v>
      </c>
      <c r="Q206" s="10" t="s">
        <v>229</v>
      </c>
      <c r="R206" s="11">
        <v>45153</v>
      </c>
      <c r="S206" s="61" t="s">
        <v>535</v>
      </c>
      <c r="T206" s="3" t="str">
        <f>IF(AND(ProtocolosAF[[#This Row],[STATUS]]="APROVADO",ProtocolosAF[[#This Row],[WAIVER]]=""),"Y","")</f>
        <v/>
      </c>
      <c r="U206" t="s">
        <v>536</v>
      </c>
      <c r="V206" s="16" t="str">
        <f t="shared" ref="V206:V215" si="15">_xlfn.CONCAT(C206,U206)</f>
        <v>5BCL1BOLIVEIRA DO NASCIMENTO/IZAVAN</v>
      </c>
      <c r="W206">
        <v>183</v>
      </c>
    </row>
    <row r="207" spans="1:23" hidden="1">
      <c r="A207" s="1">
        <v>45154</v>
      </c>
      <c r="B207" t="s">
        <v>11</v>
      </c>
      <c r="C207" t="s">
        <v>537</v>
      </c>
      <c r="D207" s="23" t="s">
        <v>538</v>
      </c>
      <c r="E207" t="s">
        <v>41</v>
      </c>
      <c r="F207" s="19">
        <v>57564931</v>
      </c>
      <c r="G207" s="53">
        <v>579728081631</v>
      </c>
      <c r="H207" s="52">
        <v>4000</v>
      </c>
      <c r="I207" s="5">
        <v>0.15</v>
      </c>
      <c r="J207" s="52" cm="1">
        <f t="array" ref="J20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600</v>
      </c>
      <c r="K207" s="56" t="s">
        <v>99</v>
      </c>
      <c r="L207" s="54" t="s">
        <v>76</v>
      </c>
      <c r="M207" t="s">
        <v>43</v>
      </c>
      <c r="N207" s="15" t="s">
        <v>85</v>
      </c>
      <c r="O207" s="5" t="s">
        <v>539</v>
      </c>
      <c r="P207" s="17" t="s">
        <v>46</v>
      </c>
      <c r="Q207" s="10" t="s">
        <v>250</v>
      </c>
      <c r="R207" s="11">
        <v>45155</v>
      </c>
      <c r="S207" s="61" t="s">
        <v>48</v>
      </c>
      <c r="T207" s="3" t="str">
        <f>IF(AND(ProtocolosAF[[#This Row],[STATUS]]="APROVADO",ProtocolosAF[[#This Row],[WAIVER]]=""),"Y","")</f>
        <v/>
      </c>
      <c r="U207" t="s">
        <v>540</v>
      </c>
      <c r="V207" s="16" t="str">
        <f t="shared" si="15"/>
        <v>59H0J4MR JOSE LUIS NUCETE ALARCON</v>
      </c>
      <c r="W207">
        <v>189</v>
      </c>
    </row>
    <row r="208" spans="1:23" hidden="1">
      <c r="A208" s="1">
        <v>45154</v>
      </c>
      <c r="B208" t="s">
        <v>11</v>
      </c>
      <c r="C208" t="s">
        <v>537</v>
      </c>
      <c r="D208" s="23" t="s">
        <v>538</v>
      </c>
      <c r="E208" t="s">
        <v>41</v>
      </c>
      <c r="F208" s="19">
        <v>57564931</v>
      </c>
      <c r="G208" s="53">
        <v>579728081633</v>
      </c>
      <c r="H208" s="52">
        <v>4000</v>
      </c>
      <c r="I208" s="5">
        <v>0.15</v>
      </c>
      <c r="J208" s="52" cm="1">
        <f t="array" ref="J20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600</v>
      </c>
      <c r="K208" s="56" t="s">
        <v>99</v>
      </c>
      <c r="L208" s="54" t="s">
        <v>76</v>
      </c>
      <c r="M208" t="s">
        <v>43</v>
      </c>
      <c r="N208" s="15" t="s">
        <v>85</v>
      </c>
      <c r="O208" s="5" t="s">
        <v>539</v>
      </c>
      <c r="P208" s="17" t="s">
        <v>46</v>
      </c>
      <c r="Q208" s="10" t="s">
        <v>250</v>
      </c>
      <c r="R208" s="11">
        <v>45155</v>
      </c>
      <c r="S208" s="61" t="s">
        <v>48</v>
      </c>
      <c r="T208" s="3" t="str">
        <f>IF(AND(ProtocolosAF[[#This Row],[STATUS]]="APROVADO",ProtocolosAF[[#This Row],[WAIVER]]=""),"Y","")</f>
        <v/>
      </c>
      <c r="U208" t="s">
        <v>541</v>
      </c>
      <c r="V208" s="16" t="str">
        <f t="shared" si="15"/>
        <v>59H0J4MR PABLO NUCETE HERNANDO</v>
      </c>
      <c r="W208">
        <v>189</v>
      </c>
    </row>
    <row r="209" spans="1:23" hidden="1">
      <c r="A209" s="1">
        <v>45154</v>
      </c>
      <c r="B209" t="s">
        <v>11</v>
      </c>
      <c r="C209" t="s">
        <v>537</v>
      </c>
      <c r="D209" s="23" t="s">
        <v>538</v>
      </c>
      <c r="E209" t="s">
        <v>41</v>
      </c>
      <c r="F209" s="19">
        <v>57564931</v>
      </c>
      <c r="G209" s="53">
        <v>579728081635</v>
      </c>
      <c r="H209" s="52">
        <v>4000</v>
      </c>
      <c r="I209" s="5">
        <v>0.15</v>
      </c>
      <c r="J209" s="52" cm="1">
        <f t="array" ref="J20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600</v>
      </c>
      <c r="K209" s="56" t="s">
        <v>99</v>
      </c>
      <c r="L209" s="54" t="s">
        <v>76</v>
      </c>
      <c r="M209" t="s">
        <v>43</v>
      </c>
      <c r="N209" s="15" t="s">
        <v>85</v>
      </c>
      <c r="O209" s="5" t="s">
        <v>539</v>
      </c>
      <c r="P209" s="17" t="s">
        <v>46</v>
      </c>
      <c r="Q209" s="10" t="s">
        <v>250</v>
      </c>
      <c r="R209" s="11">
        <v>45155</v>
      </c>
      <c r="S209" s="61" t="s">
        <v>48</v>
      </c>
      <c r="T209" s="3" t="str">
        <f>IF(AND(ProtocolosAF[[#This Row],[STATUS]]="APROVADO",ProtocolosAF[[#This Row],[WAIVER]]=""),"Y","")</f>
        <v/>
      </c>
      <c r="U209" t="s">
        <v>542</v>
      </c>
      <c r="V209" s="16" t="str">
        <f t="shared" si="15"/>
        <v>59H0J4MR MARTIN NUCETE HERNANDO</v>
      </c>
      <c r="W209">
        <v>189</v>
      </c>
    </row>
    <row r="210" spans="1:23" hidden="1">
      <c r="A210" s="1">
        <v>45159</v>
      </c>
      <c r="B210" t="s">
        <v>13</v>
      </c>
      <c r="C210" t="s">
        <v>543</v>
      </c>
      <c r="D210" s="23" t="s">
        <v>543</v>
      </c>
      <c r="E210" t="s">
        <v>41</v>
      </c>
      <c r="F210" s="19"/>
      <c r="G210" s="53"/>
      <c r="H210" s="52">
        <v>724</v>
      </c>
      <c r="I210" s="5">
        <v>0.2</v>
      </c>
      <c r="J210" s="52" t="str" cm="1">
        <f t="array" ref="J21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10" s="56" t="s">
        <v>151</v>
      </c>
      <c r="L210" s="54" t="s">
        <v>76</v>
      </c>
      <c r="M210" t="s">
        <v>100</v>
      </c>
      <c r="N210" s="15" t="s">
        <v>44</v>
      </c>
      <c r="O210" s="5" t="s">
        <v>544</v>
      </c>
      <c r="P210" s="17" t="s">
        <v>69</v>
      </c>
      <c r="Q210" s="10"/>
      <c r="R210" s="11"/>
      <c r="S210" s="62"/>
      <c r="T210" s="3" t="str">
        <f>IF(AND(ProtocolosAF[[#This Row],[STATUS]]="APROVADO",ProtocolosAF[[#This Row],[WAIVER]]=""),"Y","")</f>
        <v/>
      </c>
      <c r="U210" t="s">
        <v>545</v>
      </c>
      <c r="V210" s="16" t="str">
        <f t="shared" si="15"/>
        <v>3UFS59NAZARIAN/FERNANDO MR</v>
      </c>
      <c r="W210">
        <v>194</v>
      </c>
    </row>
    <row r="211" spans="1:23" hidden="1">
      <c r="A211" s="1">
        <v>45159</v>
      </c>
      <c r="B211" t="s">
        <v>10</v>
      </c>
      <c r="C211" t="s">
        <v>546</v>
      </c>
      <c r="D211" s="23" t="s">
        <v>546</v>
      </c>
      <c r="E211" t="s">
        <v>73</v>
      </c>
      <c r="F211" s="19">
        <v>57994602</v>
      </c>
      <c r="G211" s="53">
        <v>574200484339</v>
      </c>
      <c r="H211" s="52">
        <v>90</v>
      </c>
      <c r="I211" s="5" t="s">
        <v>74</v>
      </c>
      <c r="J211" s="52" cm="1">
        <f t="array" ref="J21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90</v>
      </c>
      <c r="K211" s="56" t="s">
        <v>144</v>
      </c>
      <c r="L211" s="54" t="s">
        <v>172</v>
      </c>
      <c r="M211" t="s">
        <v>43</v>
      </c>
      <c r="N211" s="15" t="s">
        <v>67</v>
      </c>
      <c r="O211" s="5" t="s">
        <v>372</v>
      </c>
      <c r="P211" s="17" t="s">
        <v>69</v>
      </c>
      <c r="Q211" s="10" t="s">
        <v>222</v>
      </c>
      <c r="R211" s="11">
        <v>45160</v>
      </c>
      <c r="S211" s="62" t="s">
        <v>520</v>
      </c>
      <c r="T211" s="3" t="str">
        <f>IF(AND(ProtocolosAF[[#This Row],[STATUS]]="APROVADO",ProtocolosAF[[#This Row],[WAIVER]]=""),"Y","")</f>
        <v/>
      </c>
      <c r="U211" t="s">
        <v>547</v>
      </c>
      <c r="V211" s="16" t="str">
        <f t="shared" si="15"/>
        <v>3ZJ5IY1.PIOVESAN/TANIA MRS</v>
      </c>
      <c r="W211">
        <v>196</v>
      </c>
    </row>
    <row r="212" spans="1:23" hidden="1">
      <c r="A212" s="1">
        <v>45159</v>
      </c>
      <c r="B212" t="s">
        <v>11</v>
      </c>
      <c r="C212" t="s">
        <v>548</v>
      </c>
      <c r="D212" s="23" t="s">
        <v>549</v>
      </c>
      <c r="E212" t="s">
        <v>73</v>
      </c>
      <c r="F212" s="19">
        <v>1</v>
      </c>
      <c r="G212" s="53">
        <v>579375368346</v>
      </c>
      <c r="H212" s="52">
        <v>179</v>
      </c>
      <c r="I212" s="5" t="s">
        <v>74</v>
      </c>
      <c r="J212" s="52" cm="1">
        <f t="array" ref="J21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179</v>
      </c>
      <c r="K212" s="56" t="s">
        <v>99</v>
      </c>
      <c r="L212" s="54" t="s">
        <v>76</v>
      </c>
      <c r="M212" t="s">
        <v>43</v>
      </c>
      <c r="N212" s="15" t="s">
        <v>44</v>
      </c>
      <c r="O212" s="5" t="s">
        <v>78</v>
      </c>
      <c r="P212" s="17" t="s">
        <v>46</v>
      </c>
      <c r="Q212" s="10" t="s">
        <v>250</v>
      </c>
      <c r="R212" s="11">
        <v>45159</v>
      </c>
      <c r="S212" s="10" t="s">
        <v>173</v>
      </c>
      <c r="T212" s="3" t="str">
        <f>IF(AND(ProtocolosAF[[#This Row],[STATUS]]="APROVADO",ProtocolosAF[[#This Row],[WAIVER]]=""),"Y","")</f>
        <v/>
      </c>
      <c r="V212" s="16" t="str">
        <f t="shared" si="15"/>
        <v>OMHIGU</v>
      </c>
    </row>
    <row r="213" spans="1:23" hidden="1">
      <c r="A213" s="1">
        <v>45159</v>
      </c>
      <c r="B213" t="s">
        <v>11</v>
      </c>
      <c r="C213" t="s">
        <v>550</v>
      </c>
      <c r="D213" s="23" t="s">
        <v>551</v>
      </c>
      <c r="E213" t="s">
        <v>73</v>
      </c>
      <c r="F213" s="19">
        <v>1</v>
      </c>
      <c r="G213" s="53">
        <v>579375364959</v>
      </c>
      <c r="H213" s="52">
        <v>179</v>
      </c>
      <c r="I213" s="5" t="s">
        <v>74</v>
      </c>
      <c r="J213" s="52" cm="1">
        <f t="array" ref="J21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179</v>
      </c>
      <c r="K213" s="56" t="s">
        <v>99</v>
      </c>
      <c r="L213" s="54" t="s">
        <v>76</v>
      </c>
      <c r="M213" t="s">
        <v>43</v>
      </c>
      <c r="N213" s="15" t="s">
        <v>44</v>
      </c>
      <c r="O213" s="5" t="s">
        <v>78</v>
      </c>
      <c r="P213" s="17" t="s">
        <v>46</v>
      </c>
      <c r="Q213" s="10" t="s">
        <v>250</v>
      </c>
      <c r="R213" s="11">
        <v>45159</v>
      </c>
      <c r="S213" s="10" t="s">
        <v>173</v>
      </c>
      <c r="T213" s="3" t="str">
        <f>IF(AND(ProtocolosAF[[#This Row],[STATUS]]="APROVADO",ProtocolosAF[[#This Row],[WAIVER]]=""),"Y","")</f>
        <v/>
      </c>
      <c r="V213" s="16" t="str">
        <f t="shared" si="15"/>
        <v>JMXNUW</v>
      </c>
    </row>
    <row r="214" spans="1:23" hidden="1">
      <c r="A214" s="1">
        <v>45160</v>
      </c>
      <c r="B214" t="s">
        <v>13</v>
      </c>
      <c r="C214" t="s">
        <v>552</v>
      </c>
      <c r="D214" s="23" t="s">
        <v>552</v>
      </c>
      <c r="E214" t="s">
        <v>41</v>
      </c>
      <c r="F214" s="19"/>
      <c r="G214" s="53"/>
      <c r="H214" s="52">
        <v>1409</v>
      </c>
      <c r="I214" s="5">
        <v>0.1</v>
      </c>
      <c r="J214" s="52" t="str" cm="1">
        <f t="array" ref="J21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14" s="56" t="s">
        <v>528</v>
      </c>
      <c r="L214" s="54" t="s">
        <v>76</v>
      </c>
      <c r="M214" t="s">
        <v>100</v>
      </c>
      <c r="N214" s="15" t="s">
        <v>44</v>
      </c>
      <c r="O214" s="5" t="s">
        <v>101</v>
      </c>
      <c r="P214" s="17" t="s">
        <v>503</v>
      </c>
      <c r="Q214" s="10"/>
      <c r="R214" s="11"/>
      <c r="S214" s="10"/>
      <c r="T214" s="3" t="str">
        <f>IF(AND(ProtocolosAF[[#This Row],[STATUS]]="APROVADO",ProtocolosAF[[#This Row],[WAIVER]]=""),"Y","")</f>
        <v/>
      </c>
      <c r="U214" t="s">
        <v>553</v>
      </c>
      <c r="V214" s="16" t="str">
        <f t="shared" si="15"/>
        <v>46TLM8AGUIAR DE OLIVEIRA DAL BELLO/MABEL</v>
      </c>
      <c r="W214">
        <v>199</v>
      </c>
    </row>
    <row r="215" spans="1:23" hidden="1">
      <c r="A215" s="1">
        <v>45160</v>
      </c>
      <c r="B215" t="s">
        <v>13</v>
      </c>
      <c r="C215" t="s">
        <v>552</v>
      </c>
      <c r="D215" s="23" t="s">
        <v>552</v>
      </c>
      <c r="E215" t="s">
        <v>41</v>
      </c>
      <c r="F215" s="19"/>
      <c r="G215" s="53"/>
      <c r="H215" s="52">
        <v>1409</v>
      </c>
      <c r="I215" s="5">
        <v>0.1</v>
      </c>
      <c r="J215" s="52" t="str" cm="1">
        <f t="array" ref="J21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15" s="56" t="s">
        <v>528</v>
      </c>
      <c r="L215" s="54" t="s">
        <v>76</v>
      </c>
      <c r="M215" t="s">
        <v>100</v>
      </c>
      <c r="N215" s="15" t="s">
        <v>44</v>
      </c>
      <c r="O215" s="5" t="s">
        <v>101</v>
      </c>
      <c r="P215" s="17" t="s">
        <v>503</v>
      </c>
      <c r="Q215" s="10"/>
      <c r="R215" s="11"/>
      <c r="S215" s="10"/>
      <c r="T215" s="3" t="str">
        <f>IF(AND(ProtocolosAF[[#This Row],[STATUS]]="APROVADO",ProtocolosAF[[#This Row],[WAIVER]]=""),"Y","")</f>
        <v/>
      </c>
      <c r="U215" t="s">
        <v>554</v>
      </c>
      <c r="V215" s="16" t="str">
        <f t="shared" si="15"/>
        <v>46TLM8RODRIGUES DAL BELLO/JULIO CESAR</v>
      </c>
      <c r="W215">
        <v>199</v>
      </c>
    </row>
    <row r="216" spans="1:23" hidden="1">
      <c r="A216" s="1">
        <v>45162</v>
      </c>
      <c r="B216" t="s">
        <v>10</v>
      </c>
      <c r="C216" t="s">
        <v>555</v>
      </c>
      <c r="D216" s="23" t="s">
        <v>556</v>
      </c>
      <c r="E216" t="s">
        <v>73</v>
      </c>
      <c r="F216" s="19">
        <v>57994602</v>
      </c>
      <c r="G216" s="53">
        <v>574200484372</v>
      </c>
      <c r="H216" s="52">
        <v>180</v>
      </c>
      <c r="I216" s="5" t="s">
        <v>74</v>
      </c>
      <c r="J216" s="52" cm="1">
        <f t="array" ref="J21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180</v>
      </c>
      <c r="K216" s="56" t="s">
        <v>306</v>
      </c>
      <c r="L216" s="54" t="s">
        <v>172</v>
      </c>
      <c r="M216" t="s">
        <v>43</v>
      </c>
      <c r="N216" s="15" t="s">
        <v>67</v>
      </c>
      <c r="O216" s="5" t="s">
        <v>557</v>
      </c>
      <c r="P216" s="17" t="s">
        <v>69</v>
      </c>
      <c r="Q216" s="10" t="s">
        <v>222</v>
      </c>
      <c r="R216" s="11">
        <v>45168</v>
      </c>
      <c r="S216" s="10" t="s">
        <v>520</v>
      </c>
      <c r="T216" s="3" t="str">
        <f>IF(AND(ProtocolosAF[[#This Row],[STATUS]]="APROVADO",ProtocolosAF[[#This Row],[WAIVER]]=""),"Y","")</f>
        <v/>
      </c>
      <c r="U216" t="s">
        <v>558</v>
      </c>
      <c r="V216" s="16" t="str">
        <f t="shared" ref="V216:V243" si="16">_xlfn.CONCAT(C216,U216)</f>
        <v>LULNVEFEIJO/ALEXANDRE MR</v>
      </c>
      <c r="W216">
        <v>201</v>
      </c>
    </row>
    <row r="217" spans="1:23" hidden="1">
      <c r="A217" s="1">
        <v>45162</v>
      </c>
      <c r="B217" t="s">
        <v>10</v>
      </c>
      <c r="C217" t="s">
        <v>559</v>
      </c>
      <c r="D217" s="23" t="s">
        <v>560</v>
      </c>
      <c r="E217" t="s">
        <v>41</v>
      </c>
      <c r="F217" s="19">
        <v>57564931</v>
      </c>
      <c r="G217" s="53">
        <v>579375393411</v>
      </c>
      <c r="H217" s="52">
        <v>2261</v>
      </c>
      <c r="I217" s="5">
        <v>0.03</v>
      </c>
      <c r="J217" s="52" cm="1">
        <f t="array" ref="J21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68</v>
      </c>
      <c r="K217" s="56" t="s">
        <v>345</v>
      </c>
      <c r="L217" s="54" t="s">
        <v>76</v>
      </c>
      <c r="M217" t="s">
        <v>43</v>
      </c>
      <c r="N217" s="15" t="s">
        <v>67</v>
      </c>
      <c r="O217" s="5" t="s">
        <v>249</v>
      </c>
      <c r="P217" s="17" t="s">
        <v>146</v>
      </c>
      <c r="Q217" s="10" t="s">
        <v>222</v>
      </c>
      <c r="R217" s="11">
        <v>45163</v>
      </c>
      <c r="S217" s="10" t="s">
        <v>48</v>
      </c>
      <c r="T217" s="3" t="str">
        <f>IF(AND(ProtocolosAF[[#This Row],[STATUS]]="APROVADO",ProtocolosAF[[#This Row],[WAIVER]]=""),"Y","")</f>
        <v/>
      </c>
      <c r="U217" t="s">
        <v>561</v>
      </c>
      <c r="V217" s="16" t="str">
        <f t="shared" si="16"/>
        <v>HESTRISALLES DA SILVA/MURILO MR</v>
      </c>
      <c r="W217">
        <v>202</v>
      </c>
    </row>
    <row r="218" spans="1:23" hidden="1">
      <c r="A218" s="1">
        <v>45162</v>
      </c>
      <c r="B218" t="s">
        <v>10</v>
      </c>
      <c r="C218" t="s">
        <v>562</v>
      </c>
      <c r="D218" s="23" t="s">
        <v>563</v>
      </c>
      <c r="E218" t="s">
        <v>41</v>
      </c>
      <c r="F218" s="19">
        <v>57564931</v>
      </c>
      <c r="G218" s="53">
        <v>579375395770</v>
      </c>
      <c r="H218" s="52">
        <v>4047</v>
      </c>
      <c r="I218" s="5">
        <v>0.15</v>
      </c>
      <c r="J218" s="52" cm="1">
        <f t="array" ref="J21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608</v>
      </c>
      <c r="K218" s="56" t="s">
        <v>105</v>
      </c>
      <c r="L218" s="54" t="s">
        <v>76</v>
      </c>
      <c r="M218" t="s">
        <v>43</v>
      </c>
      <c r="N218" s="15" t="s">
        <v>67</v>
      </c>
      <c r="O218" s="5" t="s">
        <v>564</v>
      </c>
      <c r="P218" s="17" t="s">
        <v>69</v>
      </c>
      <c r="Q218" s="10" t="s">
        <v>222</v>
      </c>
      <c r="R218" s="11">
        <v>45163</v>
      </c>
      <c r="S218" s="10" t="s">
        <v>48</v>
      </c>
      <c r="T218" s="3" t="str">
        <f>IF(AND(ProtocolosAF[[#This Row],[STATUS]]="APROVADO",ProtocolosAF[[#This Row],[WAIVER]]=""),"Y","")</f>
        <v/>
      </c>
      <c r="U218" t="s">
        <v>565</v>
      </c>
      <c r="V218" s="16" t="str">
        <f t="shared" si="16"/>
        <v>DQHYSRPERES LEAO DE MOURA/MARINA</v>
      </c>
      <c r="W218">
        <v>203</v>
      </c>
    </row>
    <row r="219" spans="1:23" hidden="1">
      <c r="A219" s="1">
        <v>45166</v>
      </c>
      <c r="B219" t="s">
        <v>13</v>
      </c>
      <c r="C219" t="s">
        <v>566</v>
      </c>
      <c r="D219" s="23" t="s">
        <v>566</v>
      </c>
      <c r="E219" t="s">
        <v>41</v>
      </c>
      <c r="F219" s="19"/>
      <c r="G219" s="53"/>
      <c r="H219" s="52">
        <v>2049</v>
      </c>
      <c r="I219" s="5">
        <v>0.12</v>
      </c>
      <c r="J219" s="52" t="str" cm="1">
        <f t="array" ref="J21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19" s="56" t="s">
        <v>151</v>
      </c>
      <c r="L219" s="54" t="s">
        <v>66</v>
      </c>
      <c r="M219" t="s">
        <v>100</v>
      </c>
      <c r="N219" s="15" t="s">
        <v>44</v>
      </c>
      <c r="O219" s="5" t="s">
        <v>140</v>
      </c>
      <c r="P219" s="17" t="s">
        <v>46</v>
      </c>
      <c r="Q219" s="10"/>
      <c r="R219" s="11"/>
      <c r="S219" s="10"/>
      <c r="T219" s="3" t="str">
        <f>IF(AND(ProtocolosAF[[#This Row],[STATUS]]="APROVADO",ProtocolosAF[[#This Row],[WAIVER]]=""),"Y","")</f>
        <v/>
      </c>
      <c r="U219" t="s">
        <v>567</v>
      </c>
      <c r="V219" s="16" t="str">
        <f t="shared" si="16"/>
        <v>28KE5GSILVA/RAFAEL LIMA FERREIRA MR</v>
      </c>
      <c r="W219">
        <v>205</v>
      </c>
    </row>
    <row r="220" spans="1:23" hidden="1">
      <c r="A220" s="1">
        <v>45167</v>
      </c>
      <c r="B220" t="s">
        <v>10</v>
      </c>
      <c r="C220" t="s">
        <v>568</v>
      </c>
      <c r="D220" s="23" t="s">
        <v>569</v>
      </c>
      <c r="E220" t="s">
        <v>41</v>
      </c>
      <c r="F220" s="19">
        <v>57564931</v>
      </c>
      <c r="G220" s="53">
        <v>579375415697</v>
      </c>
      <c r="H220" s="52">
        <v>2129</v>
      </c>
      <c r="I220" s="5">
        <v>0.1</v>
      </c>
      <c r="J220" s="52" cm="1">
        <f t="array" ref="J22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213</v>
      </c>
      <c r="K220" s="56" t="s">
        <v>144</v>
      </c>
      <c r="L220" s="54" t="s">
        <v>172</v>
      </c>
      <c r="M220" t="s">
        <v>43</v>
      </c>
      <c r="N220" s="15" t="s">
        <v>67</v>
      </c>
      <c r="O220" s="5" t="s">
        <v>101</v>
      </c>
      <c r="P220" s="17" t="s">
        <v>146</v>
      </c>
      <c r="Q220" s="10" t="s">
        <v>222</v>
      </c>
      <c r="R220" s="11">
        <v>45167</v>
      </c>
      <c r="S220" s="10" t="s">
        <v>48</v>
      </c>
      <c r="T220" s="3" t="str">
        <f>IF(AND(ProtocolosAF[[#This Row],[STATUS]]="APROVADO",ProtocolosAF[[#This Row],[WAIVER]]=""),"Y","")</f>
        <v/>
      </c>
      <c r="U220" t="s">
        <v>570</v>
      </c>
      <c r="V220" s="16" t="str">
        <f t="shared" si="16"/>
        <v>KDZXEP1.1LOTTENBERG/CLAUDIO</v>
      </c>
      <c r="W220">
        <v>206</v>
      </c>
    </row>
    <row r="221" spans="1:23" hidden="1">
      <c r="A221" s="1">
        <v>45167</v>
      </c>
      <c r="B221" t="s">
        <v>10</v>
      </c>
      <c r="C221" t="s">
        <v>325</v>
      </c>
      <c r="D221" s="23" t="s">
        <v>326</v>
      </c>
      <c r="E221" t="s">
        <v>73</v>
      </c>
      <c r="F221" s="19"/>
      <c r="G221" s="53"/>
      <c r="H221" s="52">
        <v>42</v>
      </c>
      <c r="I221" s="5" t="s">
        <v>74</v>
      </c>
      <c r="J221" s="52" t="str" cm="1">
        <f t="array" ref="J22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21" s="56" t="s">
        <v>144</v>
      </c>
      <c r="L221" s="54" t="s">
        <v>172</v>
      </c>
      <c r="M221" t="s">
        <v>100</v>
      </c>
      <c r="N221" s="15" t="s">
        <v>67</v>
      </c>
      <c r="O221" s="5" t="s">
        <v>140</v>
      </c>
      <c r="P221" s="17" t="s">
        <v>146</v>
      </c>
      <c r="Q221" s="10"/>
      <c r="R221" s="11"/>
      <c r="S221" s="10"/>
      <c r="T221" s="3" t="str">
        <f>IF(AND(ProtocolosAF[[#This Row],[STATUS]]="APROVADO",ProtocolosAF[[#This Row],[WAIVER]]=""),"Y","")</f>
        <v/>
      </c>
      <c r="U221" t="s">
        <v>571</v>
      </c>
      <c r="V221" s="16" t="str">
        <f t="shared" si="16"/>
        <v>STTXET1.1CAVICCHIOLI/SILVIA MRS</v>
      </c>
      <c r="W221">
        <v>207</v>
      </c>
    </row>
    <row r="222" spans="1:23" hidden="1">
      <c r="A222" s="1">
        <v>45167</v>
      </c>
      <c r="B222" t="s">
        <v>10</v>
      </c>
      <c r="C222" t="s">
        <v>325</v>
      </c>
      <c r="D222" s="23" t="s">
        <v>326</v>
      </c>
      <c r="E222" t="s">
        <v>73</v>
      </c>
      <c r="F222" s="19"/>
      <c r="G222" s="53"/>
      <c r="H222" s="52">
        <v>42</v>
      </c>
      <c r="I222" s="5" t="s">
        <v>74</v>
      </c>
      <c r="J222" s="52" t="str" cm="1">
        <f t="array" ref="J22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22" s="56" t="s">
        <v>144</v>
      </c>
      <c r="L222" s="54" t="s">
        <v>172</v>
      </c>
      <c r="M222" t="s">
        <v>100</v>
      </c>
      <c r="N222" s="15" t="s">
        <v>67</v>
      </c>
      <c r="O222" s="5" t="s">
        <v>140</v>
      </c>
      <c r="P222" s="17" t="s">
        <v>146</v>
      </c>
      <c r="Q222" s="10"/>
      <c r="R222" s="11"/>
      <c r="S222" s="10"/>
      <c r="T222" s="3" t="str">
        <f>IF(AND(ProtocolosAF[[#This Row],[STATUS]]="APROVADO",ProtocolosAF[[#This Row],[WAIVER]]=""),"Y","")</f>
        <v/>
      </c>
      <c r="U222" t="s">
        <v>328</v>
      </c>
      <c r="V222" s="16" t="str">
        <f t="shared" si="16"/>
        <v>STTXET2.1GUARIGLIA/LIGIA MRS</v>
      </c>
      <c r="W222">
        <v>207</v>
      </c>
    </row>
    <row r="223" spans="1:23" hidden="1">
      <c r="A223" s="1">
        <v>45167</v>
      </c>
      <c r="B223" t="s">
        <v>10</v>
      </c>
      <c r="C223" t="s">
        <v>325</v>
      </c>
      <c r="D223" s="23" t="s">
        <v>326</v>
      </c>
      <c r="E223" t="s">
        <v>73</v>
      </c>
      <c r="F223" s="19"/>
      <c r="G223" s="53"/>
      <c r="H223" s="52">
        <v>42</v>
      </c>
      <c r="I223" s="5" t="s">
        <v>74</v>
      </c>
      <c r="J223" s="52" t="str" cm="1">
        <f t="array" ref="J22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23" s="56" t="s">
        <v>144</v>
      </c>
      <c r="L223" s="54" t="s">
        <v>172</v>
      </c>
      <c r="M223" t="s">
        <v>100</v>
      </c>
      <c r="N223" s="15" t="s">
        <v>67</v>
      </c>
      <c r="O223" s="5" t="s">
        <v>140</v>
      </c>
      <c r="P223" s="17" t="s">
        <v>146</v>
      </c>
      <c r="Q223" s="10"/>
      <c r="R223" s="11"/>
      <c r="S223" s="10"/>
      <c r="T223" s="3" t="str">
        <f>IF(AND(ProtocolosAF[[#This Row],[STATUS]]="APROVADO",ProtocolosAF[[#This Row],[WAIVER]]=""),"Y","")</f>
        <v/>
      </c>
      <c r="U223" t="s">
        <v>572</v>
      </c>
      <c r="V223" s="16" t="str">
        <f t="shared" si="16"/>
        <v>STTXET3.1MOUCACHEN/RENATA HELENA MRS</v>
      </c>
      <c r="W223">
        <v>207</v>
      </c>
    </row>
    <row r="224" spans="1:23" hidden="1">
      <c r="A224" s="1">
        <v>45167</v>
      </c>
      <c r="B224" t="s">
        <v>10</v>
      </c>
      <c r="C224" t="s">
        <v>330</v>
      </c>
      <c r="D224" s="23" t="s">
        <v>331</v>
      </c>
      <c r="E224" t="s">
        <v>73</v>
      </c>
      <c r="F224" s="19"/>
      <c r="G224" s="53"/>
      <c r="H224" s="52">
        <v>42</v>
      </c>
      <c r="I224" s="5" t="s">
        <v>74</v>
      </c>
      <c r="J224" s="52" t="str" cm="1">
        <f t="array" ref="J22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24" s="56" t="s">
        <v>144</v>
      </c>
      <c r="L224" s="54" t="s">
        <v>172</v>
      </c>
      <c r="M224" t="s">
        <v>100</v>
      </c>
      <c r="N224" s="15" t="s">
        <v>67</v>
      </c>
      <c r="O224" s="5" t="s">
        <v>140</v>
      </c>
      <c r="P224" s="17" t="s">
        <v>69</v>
      </c>
      <c r="Q224" s="10"/>
      <c r="R224" s="11"/>
      <c r="S224" s="10"/>
      <c r="T224" s="3" t="str">
        <f>IF(AND(ProtocolosAF[[#This Row],[STATUS]]="APROVADO",ProtocolosAF[[#This Row],[WAIVER]]=""),"Y","")</f>
        <v/>
      </c>
      <c r="U224" t="s">
        <v>332</v>
      </c>
      <c r="V224" s="16" t="str">
        <f t="shared" si="16"/>
        <v>SSOWLK1.1AMARAL DE AZAMBUJA/DEBORAH MRS</v>
      </c>
      <c r="W224">
        <v>208</v>
      </c>
    </row>
    <row r="225" spans="1:23" hidden="1">
      <c r="A225" s="1">
        <v>45167</v>
      </c>
      <c r="B225" t="s">
        <v>10</v>
      </c>
      <c r="C225" t="s">
        <v>330</v>
      </c>
      <c r="D225" s="23" t="s">
        <v>331</v>
      </c>
      <c r="E225" t="s">
        <v>73</v>
      </c>
      <c r="F225" s="19"/>
      <c r="G225" s="53"/>
      <c r="H225" s="52">
        <v>42</v>
      </c>
      <c r="I225" s="5" t="s">
        <v>74</v>
      </c>
      <c r="J225" s="52" t="str" cm="1">
        <f t="array" ref="J22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25" s="56" t="s">
        <v>144</v>
      </c>
      <c r="L225" s="54" t="s">
        <v>172</v>
      </c>
      <c r="M225" t="s">
        <v>100</v>
      </c>
      <c r="N225" s="15" t="s">
        <v>67</v>
      </c>
      <c r="O225" s="5" t="s">
        <v>140</v>
      </c>
      <c r="P225" s="17" t="s">
        <v>69</v>
      </c>
      <c r="Q225" s="10"/>
      <c r="R225" s="11"/>
      <c r="S225" s="10"/>
      <c r="T225" s="3" t="str">
        <f>IF(AND(ProtocolosAF[[#This Row],[STATUS]]="APROVADO",ProtocolosAF[[#This Row],[WAIVER]]=""),"Y","")</f>
        <v/>
      </c>
      <c r="U225" t="s">
        <v>333</v>
      </c>
      <c r="V225" s="16" t="str">
        <f t="shared" si="16"/>
        <v>SSOWLK2.1NESZLINGER/MARCIA MRS</v>
      </c>
      <c r="W225">
        <v>208</v>
      </c>
    </row>
    <row r="226" spans="1:23" hidden="1">
      <c r="A226" s="1">
        <v>45168</v>
      </c>
      <c r="B226" t="s">
        <v>11</v>
      </c>
      <c r="C226" t="s">
        <v>537</v>
      </c>
      <c r="D226" s="23" t="s">
        <v>538</v>
      </c>
      <c r="E226" t="s">
        <v>73</v>
      </c>
      <c r="F226" s="19">
        <v>57564931</v>
      </c>
      <c r="G226" s="53">
        <v>574200484419</v>
      </c>
      <c r="H226" s="52">
        <v>180</v>
      </c>
      <c r="I226" s="5" t="s">
        <v>74</v>
      </c>
      <c r="J226" s="52" cm="1">
        <f t="array" ref="J22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180</v>
      </c>
      <c r="K226" s="56" t="s">
        <v>84</v>
      </c>
      <c r="L226" s="54" t="s">
        <v>76</v>
      </c>
      <c r="M226" t="s">
        <v>43</v>
      </c>
      <c r="N226" s="15" t="s">
        <v>85</v>
      </c>
      <c r="O226" s="5" t="s">
        <v>573</v>
      </c>
      <c r="P226" s="17" t="s">
        <v>46</v>
      </c>
      <c r="Q226" s="10" t="s">
        <v>353</v>
      </c>
      <c r="R226" s="11">
        <v>45168</v>
      </c>
      <c r="S226" s="10" t="s">
        <v>520</v>
      </c>
      <c r="T226" s="3" t="str">
        <f>IF(AND(ProtocolosAF[[#This Row],[STATUS]]="APROVADO",ProtocolosAF[[#This Row],[WAIVER]]=""),"Y","")</f>
        <v/>
      </c>
      <c r="U226" t="s">
        <v>574</v>
      </c>
      <c r="V226" s="16" t="str">
        <f t="shared" si="16"/>
        <v>59H0J4NUCETE ALARCON/JOSE LUIS</v>
      </c>
      <c r="W226">
        <v>209</v>
      </c>
    </row>
    <row r="227" spans="1:23" hidden="1">
      <c r="A227" s="1">
        <v>45168</v>
      </c>
      <c r="B227" t="s">
        <v>11</v>
      </c>
      <c r="C227" t="s">
        <v>537</v>
      </c>
      <c r="D227" s="23" t="s">
        <v>538</v>
      </c>
      <c r="E227" t="s">
        <v>73</v>
      </c>
      <c r="F227" s="19">
        <v>57564931</v>
      </c>
      <c r="G227" s="53">
        <v>574200484420</v>
      </c>
      <c r="H227" s="52">
        <v>180</v>
      </c>
      <c r="I227" s="5" t="s">
        <v>74</v>
      </c>
      <c r="J227" s="52" cm="1">
        <f t="array" ref="J22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180</v>
      </c>
      <c r="K227" s="56" t="s">
        <v>84</v>
      </c>
      <c r="L227" s="54" t="s">
        <v>76</v>
      </c>
      <c r="M227" t="s">
        <v>43</v>
      </c>
      <c r="N227" s="15" t="s">
        <v>85</v>
      </c>
      <c r="O227" s="5" t="s">
        <v>573</v>
      </c>
      <c r="P227" s="17" t="s">
        <v>46</v>
      </c>
      <c r="Q227" s="10" t="s">
        <v>353</v>
      </c>
      <c r="R227" s="11">
        <v>45168</v>
      </c>
      <c r="S227" s="10" t="s">
        <v>520</v>
      </c>
      <c r="T227" s="3" t="str">
        <f>IF(AND(ProtocolosAF[[#This Row],[STATUS]]="APROVADO",ProtocolosAF[[#This Row],[WAIVER]]=""),"Y","")</f>
        <v/>
      </c>
      <c r="U227" t="s">
        <v>575</v>
      </c>
      <c r="V227" s="16" t="str">
        <f t="shared" si="16"/>
        <v>59H0J4NUCETE HERNANDO/PABLO</v>
      </c>
      <c r="W227">
        <v>209</v>
      </c>
    </row>
    <row r="228" spans="1:23" hidden="1">
      <c r="A228" s="1">
        <v>45168</v>
      </c>
      <c r="B228" t="s">
        <v>11</v>
      </c>
      <c r="C228" t="s">
        <v>537</v>
      </c>
      <c r="D228" s="23" t="s">
        <v>538</v>
      </c>
      <c r="E228" t="s">
        <v>73</v>
      </c>
      <c r="F228" s="19">
        <v>57564931</v>
      </c>
      <c r="G228" s="53">
        <v>574200484421</v>
      </c>
      <c r="H228" s="52">
        <v>180</v>
      </c>
      <c r="I228" s="5" t="s">
        <v>74</v>
      </c>
      <c r="J228" s="52" cm="1">
        <f t="array" ref="J22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180</v>
      </c>
      <c r="K228" s="56" t="s">
        <v>84</v>
      </c>
      <c r="L228" s="54" t="s">
        <v>76</v>
      </c>
      <c r="M228" t="s">
        <v>43</v>
      </c>
      <c r="N228" s="15" t="s">
        <v>85</v>
      </c>
      <c r="O228" s="5" t="s">
        <v>573</v>
      </c>
      <c r="P228" s="17" t="s">
        <v>46</v>
      </c>
      <c r="Q228" s="10" t="s">
        <v>353</v>
      </c>
      <c r="R228" s="11">
        <v>45168</v>
      </c>
      <c r="S228" s="10" t="s">
        <v>520</v>
      </c>
      <c r="T228" s="3" t="str">
        <f>IF(AND(ProtocolosAF[[#This Row],[STATUS]]="APROVADO",ProtocolosAF[[#This Row],[WAIVER]]=""),"Y","")</f>
        <v/>
      </c>
      <c r="U228" t="s">
        <v>576</v>
      </c>
      <c r="V228" s="16" t="str">
        <f t="shared" si="16"/>
        <v>59H0J4NUCETE HERNANDO/MARTIN</v>
      </c>
      <c r="W228">
        <v>209</v>
      </c>
    </row>
    <row r="229" spans="1:23" hidden="1">
      <c r="A229" s="1">
        <v>45168</v>
      </c>
      <c r="B229" t="s">
        <v>13</v>
      </c>
      <c r="C229" t="s">
        <v>577</v>
      </c>
      <c r="D229" s="23" t="s">
        <v>577</v>
      </c>
      <c r="E229" t="s">
        <v>41</v>
      </c>
      <c r="F229" s="19">
        <v>57564931</v>
      </c>
      <c r="G229" s="53">
        <v>579057620612</v>
      </c>
      <c r="H229" s="52">
        <v>3567</v>
      </c>
      <c r="I229" s="5">
        <v>0.2</v>
      </c>
      <c r="J229" s="52" cm="1">
        <f t="array" ref="J22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714</v>
      </c>
      <c r="K229" s="56" t="s">
        <v>151</v>
      </c>
      <c r="L229" s="54" t="s">
        <v>488</v>
      </c>
      <c r="M229" t="s">
        <v>43</v>
      </c>
      <c r="N229" s="15" t="s">
        <v>44</v>
      </c>
      <c r="O229" s="5" t="s">
        <v>578</v>
      </c>
      <c r="P229" s="17" t="s">
        <v>69</v>
      </c>
      <c r="Q229" s="10" t="s">
        <v>168</v>
      </c>
      <c r="R229" s="11">
        <v>45168</v>
      </c>
      <c r="S229" s="10" t="s">
        <v>48</v>
      </c>
      <c r="T229" s="3" t="str">
        <f>IF(AND(ProtocolosAF[[#This Row],[STATUS]]="APROVADO",ProtocolosAF[[#This Row],[WAIVER]]=""),"Y","")</f>
        <v/>
      </c>
      <c r="U229" t="s">
        <v>579</v>
      </c>
      <c r="V229" s="16" t="str">
        <f t="shared" si="16"/>
        <v>2ICOX8OLIVEIRA/FLAVIO</v>
      </c>
      <c r="W229">
        <v>210</v>
      </c>
    </row>
    <row r="230" spans="1:23" hidden="1">
      <c r="A230" s="1">
        <v>45169</v>
      </c>
      <c r="B230" t="s">
        <v>11</v>
      </c>
      <c r="C230" t="s">
        <v>580</v>
      </c>
      <c r="D230" s="23" t="s">
        <v>580</v>
      </c>
      <c r="E230" t="s">
        <v>41</v>
      </c>
      <c r="F230" s="19">
        <v>57565443</v>
      </c>
      <c r="G230" s="53">
        <v>579057512306</v>
      </c>
      <c r="H230" s="52">
        <v>1413</v>
      </c>
      <c r="I230" s="5">
        <v>0.1</v>
      </c>
      <c r="J230" s="52" cm="1">
        <f t="array" ref="J23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142</v>
      </c>
      <c r="K230" s="56" t="s">
        <v>99</v>
      </c>
      <c r="L230" s="54" t="s">
        <v>76</v>
      </c>
      <c r="M230" t="s">
        <v>43</v>
      </c>
      <c r="N230" s="15" t="s">
        <v>67</v>
      </c>
      <c r="O230" s="5" t="s">
        <v>145</v>
      </c>
      <c r="P230" s="17" t="s">
        <v>69</v>
      </c>
      <c r="Q230" s="10" t="s">
        <v>250</v>
      </c>
      <c r="R230" s="11">
        <v>45535</v>
      </c>
      <c r="S230" s="10" t="s">
        <v>48</v>
      </c>
      <c r="T230" s="3" t="str">
        <f>IF(AND(ProtocolosAF[[#This Row],[STATUS]]="APROVADO",ProtocolosAF[[#This Row],[WAIVER]]=""),"Y","")</f>
        <v/>
      </c>
      <c r="U230" t="s">
        <v>581</v>
      </c>
      <c r="V230" s="16" t="str">
        <f t="shared" si="16"/>
        <v>2O3LJF 1.FELIPE DE SOUZA/BRUNO MR</v>
      </c>
      <c r="W230">
        <v>211</v>
      </c>
    </row>
    <row r="231" spans="1:23" hidden="1">
      <c r="A231" s="1">
        <v>45169</v>
      </c>
      <c r="B231" t="s">
        <v>15</v>
      </c>
      <c r="C231" t="s">
        <v>582</v>
      </c>
      <c r="D231" s="23" t="s">
        <v>582</v>
      </c>
      <c r="E231" t="s">
        <v>41</v>
      </c>
      <c r="F231" s="19">
        <v>57564931</v>
      </c>
      <c r="G231" s="53">
        <v>579057630877</v>
      </c>
      <c r="H231" s="52">
        <v>1855</v>
      </c>
      <c r="I231" s="5">
        <v>0.15</v>
      </c>
      <c r="J231" s="52" cm="1">
        <f t="array" ref="J23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279</v>
      </c>
      <c r="K231" s="56" t="s">
        <v>75</v>
      </c>
      <c r="L231" s="54" t="s">
        <v>76</v>
      </c>
      <c r="M231" t="s">
        <v>43</v>
      </c>
      <c r="N231" s="15" t="s">
        <v>67</v>
      </c>
      <c r="O231" s="5" t="s">
        <v>583</v>
      </c>
      <c r="P231" s="17" t="s">
        <v>69</v>
      </c>
      <c r="Q231" s="10" t="s">
        <v>79</v>
      </c>
      <c r="R231" s="11">
        <v>45170</v>
      </c>
      <c r="S231" s="10" t="s">
        <v>48</v>
      </c>
      <c r="T231" s="3" t="str">
        <f>IF(AND(ProtocolosAF[[#This Row],[STATUS]]="APROVADO",ProtocolosAF[[#This Row],[WAIVER]]=""),"Y","")</f>
        <v/>
      </c>
      <c r="U231" t="s">
        <v>584</v>
      </c>
      <c r="V231" s="16" t="str">
        <f t="shared" si="16"/>
        <v>2OCOR2ANTICO/LUIZ HENRIQUE</v>
      </c>
      <c r="W231">
        <v>212</v>
      </c>
    </row>
    <row r="232" spans="1:23" hidden="1">
      <c r="A232" s="1">
        <v>45169</v>
      </c>
      <c r="B232" t="s">
        <v>15</v>
      </c>
      <c r="C232" t="s">
        <v>582</v>
      </c>
      <c r="D232" s="23" t="s">
        <v>582</v>
      </c>
      <c r="E232" t="s">
        <v>41</v>
      </c>
      <c r="F232" s="19">
        <v>57564931</v>
      </c>
      <c r="G232" s="53">
        <v>579057630879</v>
      </c>
      <c r="H232" s="52">
        <v>1855</v>
      </c>
      <c r="I232" s="5">
        <v>0.15</v>
      </c>
      <c r="J232" s="52" cm="1">
        <f t="array" ref="J23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279</v>
      </c>
      <c r="K232" s="56" t="s">
        <v>75</v>
      </c>
      <c r="L232" s="54" t="s">
        <v>76</v>
      </c>
      <c r="M232" t="s">
        <v>43</v>
      </c>
      <c r="N232" s="15" t="s">
        <v>67</v>
      </c>
      <c r="O232" s="5" t="s">
        <v>583</v>
      </c>
      <c r="P232" s="17" t="s">
        <v>69</v>
      </c>
      <c r="Q232" s="10" t="s">
        <v>79</v>
      </c>
      <c r="R232" s="11">
        <v>45170</v>
      </c>
      <c r="S232" s="10" t="s">
        <v>48</v>
      </c>
      <c r="T232" s="3" t="str">
        <f>IF(AND(ProtocolosAF[[#This Row],[STATUS]]="APROVADO",ProtocolosAF[[#This Row],[WAIVER]]=""),"Y","")</f>
        <v/>
      </c>
      <c r="U232" t="s">
        <v>585</v>
      </c>
      <c r="V232" s="16" t="str">
        <f t="shared" si="16"/>
        <v>2OCOR2DE SOUZA GOMES/GRACIANE</v>
      </c>
      <c r="W232">
        <v>212</v>
      </c>
    </row>
    <row r="233" spans="1:23" hidden="1">
      <c r="A233" s="1">
        <v>45170</v>
      </c>
      <c r="B233" t="s">
        <v>10</v>
      </c>
      <c r="C233" t="s">
        <v>586</v>
      </c>
      <c r="D233" s="23" t="s">
        <v>587</v>
      </c>
      <c r="E233" t="s">
        <v>73</v>
      </c>
      <c r="F233" s="19">
        <v>57994602</v>
      </c>
      <c r="G233" s="53">
        <v>574200484457</v>
      </c>
      <c r="H233" s="52">
        <v>90</v>
      </c>
      <c r="I233" s="5" t="s">
        <v>74</v>
      </c>
      <c r="J233" s="52" cm="1">
        <f t="array" ref="J23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90</v>
      </c>
      <c r="K233" s="56" t="s">
        <v>105</v>
      </c>
      <c r="L233" s="54" t="s">
        <v>172</v>
      </c>
      <c r="M233" t="s">
        <v>43</v>
      </c>
      <c r="N233" s="15" t="s">
        <v>67</v>
      </c>
      <c r="O233" s="5" t="s">
        <v>78</v>
      </c>
      <c r="P233" s="17" t="s">
        <v>69</v>
      </c>
      <c r="Q233" s="10" t="s">
        <v>239</v>
      </c>
      <c r="R233" s="11">
        <v>45173</v>
      </c>
      <c r="S233" s="10" t="s">
        <v>73</v>
      </c>
      <c r="T233" s="3" t="str">
        <f>IF(AND(ProtocolosAF[[#This Row],[STATUS]]="APROVADO",ProtocolosAF[[#This Row],[WAIVER]]=""),"Y","")</f>
        <v/>
      </c>
      <c r="U233" t="s">
        <v>588</v>
      </c>
      <c r="V233" s="16" t="str">
        <f t="shared" si="16"/>
        <v>NIOPJNLODI DOS SANTOS/RENAN AUGUSTO</v>
      </c>
      <c r="W233">
        <v>214</v>
      </c>
    </row>
    <row r="234" spans="1:23" hidden="1">
      <c r="A234" s="1">
        <v>45170</v>
      </c>
      <c r="B234" t="s">
        <v>10</v>
      </c>
      <c r="C234" t="s">
        <v>589</v>
      </c>
      <c r="D234" s="23" t="s">
        <v>590</v>
      </c>
      <c r="E234" t="s">
        <v>73</v>
      </c>
      <c r="F234" s="19">
        <v>57994602</v>
      </c>
      <c r="G234" s="53">
        <v>574200484465</v>
      </c>
      <c r="H234" s="52">
        <v>90</v>
      </c>
      <c r="I234" s="5" t="s">
        <v>74</v>
      </c>
      <c r="J234" s="52" cm="1">
        <f t="array" ref="J23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90</v>
      </c>
      <c r="K234" s="56" t="s">
        <v>105</v>
      </c>
      <c r="L234" s="54" t="s">
        <v>172</v>
      </c>
      <c r="M234" t="s">
        <v>43</v>
      </c>
      <c r="N234" s="15" t="s">
        <v>67</v>
      </c>
      <c r="O234" s="5" t="s">
        <v>78</v>
      </c>
      <c r="P234" s="17" t="s">
        <v>69</v>
      </c>
      <c r="Q234" s="10" t="s">
        <v>239</v>
      </c>
      <c r="R234" s="11">
        <v>45173</v>
      </c>
      <c r="S234" s="10" t="s">
        <v>73</v>
      </c>
      <c r="T234" s="3" t="str">
        <f>IF(AND(ProtocolosAF[[#This Row],[STATUS]]="APROVADO",ProtocolosAF[[#This Row],[WAIVER]]=""),"Y","")</f>
        <v/>
      </c>
      <c r="U234" t="s">
        <v>591</v>
      </c>
      <c r="V234" s="16" t="str">
        <f t="shared" si="16"/>
        <v>NJTAUQDE OLIVEIRA CAMPOS/VANDERSON MR</v>
      </c>
      <c r="W234">
        <v>213</v>
      </c>
    </row>
    <row r="235" spans="1:23" hidden="1">
      <c r="A235" s="1">
        <v>45170</v>
      </c>
      <c r="B235" t="s">
        <v>10</v>
      </c>
      <c r="C235" t="s">
        <v>589</v>
      </c>
      <c r="D235" s="23" t="s">
        <v>590</v>
      </c>
      <c r="E235" t="s">
        <v>73</v>
      </c>
      <c r="F235" s="19">
        <v>57994602</v>
      </c>
      <c r="G235" s="53">
        <v>574200484466</v>
      </c>
      <c r="H235" s="52">
        <v>90</v>
      </c>
      <c r="I235" s="5" t="s">
        <v>74</v>
      </c>
      <c r="J235" s="52" cm="1">
        <f t="array" ref="J23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90</v>
      </c>
      <c r="K235" s="56" t="s">
        <v>105</v>
      </c>
      <c r="L235" s="54" t="s">
        <v>172</v>
      </c>
      <c r="M235" t="s">
        <v>43</v>
      </c>
      <c r="N235" s="15" t="s">
        <v>67</v>
      </c>
      <c r="O235" s="5" t="s">
        <v>78</v>
      </c>
      <c r="P235" s="17" t="s">
        <v>69</v>
      </c>
      <c r="Q235" s="10" t="s">
        <v>239</v>
      </c>
      <c r="R235" s="11">
        <v>45173</v>
      </c>
      <c r="S235" s="10" t="s">
        <v>73</v>
      </c>
      <c r="T235" s="3" t="str">
        <f>IF(AND(ProtocolosAF[[#This Row],[STATUS]]="APROVADO",ProtocolosAF[[#This Row],[WAIVER]]=""),"Y","")</f>
        <v/>
      </c>
      <c r="U235" t="s">
        <v>592</v>
      </c>
      <c r="V235" s="16" t="str">
        <f t="shared" si="16"/>
        <v>NJTAUQOLIVEIRA SILVA/CAIO HENRIQUE MR</v>
      </c>
      <c r="W235">
        <v>213</v>
      </c>
    </row>
    <row r="236" spans="1:23" hidden="1">
      <c r="A236" s="1">
        <v>45170</v>
      </c>
      <c r="B236" t="s">
        <v>10</v>
      </c>
      <c r="C236" t="s">
        <v>593</v>
      </c>
      <c r="D236" s="23" t="s">
        <v>594</v>
      </c>
      <c r="E236" t="s">
        <v>73</v>
      </c>
      <c r="F236" s="19">
        <v>57994602</v>
      </c>
      <c r="G236" s="53">
        <v>574200484456</v>
      </c>
      <c r="H236" s="52">
        <v>90</v>
      </c>
      <c r="I236" s="5" t="s">
        <v>74</v>
      </c>
      <c r="J236" s="52" cm="1">
        <f t="array" ref="J23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90</v>
      </c>
      <c r="K236" s="56" t="s">
        <v>105</v>
      </c>
      <c r="L236" s="54" t="s">
        <v>172</v>
      </c>
      <c r="M236" t="s">
        <v>43</v>
      </c>
      <c r="N236" s="15" t="s">
        <v>67</v>
      </c>
      <c r="O236" s="5" t="s">
        <v>78</v>
      </c>
      <c r="P236" s="17" t="s">
        <v>69</v>
      </c>
      <c r="Q236" s="10" t="s">
        <v>222</v>
      </c>
      <c r="R236" s="11">
        <v>45181</v>
      </c>
      <c r="S236" s="10" t="s">
        <v>73</v>
      </c>
      <c r="T236" s="3" t="str">
        <f>IF(AND(ProtocolosAF[[#This Row],[STATUS]]="APROVADO",ProtocolosAF[[#This Row],[WAIVER]]=""),"Y","")</f>
        <v/>
      </c>
      <c r="U236" t="s">
        <v>595</v>
      </c>
      <c r="V236" s="16" t="str">
        <f t="shared" si="16"/>
        <v xml:space="preserve">OPZHIJAOAS CORREA/MARCOS </v>
      </c>
      <c r="W236">
        <v>215</v>
      </c>
    </row>
    <row r="237" spans="1:23" hidden="1">
      <c r="A237" s="1">
        <v>45170</v>
      </c>
      <c r="B237" t="s">
        <v>11</v>
      </c>
      <c r="C237" t="s">
        <v>596</v>
      </c>
      <c r="D237" s="23" t="s">
        <v>596</v>
      </c>
      <c r="E237" t="s">
        <v>41</v>
      </c>
      <c r="F237" s="19">
        <v>57564931</v>
      </c>
      <c r="G237" s="53">
        <v>579057634726</v>
      </c>
      <c r="H237" s="52">
        <v>2660</v>
      </c>
      <c r="I237" s="5">
        <v>0.1</v>
      </c>
      <c r="J237" s="52" cm="1">
        <f t="array" ref="J23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266</v>
      </c>
      <c r="K237" s="56" t="s">
        <v>84</v>
      </c>
      <c r="L237" s="54" t="s">
        <v>76</v>
      </c>
      <c r="M237" t="s">
        <v>43</v>
      </c>
      <c r="N237" s="15" t="s">
        <v>85</v>
      </c>
      <c r="O237" s="5" t="s">
        <v>597</v>
      </c>
      <c r="P237" s="17" t="s">
        <v>69</v>
      </c>
      <c r="Q237" s="10" t="s">
        <v>353</v>
      </c>
      <c r="R237" s="11">
        <v>45180</v>
      </c>
      <c r="S237" s="10" t="s">
        <v>48</v>
      </c>
      <c r="T237" s="3" t="str">
        <f>IF(AND(ProtocolosAF[[#This Row],[STATUS]]="APROVADO",ProtocolosAF[[#This Row],[WAIVER]]=""),"Y","")</f>
        <v/>
      </c>
      <c r="U237" t="s">
        <v>598</v>
      </c>
      <c r="V237" s="16" t="str">
        <f t="shared" si="16"/>
        <v>2VF3KHDE CASTRO GOMES/DANIELA BEATRIZ MRS</v>
      </c>
      <c r="W237">
        <v>216</v>
      </c>
    </row>
    <row r="238" spans="1:23" hidden="1">
      <c r="A238" s="1">
        <v>45170</v>
      </c>
      <c r="B238" t="s">
        <v>11</v>
      </c>
      <c r="C238" t="s">
        <v>596</v>
      </c>
      <c r="D238" s="23" t="s">
        <v>596</v>
      </c>
      <c r="E238" t="s">
        <v>41</v>
      </c>
      <c r="F238" s="19">
        <v>57564931</v>
      </c>
      <c r="G238" s="53">
        <v>579057634728</v>
      </c>
      <c r="H238" s="52">
        <v>2660</v>
      </c>
      <c r="I238" s="5">
        <v>0.1</v>
      </c>
      <c r="J238" s="52" cm="1">
        <f t="array" ref="J23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266</v>
      </c>
      <c r="K238" s="56" t="s">
        <v>84</v>
      </c>
      <c r="L238" s="54" t="s">
        <v>76</v>
      </c>
      <c r="M238" t="s">
        <v>43</v>
      </c>
      <c r="N238" s="15" t="s">
        <v>85</v>
      </c>
      <c r="O238" s="5" t="s">
        <v>597</v>
      </c>
      <c r="P238" s="17" t="s">
        <v>69</v>
      </c>
      <c r="Q238" s="10" t="s">
        <v>353</v>
      </c>
      <c r="R238" s="11">
        <v>45180</v>
      </c>
      <c r="S238" s="10" t="s">
        <v>48</v>
      </c>
      <c r="T238" s="3" t="str">
        <f>IF(AND(ProtocolosAF[[#This Row],[STATUS]]="APROVADO",ProtocolosAF[[#This Row],[WAIVER]]=""),"Y","")</f>
        <v/>
      </c>
      <c r="U238" t="s">
        <v>599</v>
      </c>
      <c r="V238" s="16" t="str">
        <f t="shared" si="16"/>
        <v>2VF3KHMUNDIM FERREIRA PIRES/THIBERIO MR</v>
      </c>
      <c r="W238">
        <v>216</v>
      </c>
    </row>
    <row r="239" spans="1:23" hidden="1">
      <c r="A239" s="1">
        <v>45173</v>
      </c>
      <c r="B239" t="s">
        <v>12</v>
      </c>
      <c r="C239" t="s">
        <v>600</v>
      </c>
      <c r="D239" s="23" t="s">
        <v>600</v>
      </c>
      <c r="E239" t="s">
        <v>41</v>
      </c>
      <c r="F239" s="19">
        <v>57564931</v>
      </c>
      <c r="G239" s="53">
        <v>579057644440</v>
      </c>
      <c r="H239" s="52">
        <v>2438</v>
      </c>
      <c r="I239" s="5">
        <v>0.13</v>
      </c>
      <c r="J239" s="52" cm="1">
        <f t="array" ref="J23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317</v>
      </c>
      <c r="K239" s="56" t="s">
        <v>227</v>
      </c>
      <c r="L239" s="54" t="s">
        <v>66</v>
      </c>
      <c r="M239" t="s">
        <v>43</v>
      </c>
      <c r="N239" s="15" t="s">
        <v>44</v>
      </c>
      <c r="O239" s="5" t="s">
        <v>238</v>
      </c>
      <c r="P239" s="17" t="s">
        <v>69</v>
      </c>
      <c r="Q239" s="10" t="s">
        <v>229</v>
      </c>
      <c r="R239" s="11">
        <v>45173</v>
      </c>
      <c r="S239" s="10" t="s">
        <v>48</v>
      </c>
      <c r="T239" s="3" t="str">
        <f>IF(AND(ProtocolosAF[[#This Row],[STATUS]]="APROVADO",ProtocolosAF[[#This Row],[WAIVER]]=""),"Y","")</f>
        <v/>
      </c>
      <c r="U239" t="s">
        <v>601</v>
      </c>
      <c r="V239" s="16" t="str">
        <f t="shared" si="16"/>
        <v>3CZRJYAZEVEDO LIZIARDI/WILLIAM</v>
      </c>
      <c r="W239">
        <v>217</v>
      </c>
    </row>
    <row r="240" spans="1:23" hidden="1">
      <c r="A240" s="1">
        <v>45173</v>
      </c>
      <c r="B240" t="s">
        <v>12</v>
      </c>
      <c r="C240" t="s">
        <v>600</v>
      </c>
      <c r="D240" s="23" t="s">
        <v>600</v>
      </c>
      <c r="E240" t="s">
        <v>41</v>
      </c>
      <c r="F240" s="19">
        <v>57564931</v>
      </c>
      <c r="G240" s="53">
        <v>579057644442</v>
      </c>
      <c r="H240" s="52">
        <v>2438</v>
      </c>
      <c r="I240" s="5">
        <v>0.13</v>
      </c>
      <c r="J240" s="52" cm="1">
        <f t="array" ref="J24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317</v>
      </c>
      <c r="K240" s="56" t="s">
        <v>227</v>
      </c>
      <c r="L240" s="54" t="s">
        <v>66</v>
      </c>
      <c r="M240" t="s">
        <v>43</v>
      </c>
      <c r="N240" s="15" t="s">
        <v>44</v>
      </c>
      <c r="O240" s="5" t="s">
        <v>238</v>
      </c>
      <c r="P240" s="17" t="s">
        <v>69</v>
      </c>
      <c r="Q240" s="10" t="s">
        <v>229</v>
      </c>
      <c r="R240" s="11">
        <v>45173</v>
      </c>
      <c r="S240" s="10" t="s">
        <v>48</v>
      </c>
      <c r="T240" s="3" t="str">
        <f>IF(AND(ProtocolosAF[[#This Row],[STATUS]]="APROVADO",ProtocolosAF[[#This Row],[WAIVER]]=""),"Y","")</f>
        <v/>
      </c>
      <c r="U240" t="s">
        <v>602</v>
      </c>
      <c r="V240" s="16" t="str">
        <f t="shared" si="16"/>
        <v>3CZRJYFAGUNDES OLIVEIRA/CASSIANO</v>
      </c>
      <c r="W240">
        <v>217</v>
      </c>
    </row>
    <row r="241" spans="1:23" hidden="1">
      <c r="A241" s="1">
        <v>45173</v>
      </c>
      <c r="B241" t="s">
        <v>12</v>
      </c>
      <c r="C241" t="s">
        <v>600</v>
      </c>
      <c r="D241" s="23" t="s">
        <v>600</v>
      </c>
      <c r="E241" t="s">
        <v>41</v>
      </c>
      <c r="F241" s="19">
        <v>57564931</v>
      </c>
      <c r="G241" s="53">
        <v>579057644444</v>
      </c>
      <c r="H241" s="52">
        <v>2438</v>
      </c>
      <c r="I241" s="5">
        <v>0.13</v>
      </c>
      <c r="J241" s="52" cm="1">
        <f t="array" ref="J24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317</v>
      </c>
      <c r="K241" s="56" t="s">
        <v>227</v>
      </c>
      <c r="L241" s="54" t="s">
        <v>66</v>
      </c>
      <c r="M241" t="s">
        <v>43</v>
      </c>
      <c r="N241" s="15" t="s">
        <v>44</v>
      </c>
      <c r="O241" s="5" t="s">
        <v>238</v>
      </c>
      <c r="P241" s="17" t="s">
        <v>69</v>
      </c>
      <c r="Q241" s="10" t="s">
        <v>229</v>
      </c>
      <c r="R241" s="11">
        <v>45173</v>
      </c>
      <c r="S241" s="10" t="s">
        <v>48</v>
      </c>
      <c r="T241" s="3" t="str">
        <f>IF(AND(ProtocolosAF[[#This Row],[STATUS]]="APROVADO",ProtocolosAF[[#This Row],[WAIVER]]=""),"Y","")</f>
        <v/>
      </c>
      <c r="U241" t="s">
        <v>603</v>
      </c>
      <c r="V241" s="16" t="str">
        <f t="shared" si="16"/>
        <v>3CZRJYHERZOG MEURER/FELIPE</v>
      </c>
      <c r="W241">
        <v>217</v>
      </c>
    </row>
    <row r="242" spans="1:23" hidden="1">
      <c r="A242" s="1">
        <v>45173</v>
      </c>
      <c r="B242" t="s">
        <v>12</v>
      </c>
      <c r="C242" t="s">
        <v>600</v>
      </c>
      <c r="D242" s="23" t="s">
        <v>600</v>
      </c>
      <c r="E242" t="s">
        <v>41</v>
      </c>
      <c r="F242" s="19">
        <v>57564931</v>
      </c>
      <c r="G242" s="53">
        <v>579057644446</v>
      </c>
      <c r="H242" s="52">
        <v>2438</v>
      </c>
      <c r="I242" s="5">
        <v>0.13</v>
      </c>
      <c r="J242" s="52" cm="1">
        <f t="array" ref="J24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317</v>
      </c>
      <c r="K242" s="56" t="s">
        <v>227</v>
      </c>
      <c r="L242" s="54" t="s">
        <v>66</v>
      </c>
      <c r="M242" t="s">
        <v>43</v>
      </c>
      <c r="N242" s="15" t="s">
        <v>44</v>
      </c>
      <c r="O242" s="5" t="s">
        <v>238</v>
      </c>
      <c r="P242" s="17" t="s">
        <v>69</v>
      </c>
      <c r="Q242" s="10" t="s">
        <v>229</v>
      </c>
      <c r="R242" s="11">
        <v>45173</v>
      </c>
      <c r="S242" s="10" t="s">
        <v>48</v>
      </c>
      <c r="T242" s="3" t="str">
        <f>IF(AND(ProtocolosAF[[#This Row],[STATUS]]="APROVADO",ProtocolosAF[[#This Row],[WAIVER]]=""),"Y","")</f>
        <v/>
      </c>
      <c r="U242" t="s">
        <v>604</v>
      </c>
      <c r="V242" s="16" t="str">
        <f t="shared" si="16"/>
        <v>3CZRJYSCHOSLER/MARCIO RAFAEL</v>
      </c>
      <c r="W242">
        <v>217</v>
      </c>
    </row>
    <row r="243" spans="1:23" hidden="1">
      <c r="A243" s="1">
        <v>45173</v>
      </c>
      <c r="B243" t="s">
        <v>10</v>
      </c>
      <c r="C243" t="s">
        <v>605</v>
      </c>
      <c r="D243" s="23" t="s">
        <v>606</v>
      </c>
      <c r="E243" t="s">
        <v>73</v>
      </c>
      <c r="F243" s="19">
        <v>57994602</v>
      </c>
      <c r="G243" s="53">
        <v>574200484469</v>
      </c>
      <c r="H243" s="52">
        <v>178</v>
      </c>
      <c r="I243" s="5" t="s">
        <v>74</v>
      </c>
      <c r="J243" s="52" cm="1">
        <f t="array" ref="J24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</v>
      </c>
      <c r="K243" s="56" t="s">
        <v>189</v>
      </c>
      <c r="L243" s="54" t="s">
        <v>172</v>
      </c>
      <c r="M243" t="s">
        <v>43</v>
      </c>
      <c r="N243" s="15" t="s">
        <v>67</v>
      </c>
      <c r="O243" s="5" t="s">
        <v>78</v>
      </c>
      <c r="P243" s="17" t="s">
        <v>69</v>
      </c>
      <c r="Q243" s="10" t="s">
        <v>222</v>
      </c>
      <c r="R243" s="11">
        <v>45181</v>
      </c>
      <c r="S243" s="10" t="s">
        <v>73</v>
      </c>
      <c r="T243" s="3" t="str">
        <f>IF(AND(ProtocolosAF[[#This Row],[STATUS]]="APROVADO",ProtocolosAF[[#This Row],[WAIVER]]=""),"Y","")</f>
        <v/>
      </c>
      <c r="U243" t="s">
        <v>607</v>
      </c>
      <c r="V243" s="16" t="str">
        <f t="shared" si="16"/>
        <v>5J86LNDE OLIVEIRA LYRA FILHO/MILTONMR</v>
      </c>
      <c r="W243">
        <v>218</v>
      </c>
    </row>
    <row r="244" spans="1:23" hidden="1">
      <c r="A244" s="1">
        <v>45174</v>
      </c>
      <c r="B244" t="s">
        <v>10</v>
      </c>
      <c r="C244" t="s">
        <v>608</v>
      </c>
      <c r="D244" s="23" t="s">
        <v>609</v>
      </c>
      <c r="E244" t="s">
        <v>41</v>
      </c>
      <c r="F244" s="19">
        <v>57564931</v>
      </c>
      <c r="G244" s="53">
        <v>579375453852</v>
      </c>
      <c r="H244" s="52">
        <v>1237</v>
      </c>
      <c r="I244" s="5">
        <v>0.13</v>
      </c>
      <c r="J244" s="52" cm="1">
        <f t="array" ref="J24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161</v>
      </c>
      <c r="K244" s="56" t="s">
        <v>144</v>
      </c>
      <c r="L244" s="54" t="s">
        <v>76</v>
      </c>
      <c r="M244" t="s">
        <v>43</v>
      </c>
      <c r="N244" s="15" t="s">
        <v>67</v>
      </c>
      <c r="O244" s="5" t="s">
        <v>101</v>
      </c>
      <c r="P244" s="17" t="s">
        <v>46</v>
      </c>
      <c r="Q244" s="10" t="s">
        <v>222</v>
      </c>
      <c r="R244" s="11">
        <v>45175</v>
      </c>
      <c r="S244" s="10" t="s">
        <v>48</v>
      </c>
      <c r="T244" s="3" t="str">
        <f>IF(AND(ProtocolosAF[[#This Row],[STATUS]]="APROVADO",ProtocolosAF[[#This Row],[WAIVER]]=""),"Y","")</f>
        <v/>
      </c>
      <c r="U244" t="s">
        <v>610</v>
      </c>
      <c r="V244" s="16" t="str">
        <f t="shared" ref="V244:V275" si="17">_xlfn.CONCAT(C244,U244)</f>
        <v>JNECQH1.1BEINISIS GRINBAUM/MARCELO</v>
      </c>
      <c r="W244">
        <v>222</v>
      </c>
    </row>
    <row r="245" spans="1:23" hidden="1">
      <c r="A245" s="1">
        <v>45174</v>
      </c>
      <c r="B245" t="s">
        <v>10</v>
      </c>
      <c r="C245" t="s">
        <v>608</v>
      </c>
      <c r="D245" s="23" t="s">
        <v>609</v>
      </c>
      <c r="E245" t="s">
        <v>41</v>
      </c>
      <c r="F245" s="19">
        <v>57564931</v>
      </c>
      <c r="G245" s="53">
        <v>579375453853</v>
      </c>
      <c r="H245" s="52">
        <v>1237</v>
      </c>
      <c r="I245" s="5">
        <v>0.13</v>
      </c>
      <c r="J245" s="52" cm="1">
        <f t="array" ref="J24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161</v>
      </c>
      <c r="K245" s="56" t="s">
        <v>144</v>
      </c>
      <c r="L245" s="54" t="s">
        <v>76</v>
      </c>
      <c r="M245" t="s">
        <v>43</v>
      </c>
      <c r="N245" s="15" t="s">
        <v>67</v>
      </c>
      <c r="O245" s="5" t="s">
        <v>101</v>
      </c>
      <c r="P245" s="17" t="s">
        <v>46</v>
      </c>
      <c r="Q245" s="10" t="s">
        <v>222</v>
      </c>
      <c r="R245" s="11">
        <v>45175</v>
      </c>
      <c r="S245" s="10" t="s">
        <v>48</v>
      </c>
      <c r="T245" s="3" t="str">
        <f>IF(AND(ProtocolosAF[[#This Row],[STATUS]]="APROVADO",ProtocolosAF[[#This Row],[WAIVER]]=""),"Y","")</f>
        <v/>
      </c>
      <c r="U245" t="s">
        <v>611</v>
      </c>
      <c r="V245" s="16" t="str">
        <f t="shared" si="17"/>
        <v>JNECQH2.1HAMOUI/TATIANA MRS</v>
      </c>
      <c r="W245">
        <v>222</v>
      </c>
    </row>
    <row r="246" spans="1:23" hidden="1">
      <c r="A246" s="1">
        <v>45177</v>
      </c>
      <c r="B246" t="s">
        <v>11</v>
      </c>
      <c r="C246" t="s">
        <v>612</v>
      </c>
      <c r="D246" s="23" t="s">
        <v>612</v>
      </c>
      <c r="E246" t="s">
        <v>41</v>
      </c>
      <c r="F246" s="19"/>
      <c r="G246" s="53"/>
      <c r="H246" s="52">
        <v>3297</v>
      </c>
      <c r="I246" s="5">
        <v>0.1</v>
      </c>
      <c r="J246" s="52" t="str" cm="1">
        <f t="array" ref="J24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46" s="56" t="s">
        <v>84</v>
      </c>
      <c r="L246" s="54" t="s">
        <v>613</v>
      </c>
      <c r="M246" t="s">
        <v>100</v>
      </c>
      <c r="N246" s="15" t="s">
        <v>85</v>
      </c>
      <c r="O246" s="5" t="s">
        <v>614</v>
      </c>
      <c r="P246" s="17" t="s">
        <v>69</v>
      </c>
      <c r="Q246" s="10"/>
      <c r="R246" s="11"/>
      <c r="S246" s="10"/>
      <c r="T246" s="3" t="str">
        <f>IF(AND(ProtocolosAF[[#This Row],[STATUS]]="APROVADO",ProtocolosAF[[#This Row],[WAIVER]]=""),"Y","")</f>
        <v/>
      </c>
      <c r="U246" t="s">
        <v>615</v>
      </c>
      <c r="V246" s="16" t="str">
        <f t="shared" si="17"/>
        <v>3QT8UCCOSER SETTE FERRACO/VIVIAN</v>
      </c>
      <c r="W246">
        <v>227</v>
      </c>
    </row>
    <row r="247" spans="1:23" hidden="1">
      <c r="A247" s="1">
        <v>45180</v>
      </c>
      <c r="B247" t="s">
        <v>10</v>
      </c>
      <c r="C247" t="s">
        <v>616</v>
      </c>
      <c r="D247" s="23" t="s">
        <v>617</v>
      </c>
      <c r="E247" t="s">
        <v>41</v>
      </c>
      <c r="F247" s="19">
        <v>57564931</v>
      </c>
      <c r="G247" s="53">
        <v>579375479437</v>
      </c>
      <c r="H247" s="52">
        <v>1152</v>
      </c>
      <c r="I247" s="5">
        <v>0.15</v>
      </c>
      <c r="J247" s="52" cm="1">
        <f t="array" ref="J24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173</v>
      </c>
      <c r="K247" s="56" t="s">
        <v>144</v>
      </c>
      <c r="L247" s="54" t="s">
        <v>76</v>
      </c>
      <c r="M247" t="s">
        <v>43</v>
      </c>
      <c r="N247" s="15" t="s">
        <v>67</v>
      </c>
      <c r="O247" s="5" t="s">
        <v>101</v>
      </c>
      <c r="P247" s="17" t="s">
        <v>46</v>
      </c>
      <c r="Q247" s="10" t="s">
        <v>222</v>
      </c>
      <c r="R247" s="11">
        <v>45181</v>
      </c>
      <c r="S247" s="10" t="s">
        <v>48</v>
      </c>
      <c r="T247" s="3" t="str">
        <f>IF(AND(ProtocolosAF[[#This Row],[STATUS]]="APROVADO",ProtocolosAF[[#This Row],[WAIVER]]=""),"Y","")</f>
        <v/>
      </c>
      <c r="U247" t="s">
        <v>618</v>
      </c>
      <c r="V247" s="16" t="str">
        <f t="shared" si="17"/>
        <v>LXLSEE1.1IBANEZ/RITA BENOZZATI</v>
      </c>
      <c r="W247">
        <v>228</v>
      </c>
    </row>
    <row r="248" spans="1:23" hidden="1">
      <c r="A248" s="1">
        <v>45182</v>
      </c>
      <c r="B248" t="s">
        <v>11</v>
      </c>
      <c r="C248" t="s">
        <v>619</v>
      </c>
      <c r="D248" s="23" t="s">
        <v>620</v>
      </c>
      <c r="E248" t="s">
        <v>73</v>
      </c>
      <c r="F248" s="19">
        <v>57564931</v>
      </c>
      <c r="G248" s="53">
        <v>574200484539</v>
      </c>
      <c r="H248" s="52">
        <v>180</v>
      </c>
      <c r="I248" s="5" t="s">
        <v>74</v>
      </c>
      <c r="J248" s="52" cm="1">
        <f t="array" ref="J24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180</v>
      </c>
      <c r="K248" s="56" t="s">
        <v>84</v>
      </c>
      <c r="L248" s="54" t="s">
        <v>520</v>
      </c>
      <c r="M248" t="s">
        <v>43</v>
      </c>
      <c r="N248" s="15" t="s">
        <v>85</v>
      </c>
      <c r="O248" s="5" t="s">
        <v>380</v>
      </c>
      <c r="P248" s="17" t="s">
        <v>146</v>
      </c>
      <c r="Q248" s="10" t="s">
        <v>353</v>
      </c>
      <c r="R248" s="11">
        <v>45183</v>
      </c>
      <c r="S248" s="10" t="s">
        <v>520</v>
      </c>
      <c r="T248" s="3" t="str">
        <f>IF(AND(ProtocolosAF[[#This Row],[STATUS]]="APROVADO",ProtocolosAF[[#This Row],[WAIVER]]=""),"Y","")</f>
        <v/>
      </c>
      <c r="U248" t="s">
        <v>621</v>
      </c>
      <c r="V248" s="16" t="str">
        <f t="shared" si="17"/>
        <v>5LM8D5MARTINS/PAULO SERGIO</v>
      </c>
      <c r="W248">
        <v>230</v>
      </c>
    </row>
    <row r="249" spans="1:23" hidden="1">
      <c r="A249" s="1">
        <v>45183</v>
      </c>
      <c r="B249" t="s">
        <v>10</v>
      </c>
      <c r="C249" t="s">
        <v>622</v>
      </c>
      <c r="D249" s="23" t="s">
        <v>623</v>
      </c>
      <c r="E249" t="s">
        <v>41</v>
      </c>
      <c r="F249" s="19">
        <v>57564931</v>
      </c>
      <c r="G249" s="53">
        <v>579375491967</v>
      </c>
      <c r="H249" s="52">
        <v>1337</v>
      </c>
      <c r="I249" s="5">
        <v>0.15</v>
      </c>
      <c r="J249" s="52" cm="1">
        <f t="array" ref="J24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201</v>
      </c>
      <c r="K249" s="56" t="s">
        <v>306</v>
      </c>
      <c r="L249" s="54" t="s">
        <v>76</v>
      </c>
      <c r="M249" t="s">
        <v>43</v>
      </c>
      <c r="N249" s="15" t="s">
        <v>67</v>
      </c>
      <c r="O249" s="5" t="s">
        <v>624</v>
      </c>
      <c r="P249" s="17" t="s">
        <v>46</v>
      </c>
      <c r="Q249" s="10" t="s">
        <v>222</v>
      </c>
      <c r="R249" s="11">
        <v>45183</v>
      </c>
      <c r="S249" s="10" t="s">
        <v>48</v>
      </c>
      <c r="T249" s="3" t="str">
        <f>IF(AND(ProtocolosAF[[#This Row],[STATUS]]="APROVADO",ProtocolosAF[[#This Row],[WAIVER]]=""),"Y","")</f>
        <v/>
      </c>
      <c r="U249" t="s">
        <v>625</v>
      </c>
      <c r="V249" s="16" t="str">
        <f t="shared" si="17"/>
        <v>IDSKUJREIS/GILBERTO</v>
      </c>
      <c r="W249">
        <v>234</v>
      </c>
    </row>
    <row r="250" spans="1:23" hidden="1">
      <c r="A250" s="1">
        <v>45183</v>
      </c>
      <c r="B250" t="s">
        <v>10</v>
      </c>
      <c r="C250" t="s">
        <v>622</v>
      </c>
      <c r="D250" s="23" t="s">
        <v>623</v>
      </c>
      <c r="E250" t="s">
        <v>41</v>
      </c>
      <c r="F250" s="19">
        <v>57564931</v>
      </c>
      <c r="G250" s="53">
        <v>579375491968</v>
      </c>
      <c r="H250" s="52">
        <v>1337</v>
      </c>
      <c r="I250" s="5">
        <v>0.15</v>
      </c>
      <c r="J250" s="52" cm="1">
        <f t="array" ref="J25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201</v>
      </c>
      <c r="K250" s="56" t="s">
        <v>306</v>
      </c>
      <c r="L250" s="54" t="s">
        <v>76</v>
      </c>
      <c r="M250" t="s">
        <v>43</v>
      </c>
      <c r="N250" s="15" t="s">
        <v>67</v>
      </c>
      <c r="O250" s="5" t="s">
        <v>624</v>
      </c>
      <c r="P250" s="17" t="s">
        <v>46</v>
      </c>
      <c r="Q250" s="10" t="s">
        <v>222</v>
      </c>
      <c r="R250" s="11">
        <v>45183</v>
      </c>
      <c r="S250" s="10" t="s">
        <v>48</v>
      </c>
      <c r="T250" s="3" t="str">
        <f>IF(AND(ProtocolosAF[[#This Row],[STATUS]]="APROVADO",ProtocolosAF[[#This Row],[WAIVER]]=""),"Y","")</f>
        <v/>
      </c>
      <c r="U250" t="s">
        <v>626</v>
      </c>
      <c r="V250" s="16" t="str">
        <f t="shared" si="17"/>
        <v>IDSKUJSILVA/MARCELO</v>
      </c>
      <c r="W250">
        <v>234</v>
      </c>
    </row>
    <row r="251" spans="1:23" hidden="1">
      <c r="A251" s="1">
        <v>45183</v>
      </c>
      <c r="B251" t="s">
        <v>10</v>
      </c>
      <c r="C251" t="s">
        <v>622</v>
      </c>
      <c r="D251" s="23" t="s">
        <v>623</v>
      </c>
      <c r="E251" t="s">
        <v>41</v>
      </c>
      <c r="F251" s="19">
        <v>57564931</v>
      </c>
      <c r="G251" s="53">
        <v>579375491969</v>
      </c>
      <c r="H251" s="52">
        <v>1337</v>
      </c>
      <c r="I251" s="5">
        <v>0.15</v>
      </c>
      <c r="J251" s="52" cm="1">
        <f t="array" ref="J25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201</v>
      </c>
      <c r="K251" s="56" t="s">
        <v>306</v>
      </c>
      <c r="L251" s="54" t="s">
        <v>76</v>
      </c>
      <c r="M251" t="s">
        <v>43</v>
      </c>
      <c r="N251" s="15" t="s">
        <v>67</v>
      </c>
      <c r="O251" s="5" t="s">
        <v>624</v>
      </c>
      <c r="P251" s="17" t="s">
        <v>46</v>
      </c>
      <c r="Q251" s="10" t="s">
        <v>222</v>
      </c>
      <c r="R251" s="11">
        <v>45183</v>
      </c>
      <c r="S251" s="10" t="s">
        <v>48</v>
      </c>
      <c r="T251" s="3" t="str">
        <f>IF(AND(ProtocolosAF[[#This Row],[STATUS]]="APROVADO",ProtocolosAF[[#This Row],[WAIVER]]=""),"Y","")</f>
        <v/>
      </c>
      <c r="U251" t="s">
        <v>627</v>
      </c>
      <c r="V251" s="16" t="str">
        <f t="shared" si="17"/>
        <v>IDSKUJSANTOS/ISMAEL</v>
      </c>
      <c r="W251">
        <v>234</v>
      </c>
    </row>
    <row r="252" spans="1:23" hidden="1">
      <c r="A252" s="1">
        <v>45183</v>
      </c>
      <c r="B252" t="s">
        <v>15</v>
      </c>
      <c r="C252" t="s">
        <v>628</v>
      </c>
      <c r="D252" s="23" t="s">
        <v>628</v>
      </c>
      <c r="E252" t="s">
        <v>41</v>
      </c>
      <c r="F252" s="19">
        <v>57519652</v>
      </c>
      <c r="G252" s="53">
        <v>579057671930</v>
      </c>
      <c r="H252" s="52">
        <v>832</v>
      </c>
      <c r="I252" s="5">
        <v>0.1</v>
      </c>
      <c r="J252" s="52" cm="1">
        <f t="array" ref="J25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84</v>
      </c>
      <c r="K252" s="56" t="s">
        <v>75</v>
      </c>
      <c r="L252" s="54" t="s">
        <v>76</v>
      </c>
      <c r="M252" t="s">
        <v>43</v>
      </c>
      <c r="N252" s="15" t="s">
        <v>44</v>
      </c>
      <c r="O252" s="5" t="s">
        <v>145</v>
      </c>
      <c r="P252" s="17" t="s">
        <v>69</v>
      </c>
      <c r="Q252" s="10" t="s">
        <v>79</v>
      </c>
      <c r="R252" s="11">
        <v>45184</v>
      </c>
      <c r="S252" s="10" t="s">
        <v>48</v>
      </c>
      <c r="T252" s="3" t="str">
        <f>IF(AND(ProtocolosAF[[#This Row],[STATUS]]="APROVADO",ProtocolosAF[[#This Row],[WAIVER]]=""),"Y","")</f>
        <v/>
      </c>
      <c r="U252" t="s">
        <v>629</v>
      </c>
      <c r="V252" s="16" t="str">
        <f t="shared" si="17"/>
        <v>22S8MGMAYEUR/ALDA</v>
      </c>
      <c r="W252">
        <v>236</v>
      </c>
    </row>
    <row r="253" spans="1:23" hidden="1">
      <c r="A253" s="1">
        <v>45183</v>
      </c>
      <c r="B253" t="s">
        <v>15</v>
      </c>
      <c r="C253" t="s">
        <v>628</v>
      </c>
      <c r="D253" s="23" t="s">
        <v>628</v>
      </c>
      <c r="E253" t="s">
        <v>41</v>
      </c>
      <c r="F253" s="19">
        <v>57519652</v>
      </c>
      <c r="G253" s="53">
        <v>579057671931</v>
      </c>
      <c r="H253" s="52">
        <v>935</v>
      </c>
      <c r="I253" s="5">
        <v>0.1</v>
      </c>
      <c r="J253" s="52" cm="1">
        <f t="array" ref="J25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94</v>
      </c>
      <c r="K253" s="56" t="s">
        <v>75</v>
      </c>
      <c r="L253" s="54" t="s">
        <v>76</v>
      </c>
      <c r="M253" t="s">
        <v>43</v>
      </c>
      <c r="N253" s="15" t="s">
        <v>44</v>
      </c>
      <c r="O253" s="5" t="s">
        <v>145</v>
      </c>
      <c r="P253" s="17" t="s">
        <v>69</v>
      </c>
      <c r="Q253" s="10" t="s">
        <v>79</v>
      </c>
      <c r="R253" s="11">
        <v>45184</v>
      </c>
      <c r="S253" s="10" t="s">
        <v>48</v>
      </c>
      <c r="T253" s="3" t="str">
        <f>IF(AND(ProtocolosAF[[#This Row],[STATUS]]="APROVADO",ProtocolosAF[[#This Row],[WAIVER]]=""),"Y","")</f>
        <v/>
      </c>
      <c r="U253" t="s">
        <v>630</v>
      </c>
      <c r="V253" s="16" t="str">
        <f t="shared" si="17"/>
        <v>22S8MGMAYEUR/GILLES</v>
      </c>
      <c r="W253">
        <v>236</v>
      </c>
    </row>
    <row r="254" spans="1:23" hidden="1">
      <c r="A254" s="1">
        <v>45183</v>
      </c>
      <c r="B254" t="s">
        <v>11</v>
      </c>
      <c r="C254" t="s">
        <v>631</v>
      </c>
      <c r="D254" s="23" t="s">
        <v>632</v>
      </c>
      <c r="E254" t="s">
        <v>73</v>
      </c>
      <c r="F254" s="19">
        <v>57564931</v>
      </c>
      <c r="G254" s="53">
        <v>574200484554</v>
      </c>
      <c r="H254" s="52">
        <v>80</v>
      </c>
      <c r="I254" s="5" t="s">
        <v>74</v>
      </c>
      <c r="J254" s="52" cm="1">
        <f t="array" ref="J25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80</v>
      </c>
      <c r="K254" s="56" t="s">
        <v>99</v>
      </c>
      <c r="L254" s="54" t="s">
        <v>172</v>
      </c>
      <c r="M254" t="s">
        <v>43</v>
      </c>
      <c r="N254" s="15" t="s">
        <v>85</v>
      </c>
      <c r="O254" s="5" t="s">
        <v>78</v>
      </c>
      <c r="P254" s="17" t="s">
        <v>146</v>
      </c>
      <c r="Q254" s="10" t="s">
        <v>250</v>
      </c>
      <c r="R254" s="11">
        <v>45183</v>
      </c>
      <c r="S254" s="10" t="s">
        <v>520</v>
      </c>
      <c r="T254" s="3" t="str">
        <f>IF(AND(ProtocolosAF[[#This Row],[STATUS]]="APROVADO",ProtocolosAF[[#This Row],[WAIVER]]=""),"Y","")</f>
        <v/>
      </c>
      <c r="U254" t="s">
        <v>633</v>
      </c>
      <c r="V254" s="16" t="str">
        <f t="shared" si="17"/>
        <v xml:space="preserve">5LS1NFSILVA/ISABELLAMRS  </v>
      </c>
      <c r="W254">
        <v>237</v>
      </c>
    </row>
    <row r="255" spans="1:23" hidden="1">
      <c r="A255" s="1">
        <v>45184</v>
      </c>
      <c r="B255" t="s">
        <v>10</v>
      </c>
      <c r="C255" t="s">
        <v>634</v>
      </c>
      <c r="D255" s="23" t="s">
        <v>635</v>
      </c>
      <c r="E255" t="s">
        <v>41</v>
      </c>
      <c r="F255" s="19">
        <v>57564931</v>
      </c>
      <c r="G255" s="53">
        <v>579375499367</v>
      </c>
      <c r="H255" s="52">
        <v>1203</v>
      </c>
      <c r="I255" s="5">
        <v>0.15</v>
      </c>
      <c r="J255" s="52" cm="1">
        <f t="array" ref="J25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181</v>
      </c>
      <c r="K255" s="56" t="s">
        <v>189</v>
      </c>
      <c r="L255" s="54" t="s">
        <v>76</v>
      </c>
      <c r="M255" t="s">
        <v>43</v>
      </c>
      <c r="N255" s="15" t="s">
        <v>67</v>
      </c>
      <c r="O255" s="5" t="s">
        <v>238</v>
      </c>
      <c r="P255" s="17" t="s">
        <v>69</v>
      </c>
      <c r="Q255" s="10" t="s">
        <v>222</v>
      </c>
      <c r="R255" s="11">
        <v>45187</v>
      </c>
      <c r="S255" s="10" t="s">
        <v>48</v>
      </c>
      <c r="T255" s="3" t="str">
        <f>IF(AND(ProtocolosAF[[#This Row],[STATUS]]="APROVADO",ProtocolosAF[[#This Row],[WAIVER]]=""),"Y","")</f>
        <v/>
      </c>
      <c r="U255" t="s">
        <v>636</v>
      </c>
      <c r="V255" s="16" t="str">
        <f t="shared" si="17"/>
        <v>LXTZOFHELFSTEIN PIRES/FABIO MR</v>
      </c>
      <c r="W255">
        <v>244</v>
      </c>
    </row>
    <row r="256" spans="1:23" hidden="1">
      <c r="A256" s="1">
        <v>45184</v>
      </c>
      <c r="B256" t="s">
        <v>10</v>
      </c>
      <c r="C256" t="s">
        <v>634</v>
      </c>
      <c r="D256" s="23" t="s">
        <v>635</v>
      </c>
      <c r="E256" t="s">
        <v>41</v>
      </c>
      <c r="F256" s="19">
        <v>57564931</v>
      </c>
      <c r="G256" s="53">
        <v>579375499369</v>
      </c>
      <c r="H256" s="52">
        <v>1203</v>
      </c>
      <c r="I256" s="5">
        <v>0.15</v>
      </c>
      <c r="J256" s="52" cm="1">
        <f t="array" ref="J25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181</v>
      </c>
      <c r="K256" s="56" t="s">
        <v>189</v>
      </c>
      <c r="L256" s="54" t="s">
        <v>76</v>
      </c>
      <c r="M256" t="s">
        <v>43</v>
      </c>
      <c r="N256" s="15" t="s">
        <v>67</v>
      </c>
      <c r="O256" s="5" t="s">
        <v>238</v>
      </c>
      <c r="P256" s="17" t="s">
        <v>69</v>
      </c>
      <c r="Q256" s="10" t="s">
        <v>222</v>
      </c>
      <c r="R256" s="11">
        <v>45187</v>
      </c>
      <c r="S256" s="10" t="s">
        <v>48</v>
      </c>
      <c r="T256" s="3" t="str">
        <f>IF(AND(ProtocolosAF[[#This Row],[STATUS]]="APROVADO",ProtocolosAF[[#This Row],[WAIVER]]=""),"Y","")</f>
        <v/>
      </c>
      <c r="U256" t="s">
        <v>637</v>
      </c>
      <c r="V256" s="16" t="str">
        <f t="shared" si="17"/>
        <v>LXTZOFCREMONEZI PIVA/NATALIA MRS</v>
      </c>
      <c r="W256">
        <v>244</v>
      </c>
    </row>
    <row r="257" spans="1:23" hidden="1">
      <c r="A257" s="1">
        <v>45184</v>
      </c>
      <c r="B257" t="s">
        <v>11</v>
      </c>
      <c r="C257" t="s">
        <v>638</v>
      </c>
      <c r="D257" s="23" t="s">
        <v>639</v>
      </c>
      <c r="E257" t="s">
        <v>41</v>
      </c>
      <c r="F257" s="19">
        <v>57564931</v>
      </c>
      <c r="G257" s="53">
        <v>572935872483</v>
      </c>
      <c r="H257" s="52">
        <v>1684</v>
      </c>
      <c r="I257" s="5">
        <v>0.1</v>
      </c>
      <c r="J257" s="52" cm="1">
        <f t="array" ref="J25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169</v>
      </c>
      <c r="K257" s="56" t="s">
        <v>84</v>
      </c>
      <c r="L257" s="54" t="s">
        <v>76</v>
      </c>
      <c r="M257" t="s">
        <v>43</v>
      </c>
      <c r="N257" s="15" t="s">
        <v>85</v>
      </c>
      <c r="O257" s="5" t="s">
        <v>640</v>
      </c>
      <c r="P257" s="17" t="s">
        <v>69</v>
      </c>
      <c r="Q257" s="10" t="s">
        <v>353</v>
      </c>
      <c r="R257" s="11">
        <v>45189</v>
      </c>
      <c r="S257" s="10" t="s">
        <v>48</v>
      </c>
      <c r="T257" s="3" t="str">
        <f>IF(AND(ProtocolosAF[[#This Row],[STATUS]]="APROVADO",ProtocolosAF[[#This Row],[WAIVER]]=""),"Y","")</f>
        <v/>
      </c>
      <c r="U257" t="s">
        <v>641</v>
      </c>
      <c r="V257" s="16" t="str">
        <f t="shared" si="17"/>
        <v>5MPDQ5ROMANO MORILAS/LUCIANA</v>
      </c>
      <c r="W257">
        <v>245</v>
      </c>
    </row>
    <row r="258" spans="1:23" hidden="1">
      <c r="A258" s="1">
        <v>45188</v>
      </c>
      <c r="B258" t="s">
        <v>13</v>
      </c>
      <c r="C258" t="s">
        <v>642</v>
      </c>
      <c r="D258" s="23" t="s">
        <v>643</v>
      </c>
      <c r="E258" t="s">
        <v>41</v>
      </c>
      <c r="F258" s="19"/>
      <c r="G258" s="53"/>
      <c r="H258" s="52">
        <v>7528</v>
      </c>
      <c r="I258" s="5">
        <v>0.1</v>
      </c>
      <c r="J258" s="52" t="str" cm="1">
        <f t="array" ref="J25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58" s="56" t="s">
        <v>151</v>
      </c>
      <c r="L258" s="54" t="s">
        <v>76</v>
      </c>
      <c r="M258" t="s">
        <v>100</v>
      </c>
      <c r="N258" s="15" t="s">
        <v>44</v>
      </c>
      <c r="O258" s="5" t="s">
        <v>644</v>
      </c>
      <c r="P258" s="17" t="s">
        <v>69</v>
      </c>
      <c r="Q258" s="10"/>
      <c r="R258" s="11"/>
      <c r="S258" s="10"/>
      <c r="T258" s="3" t="str">
        <f>IF(AND(ProtocolosAF[[#This Row],[STATUS]]="APROVADO",ProtocolosAF[[#This Row],[WAIVER]]=""),"Y","")</f>
        <v/>
      </c>
      <c r="U258" t="s">
        <v>645</v>
      </c>
      <c r="V258" s="16" t="str">
        <f t="shared" si="17"/>
        <v>5NQ9NBFIGUEIREDO GOMES/MAIKEMR</v>
      </c>
      <c r="W258">
        <v>247</v>
      </c>
    </row>
    <row r="259" spans="1:23" hidden="1">
      <c r="A259" s="1">
        <v>45189</v>
      </c>
      <c r="B259" t="s">
        <v>13</v>
      </c>
      <c r="C259" t="s">
        <v>646</v>
      </c>
      <c r="D259" s="23" t="s">
        <v>647</v>
      </c>
      <c r="E259" t="s">
        <v>41</v>
      </c>
      <c r="F259" s="19"/>
      <c r="G259" s="53"/>
      <c r="H259" s="52">
        <v>2081</v>
      </c>
      <c r="I259" s="5">
        <v>0.1</v>
      </c>
      <c r="J259" s="52" t="str" cm="1">
        <f t="array" ref="J25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59" s="56" t="s">
        <v>151</v>
      </c>
      <c r="L259" s="54" t="s">
        <v>76</v>
      </c>
      <c r="M259" t="s">
        <v>100</v>
      </c>
      <c r="N259" s="15" t="s">
        <v>44</v>
      </c>
      <c r="O259" s="5" t="s">
        <v>583</v>
      </c>
      <c r="P259" s="17" t="s">
        <v>69</v>
      </c>
      <c r="Q259" s="10"/>
      <c r="R259" s="11"/>
      <c r="S259" s="10"/>
      <c r="T259" s="3" t="str">
        <f>IF(AND(ProtocolosAF[[#This Row],[STATUS]]="APROVADO",ProtocolosAF[[#This Row],[WAIVER]]=""),"Y","")</f>
        <v/>
      </c>
      <c r="U259" t="s">
        <v>648</v>
      </c>
      <c r="V259" s="16" t="str">
        <f t="shared" si="17"/>
        <v>5NSPN4SOARES E SILVA/DEBORA MARIAMRS</v>
      </c>
      <c r="W259">
        <v>248</v>
      </c>
    </row>
    <row r="260" spans="1:23" hidden="1">
      <c r="A260" s="1">
        <v>45189</v>
      </c>
      <c r="B260" t="s">
        <v>13</v>
      </c>
      <c r="C260" t="s">
        <v>649</v>
      </c>
      <c r="D260" s="23" t="s">
        <v>650</v>
      </c>
      <c r="E260" t="s">
        <v>41</v>
      </c>
      <c r="F260" s="19"/>
      <c r="G260" s="53"/>
      <c r="H260" s="52">
        <v>2081</v>
      </c>
      <c r="I260" s="5">
        <v>0.1</v>
      </c>
      <c r="J260" s="52" t="str" cm="1">
        <f t="array" ref="J26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60" s="56" t="s">
        <v>151</v>
      </c>
      <c r="L260" s="54" t="s">
        <v>76</v>
      </c>
      <c r="M260" t="s">
        <v>100</v>
      </c>
      <c r="N260" s="15" t="s">
        <v>44</v>
      </c>
      <c r="O260" s="5" t="s">
        <v>583</v>
      </c>
      <c r="P260" s="17" t="s">
        <v>69</v>
      </c>
      <c r="Q260" s="10"/>
      <c r="R260" s="11"/>
      <c r="S260" s="10"/>
      <c r="T260" s="3" t="str">
        <f>IF(AND(ProtocolosAF[[#This Row],[STATUS]]="APROVADO",ProtocolosAF[[#This Row],[WAIVER]]=""),"Y","")</f>
        <v/>
      </c>
      <c r="U260" t="s">
        <v>651</v>
      </c>
      <c r="V260" s="16" t="str">
        <f t="shared" si="17"/>
        <v>5NSPXGSOARES WASSERSTEIN/GUILIT CAROLINAMRS</v>
      </c>
      <c r="W260">
        <v>249</v>
      </c>
    </row>
    <row r="261" spans="1:23" hidden="1">
      <c r="A261" s="1">
        <v>45189</v>
      </c>
      <c r="B261" t="s">
        <v>13</v>
      </c>
      <c r="C261" t="s">
        <v>652</v>
      </c>
      <c r="D261" s="23" t="s">
        <v>653</v>
      </c>
      <c r="E261" t="s">
        <v>41</v>
      </c>
      <c r="F261" s="19"/>
      <c r="G261" s="53"/>
      <c r="H261" s="52">
        <v>2498</v>
      </c>
      <c r="I261" s="5">
        <v>0.1</v>
      </c>
      <c r="J261" s="52" t="str" cm="1">
        <f t="array" ref="J26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61" s="56" t="s">
        <v>151</v>
      </c>
      <c r="L261" s="54" t="s">
        <v>76</v>
      </c>
      <c r="M261" t="s">
        <v>100</v>
      </c>
      <c r="N261" s="15" t="s">
        <v>44</v>
      </c>
      <c r="O261" s="5" t="s">
        <v>583</v>
      </c>
      <c r="P261" s="17" t="s">
        <v>69</v>
      </c>
      <c r="Q261" s="10"/>
      <c r="R261" s="11"/>
      <c r="S261" s="10"/>
      <c r="T261" s="3" t="str">
        <f>IF(AND(ProtocolosAF[[#This Row],[STATUS]]="APROVADO",ProtocolosAF[[#This Row],[WAIVER]]=""),"Y","")</f>
        <v/>
      </c>
      <c r="U261" t="s">
        <v>654</v>
      </c>
      <c r="V261" s="16" t="str">
        <f t="shared" si="17"/>
        <v>5NSQ6JSOARES WASSERSTEIN/GABRIELAMRS</v>
      </c>
      <c r="W261">
        <v>250</v>
      </c>
    </row>
    <row r="262" spans="1:23" hidden="1">
      <c r="A262" s="1">
        <v>45189</v>
      </c>
      <c r="B262" t="s">
        <v>13</v>
      </c>
      <c r="C262" t="s">
        <v>655</v>
      </c>
      <c r="D262" s="23" t="s">
        <v>656</v>
      </c>
      <c r="E262" t="s">
        <v>41</v>
      </c>
      <c r="F262" s="19"/>
      <c r="G262" s="53"/>
      <c r="H262" s="52">
        <v>1992</v>
      </c>
      <c r="I262" s="5">
        <v>0.08</v>
      </c>
      <c r="J262" s="52" t="str" cm="1">
        <f t="array" ref="J26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62" s="56" t="s">
        <v>151</v>
      </c>
      <c r="L262" s="54" t="s">
        <v>76</v>
      </c>
      <c r="M262" t="s">
        <v>100</v>
      </c>
      <c r="N262" s="15" t="s">
        <v>44</v>
      </c>
      <c r="O262" s="5" t="s">
        <v>145</v>
      </c>
      <c r="P262" s="17" t="s">
        <v>69</v>
      </c>
      <c r="Q262" s="10"/>
      <c r="R262" s="11"/>
      <c r="S262" s="10"/>
      <c r="T262" s="3" t="str">
        <f>IF(AND(ProtocolosAF[[#This Row],[STATUS]]="APROVADO",ProtocolosAF[[#This Row],[WAIVER]]=""),"Y","")</f>
        <v/>
      </c>
      <c r="U262" t="s">
        <v>657</v>
      </c>
      <c r="V262" s="16" t="str">
        <f t="shared" si="17"/>
        <v>5P42HNBRANDAO JUNIOR/JAILTON</v>
      </c>
      <c r="W262">
        <v>254</v>
      </c>
    </row>
    <row r="263" spans="1:23" hidden="1">
      <c r="A263" s="1">
        <v>45189</v>
      </c>
      <c r="B263" t="s">
        <v>13</v>
      </c>
      <c r="C263" t="s">
        <v>655</v>
      </c>
      <c r="D263" s="23" t="s">
        <v>656</v>
      </c>
      <c r="E263" t="s">
        <v>41</v>
      </c>
      <c r="F263" s="19"/>
      <c r="G263" s="53"/>
      <c r="H263" s="52">
        <v>1992</v>
      </c>
      <c r="I263" s="5">
        <v>0.08</v>
      </c>
      <c r="J263" s="52" t="str" cm="1">
        <f t="array" ref="J26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63" s="56" t="s">
        <v>151</v>
      </c>
      <c r="L263" s="54" t="s">
        <v>76</v>
      </c>
      <c r="M263" t="s">
        <v>100</v>
      </c>
      <c r="N263" s="15" t="s">
        <v>44</v>
      </c>
      <c r="O263" s="5" t="s">
        <v>145</v>
      </c>
      <c r="P263" s="17" t="s">
        <v>69</v>
      </c>
      <c r="Q263" s="10"/>
      <c r="R263" s="11"/>
      <c r="S263" s="10"/>
      <c r="T263" s="3" t="str">
        <f>IF(AND(ProtocolosAF[[#This Row],[STATUS]]="APROVADO",ProtocolosAF[[#This Row],[WAIVER]]=""),"Y","")</f>
        <v/>
      </c>
      <c r="U263" t="s">
        <v>658</v>
      </c>
      <c r="V263" s="16" t="str">
        <f t="shared" si="17"/>
        <v>5P42HNSANTOS LIMA/EDUARDO</v>
      </c>
      <c r="W263">
        <v>254</v>
      </c>
    </row>
    <row r="264" spans="1:23" hidden="1">
      <c r="A264" s="1">
        <v>45189</v>
      </c>
      <c r="B264" t="s">
        <v>13</v>
      </c>
      <c r="C264" t="s">
        <v>655</v>
      </c>
      <c r="D264" s="23" t="s">
        <v>656</v>
      </c>
      <c r="E264" t="s">
        <v>41</v>
      </c>
      <c r="F264" s="19"/>
      <c r="G264" s="53"/>
      <c r="H264" s="52">
        <v>1992</v>
      </c>
      <c r="I264" s="5">
        <v>0.08</v>
      </c>
      <c r="J264" s="52" t="str" cm="1">
        <f t="array" ref="J26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64" s="56" t="s">
        <v>151</v>
      </c>
      <c r="L264" s="54" t="s">
        <v>76</v>
      </c>
      <c r="M264" t="s">
        <v>100</v>
      </c>
      <c r="N264" s="15" t="s">
        <v>44</v>
      </c>
      <c r="O264" s="5" t="s">
        <v>145</v>
      </c>
      <c r="P264" s="17" t="s">
        <v>69</v>
      </c>
      <c r="Q264" s="10"/>
      <c r="R264" s="11"/>
      <c r="S264" s="10"/>
      <c r="T264" s="3" t="str">
        <f>IF(AND(ProtocolosAF[[#This Row],[STATUS]]="APROVADO",ProtocolosAF[[#This Row],[WAIVER]]=""),"Y","")</f>
        <v/>
      </c>
      <c r="U264" t="s">
        <v>659</v>
      </c>
      <c r="V264" s="16" t="str">
        <f t="shared" si="17"/>
        <v>5P42HNSILVA/MATEUSMR</v>
      </c>
      <c r="W264">
        <v>254</v>
      </c>
    </row>
    <row r="265" spans="1:23" hidden="1">
      <c r="A265" s="1">
        <v>45189</v>
      </c>
      <c r="B265" t="s">
        <v>13</v>
      </c>
      <c r="C265" t="s">
        <v>655</v>
      </c>
      <c r="D265" s="23" t="s">
        <v>656</v>
      </c>
      <c r="E265" t="s">
        <v>41</v>
      </c>
      <c r="F265" s="19"/>
      <c r="G265" s="53"/>
      <c r="H265" s="52">
        <v>1992</v>
      </c>
      <c r="I265" s="5">
        <v>0.08</v>
      </c>
      <c r="J265" s="52" t="str" cm="1">
        <f t="array" ref="J26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65" s="56" t="s">
        <v>151</v>
      </c>
      <c r="L265" s="54" t="s">
        <v>76</v>
      </c>
      <c r="M265" t="s">
        <v>100</v>
      </c>
      <c r="N265" s="15" t="s">
        <v>44</v>
      </c>
      <c r="O265" s="5" t="s">
        <v>145</v>
      </c>
      <c r="P265" s="17" t="s">
        <v>69</v>
      </c>
      <c r="Q265" s="10"/>
      <c r="R265" s="11"/>
      <c r="S265" s="10"/>
      <c r="T265" s="3" t="str">
        <f>IF(AND(ProtocolosAF[[#This Row],[STATUS]]="APROVADO",ProtocolosAF[[#This Row],[WAIVER]]=""),"Y","")</f>
        <v/>
      </c>
      <c r="U265" t="s">
        <v>660</v>
      </c>
      <c r="V265" s="16" t="str">
        <f t="shared" si="17"/>
        <v>5P42HNOLIVEIRA/BRUNO</v>
      </c>
      <c r="W265">
        <v>254</v>
      </c>
    </row>
    <row r="266" spans="1:23" hidden="1">
      <c r="A266" s="1">
        <v>45189</v>
      </c>
      <c r="B266" t="s">
        <v>13</v>
      </c>
      <c r="C266" t="s">
        <v>655</v>
      </c>
      <c r="D266" s="23" t="s">
        <v>656</v>
      </c>
      <c r="E266" t="s">
        <v>41</v>
      </c>
      <c r="F266" s="19"/>
      <c r="G266" s="53"/>
      <c r="H266" s="52">
        <v>1992</v>
      </c>
      <c r="I266" s="5">
        <v>0.08</v>
      </c>
      <c r="J266" s="52" t="str" cm="1">
        <f t="array" ref="J26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66" s="56" t="s">
        <v>151</v>
      </c>
      <c r="L266" s="54" t="s">
        <v>76</v>
      </c>
      <c r="M266" t="s">
        <v>100</v>
      </c>
      <c r="N266" s="15" t="s">
        <v>44</v>
      </c>
      <c r="O266" s="5" t="s">
        <v>145</v>
      </c>
      <c r="P266" s="17" t="s">
        <v>69</v>
      </c>
      <c r="Q266" s="10"/>
      <c r="R266" s="11"/>
      <c r="S266" s="10"/>
      <c r="T266" s="3" t="str">
        <f>IF(AND(ProtocolosAF[[#This Row],[STATUS]]="APROVADO",ProtocolosAF[[#This Row],[WAIVER]]=""),"Y","")</f>
        <v/>
      </c>
      <c r="U266" t="s">
        <v>661</v>
      </c>
      <c r="V266" s="16" t="str">
        <f t="shared" si="17"/>
        <v>5P42HNSOUSA/ROGER</v>
      </c>
      <c r="W266">
        <v>254</v>
      </c>
    </row>
    <row r="267" spans="1:23" hidden="1">
      <c r="A267" s="1">
        <v>45189</v>
      </c>
      <c r="B267" t="s">
        <v>13</v>
      </c>
      <c r="C267" t="s">
        <v>662</v>
      </c>
      <c r="D267" s="23" t="s">
        <v>662</v>
      </c>
      <c r="E267" t="s">
        <v>41</v>
      </c>
      <c r="F267" s="19"/>
      <c r="G267" s="53"/>
      <c r="H267" s="52">
        <v>1992</v>
      </c>
      <c r="I267" s="5">
        <v>0.08</v>
      </c>
      <c r="J267" s="52" t="str" cm="1">
        <f t="array" ref="J26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67" s="56" t="s">
        <v>151</v>
      </c>
      <c r="L267" s="54" t="s">
        <v>76</v>
      </c>
      <c r="M267" t="s">
        <v>100</v>
      </c>
      <c r="N267" s="15" t="s">
        <v>44</v>
      </c>
      <c r="O267" s="5" t="s">
        <v>145</v>
      </c>
      <c r="P267" s="17" t="s">
        <v>69</v>
      </c>
      <c r="Q267" s="10"/>
      <c r="R267" s="11"/>
      <c r="S267" s="10"/>
      <c r="T267" s="3" t="str">
        <f>IF(AND(ProtocolosAF[[#This Row],[STATUS]]="APROVADO",ProtocolosAF[[#This Row],[WAIVER]]=""),"Y","")</f>
        <v/>
      </c>
      <c r="U267" t="s">
        <v>663</v>
      </c>
      <c r="V267" s="16" t="str">
        <f t="shared" si="17"/>
        <v>34FDZICARVALHO/DANILO MR</v>
      </c>
      <c r="W267">
        <v>253</v>
      </c>
    </row>
    <row r="268" spans="1:23" hidden="1">
      <c r="A268" s="1">
        <v>45189</v>
      </c>
      <c r="B268" t="s">
        <v>13</v>
      </c>
      <c r="C268" t="s">
        <v>662</v>
      </c>
      <c r="D268" s="23" t="s">
        <v>662</v>
      </c>
      <c r="E268" t="s">
        <v>41</v>
      </c>
      <c r="F268" s="19"/>
      <c r="G268" s="53"/>
      <c r="H268" s="52">
        <v>1992</v>
      </c>
      <c r="I268" s="5">
        <v>0.08</v>
      </c>
      <c r="J268" s="52" t="str" cm="1">
        <f t="array" ref="J26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68" s="56" t="s">
        <v>151</v>
      </c>
      <c r="L268" s="54" t="s">
        <v>76</v>
      </c>
      <c r="M268" t="s">
        <v>100</v>
      </c>
      <c r="N268" s="15" t="s">
        <v>44</v>
      </c>
      <c r="O268" s="5" t="s">
        <v>145</v>
      </c>
      <c r="P268" s="17" t="s">
        <v>69</v>
      </c>
      <c r="Q268" s="10"/>
      <c r="R268" s="11"/>
      <c r="S268" s="10"/>
      <c r="T268" s="3" t="str">
        <f>IF(AND(ProtocolosAF[[#This Row],[STATUS]]="APROVADO",ProtocolosAF[[#This Row],[WAIVER]]=""),"Y","")</f>
        <v/>
      </c>
      <c r="U268" t="s">
        <v>664</v>
      </c>
      <c r="V268" s="16" t="str">
        <f t="shared" si="17"/>
        <v xml:space="preserve">34FDZINOBRE/FABRICIO </v>
      </c>
      <c r="W268">
        <v>253</v>
      </c>
    </row>
    <row r="269" spans="1:23" hidden="1">
      <c r="A269" s="1">
        <v>45189</v>
      </c>
      <c r="B269" t="s">
        <v>13</v>
      </c>
      <c r="C269" t="s">
        <v>662</v>
      </c>
      <c r="D269" s="23" t="s">
        <v>662</v>
      </c>
      <c r="E269" t="s">
        <v>41</v>
      </c>
      <c r="F269" s="19"/>
      <c r="G269" s="53"/>
      <c r="H269" s="52">
        <v>1992</v>
      </c>
      <c r="I269" s="5">
        <v>0.08</v>
      </c>
      <c r="J269" s="52" t="str" cm="1">
        <f t="array" ref="J26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69" s="56" t="s">
        <v>151</v>
      </c>
      <c r="L269" s="54" t="s">
        <v>76</v>
      </c>
      <c r="M269" t="s">
        <v>100</v>
      </c>
      <c r="N269" s="15" t="s">
        <v>44</v>
      </c>
      <c r="O269" s="5" t="s">
        <v>145</v>
      </c>
      <c r="P269" s="17" t="s">
        <v>69</v>
      </c>
      <c r="Q269" s="10"/>
      <c r="R269" s="11"/>
      <c r="S269" s="10"/>
      <c r="T269" s="3" t="str">
        <f>IF(AND(ProtocolosAF[[#This Row],[STATUS]]="APROVADO",ProtocolosAF[[#This Row],[WAIVER]]=""),"Y","")</f>
        <v/>
      </c>
      <c r="U269" t="s">
        <v>665</v>
      </c>
      <c r="V269" s="16" t="str">
        <f t="shared" si="17"/>
        <v>34FDZIOLIVEIRA/YAN</v>
      </c>
      <c r="W269">
        <v>253</v>
      </c>
    </row>
    <row r="270" spans="1:23" hidden="1">
      <c r="A270" s="1">
        <v>45189</v>
      </c>
      <c r="B270" t="s">
        <v>13</v>
      </c>
      <c r="C270" t="s">
        <v>662</v>
      </c>
      <c r="D270" s="23" t="s">
        <v>662</v>
      </c>
      <c r="E270" t="s">
        <v>41</v>
      </c>
      <c r="F270" s="19"/>
      <c r="G270" s="53"/>
      <c r="H270" s="52">
        <v>1992</v>
      </c>
      <c r="I270" s="5">
        <v>0.08</v>
      </c>
      <c r="J270" s="52" t="str" cm="1">
        <f t="array" ref="J27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70" s="56" t="s">
        <v>151</v>
      </c>
      <c r="L270" s="54" t="s">
        <v>76</v>
      </c>
      <c r="M270" t="s">
        <v>100</v>
      </c>
      <c r="N270" s="15" t="s">
        <v>44</v>
      </c>
      <c r="O270" s="5" t="s">
        <v>145</v>
      </c>
      <c r="P270" s="17" t="s">
        <v>69</v>
      </c>
      <c r="Q270" s="10"/>
      <c r="R270" s="11"/>
      <c r="S270" s="10"/>
      <c r="T270" s="3" t="str">
        <f>IF(AND(ProtocolosAF[[#This Row],[STATUS]]="APROVADO",ProtocolosAF[[#This Row],[WAIVER]]=""),"Y","")</f>
        <v/>
      </c>
      <c r="U270" t="s">
        <v>666</v>
      </c>
      <c r="V270" s="16" t="str">
        <f t="shared" si="17"/>
        <v>34FDZISILVA/LEANDRO MR</v>
      </c>
      <c r="W270">
        <v>253</v>
      </c>
    </row>
    <row r="271" spans="1:23" hidden="1">
      <c r="A271" s="1">
        <v>45189</v>
      </c>
      <c r="B271" t="s">
        <v>13</v>
      </c>
      <c r="C271" t="s">
        <v>662</v>
      </c>
      <c r="D271" s="23" t="s">
        <v>662</v>
      </c>
      <c r="E271" t="s">
        <v>41</v>
      </c>
      <c r="F271" s="19"/>
      <c r="G271" s="53"/>
      <c r="H271" s="52">
        <v>1992</v>
      </c>
      <c r="I271" s="5">
        <v>0.08</v>
      </c>
      <c r="J271" s="52" t="str" cm="1">
        <f t="array" ref="J27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71" s="56" t="s">
        <v>151</v>
      </c>
      <c r="L271" s="54" t="s">
        <v>76</v>
      </c>
      <c r="M271" t="s">
        <v>100</v>
      </c>
      <c r="N271" s="15" t="s">
        <v>44</v>
      </c>
      <c r="O271" s="5" t="s">
        <v>145</v>
      </c>
      <c r="P271" s="17" t="s">
        <v>69</v>
      </c>
      <c r="Q271" s="10"/>
      <c r="R271" s="11"/>
      <c r="S271" s="10"/>
      <c r="T271" s="3" t="str">
        <f>IF(AND(ProtocolosAF[[#This Row],[STATUS]]="APROVADO",ProtocolosAF[[#This Row],[WAIVER]]=""),"Y","")</f>
        <v/>
      </c>
      <c r="U271" t="s">
        <v>667</v>
      </c>
      <c r="V271" s="16" t="str">
        <f t="shared" si="17"/>
        <v>34FDZISOUZA/VINICIUS MR</v>
      </c>
      <c r="W271">
        <v>253</v>
      </c>
    </row>
    <row r="272" spans="1:23" hidden="1">
      <c r="A272" s="1">
        <v>45190</v>
      </c>
      <c r="B272" t="s">
        <v>10</v>
      </c>
      <c r="C272" t="s">
        <v>668</v>
      </c>
      <c r="D272" s="23" t="s">
        <v>668</v>
      </c>
      <c r="E272" t="s">
        <v>73</v>
      </c>
      <c r="F272" s="19">
        <v>57994602</v>
      </c>
      <c r="G272" s="53">
        <v>574200484573</v>
      </c>
      <c r="H272" s="52">
        <v>179</v>
      </c>
      <c r="I272" s="5" t="s">
        <v>74</v>
      </c>
      <c r="J272" s="52" cm="1">
        <f t="array" ref="J27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179</v>
      </c>
      <c r="K272" s="56" t="s">
        <v>237</v>
      </c>
      <c r="L272" s="54" t="s">
        <v>66</v>
      </c>
      <c r="M272" t="s">
        <v>43</v>
      </c>
      <c r="N272" s="15" t="s">
        <v>67</v>
      </c>
      <c r="O272" s="5" t="s">
        <v>669</v>
      </c>
      <c r="P272" s="17" t="s">
        <v>146</v>
      </c>
      <c r="Q272" s="10" t="s">
        <v>670</v>
      </c>
      <c r="R272" s="11">
        <v>45189</v>
      </c>
      <c r="S272" s="10" t="s">
        <v>173</v>
      </c>
      <c r="T272" s="3" t="str">
        <f>IF(AND(ProtocolosAF[[#This Row],[STATUS]]="APROVADO",ProtocolosAF[[#This Row],[WAIVER]]=""),"Y","")</f>
        <v/>
      </c>
      <c r="U272" t="s">
        <v>671</v>
      </c>
      <c r="V272" s="16" t="str">
        <f t="shared" si="17"/>
        <v>2PBMPMITARI/KOSUKE MR</v>
      </c>
      <c r="W272">
        <v>252</v>
      </c>
    </row>
    <row r="273" spans="1:23" hidden="1">
      <c r="A273" s="1">
        <v>45190</v>
      </c>
      <c r="B273" t="s">
        <v>10</v>
      </c>
      <c r="C273" t="s">
        <v>672</v>
      </c>
      <c r="D273" s="23" t="s">
        <v>673</v>
      </c>
      <c r="E273" t="s">
        <v>41</v>
      </c>
      <c r="F273" s="19"/>
      <c r="G273" s="53"/>
      <c r="H273" s="52">
        <v>4157</v>
      </c>
      <c r="I273" s="5">
        <v>0.15</v>
      </c>
      <c r="J273" s="52" t="str" cm="1">
        <f t="array" ref="J27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73" s="56" t="s">
        <v>144</v>
      </c>
      <c r="L273" s="54" t="s">
        <v>76</v>
      </c>
      <c r="M273" t="s">
        <v>100</v>
      </c>
      <c r="N273" s="15" t="s">
        <v>67</v>
      </c>
      <c r="O273" s="5" t="s">
        <v>249</v>
      </c>
      <c r="P273" s="17" t="s">
        <v>146</v>
      </c>
      <c r="Q273" s="10"/>
      <c r="R273" s="11"/>
      <c r="S273" s="10"/>
      <c r="T273" s="3" t="str">
        <f>IF(AND(ProtocolosAF[[#This Row],[STATUS]]="APROVADO",ProtocolosAF[[#This Row],[WAIVER]]=""),"Y","")</f>
        <v/>
      </c>
      <c r="U273" t="s">
        <v>674</v>
      </c>
      <c r="V273" s="16" t="str">
        <f t="shared" si="17"/>
        <v>HWNTHF1.1WILCHES/LUCAS HENRIQUE</v>
      </c>
      <c r="W273">
        <v>255</v>
      </c>
    </row>
    <row r="274" spans="1:23" hidden="1">
      <c r="A274" s="1">
        <v>45190</v>
      </c>
      <c r="B274" t="s">
        <v>10</v>
      </c>
      <c r="C274" t="s">
        <v>672</v>
      </c>
      <c r="D274" s="23" t="s">
        <v>673</v>
      </c>
      <c r="E274" t="s">
        <v>41</v>
      </c>
      <c r="F274" s="19"/>
      <c r="G274" s="53"/>
      <c r="H274" s="52">
        <v>4157</v>
      </c>
      <c r="I274" s="5">
        <v>0.15</v>
      </c>
      <c r="J274" s="52" t="str" cm="1">
        <f t="array" ref="J27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74" s="56" t="s">
        <v>144</v>
      </c>
      <c r="L274" s="54" t="s">
        <v>76</v>
      </c>
      <c r="M274" t="s">
        <v>100</v>
      </c>
      <c r="N274" s="15" t="s">
        <v>67</v>
      </c>
      <c r="O274" s="5" t="s">
        <v>249</v>
      </c>
      <c r="P274" s="17" t="s">
        <v>146</v>
      </c>
      <c r="Q274" s="10"/>
      <c r="R274" s="11"/>
      <c r="S274" s="10"/>
      <c r="T274" s="3" t="str">
        <f>IF(AND(ProtocolosAF[[#This Row],[STATUS]]="APROVADO",ProtocolosAF[[#This Row],[WAIVER]]=""),"Y","")</f>
        <v/>
      </c>
      <c r="U274" t="s">
        <v>675</v>
      </c>
      <c r="V274" s="16" t="str">
        <f t="shared" si="17"/>
        <v>HWNTHF2.1SERIPIERI/DANIELA FILOMENO</v>
      </c>
      <c r="W274">
        <v>255</v>
      </c>
    </row>
    <row r="275" spans="1:23" hidden="1">
      <c r="A275" s="1">
        <v>45190</v>
      </c>
      <c r="B275" t="s">
        <v>10</v>
      </c>
      <c r="C275" t="s">
        <v>676</v>
      </c>
      <c r="D275" s="23" t="s">
        <v>677</v>
      </c>
      <c r="E275" t="s">
        <v>41</v>
      </c>
      <c r="F275" s="19">
        <v>57564931</v>
      </c>
      <c r="G275" s="53">
        <v>573204372926</v>
      </c>
      <c r="H275" s="52">
        <v>1596</v>
      </c>
      <c r="I275" s="5">
        <v>0.17</v>
      </c>
      <c r="J275" s="52" cm="1">
        <f t="array" ref="J27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272</v>
      </c>
      <c r="K275" s="56" t="s">
        <v>144</v>
      </c>
      <c r="L275" s="54" t="s">
        <v>76</v>
      </c>
      <c r="M275" t="s">
        <v>43</v>
      </c>
      <c r="N275" s="15" t="s">
        <v>67</v>
      </c>
      <c r="O275" s="5" t="s">
        <v>249</v>
      </c>
      <c r="P275" s="17" t="s">
        <v>146</v>
      </c>
      <c r="Q275" s="10" t="s">
        <v>678</v>
      </c>
      <c r="R275" s="11">
        <v>45190</v>
      </c>
      <c r="S275" s="10" t="s">
        <v>48</v>
      </c>
      <c r="T275" s="3" t="str">
        <f>IF(AND(ProtocolosAF[[#This Row],[STATUS]]="APROVADO",ProtocolosAF[[#This Row],[WAIVER]]=""),"Y","")</f>
        <v/>
      </c>
      <c r="U275" t="s">
        <v>679</v>
      </c>
      <c r="V275" s="16" t="str">
        <f t="shared" si="17"/>
        <v>INNDETFERREIRA/DANIEL RICARDO</v>
      </c>
      <c r="W275">
        <v>256</v>
      </c>
    </row>
    <row r="276" spans="1:23" hidden="1">
      <c r="A276" s="1">
        <v>45190</v>
      </c>
      <c r="B276" t="s">
        <v>10</v>
      </c>
      <c r="C276" t="s">
        <v>676</v>
      </c>
      <c r="D276" s="23" t="s">
        <v>677</v>
      </c>
      <c r="E276" t="s">
        <v>41</v>
      </c>
      <c r="F276" s="19">
        <v>57564931</v>
      </c>
      <c r="G276" s="53">
        <v>573204372928</v>
      </c>
      <c r="H276" s="52">
        <v>1596</v>
      </c>
      <c r="I276" s="5">
        <v>0.17</v>
      </c>
      <c r="J276" s="52" cm="1">
        <f t="array" ref="J27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272</v>
      </c>
      <c r="K276" s="56" t="s">
        <v>144</v>
      </c>
      <c r="L276" s="54" t="s">
        <v>76</v>
      </c>
      <c r="M276" t="s">
        <v>43</v>
      </c>
      <c r="N276" s="15" t="s">
        <v>67</v>
      </c>
      <c r="O276" s="5" t="s">
        <v>249</v>
      </c>
      <c r="P276" s="17" t="s">
        <v>146</v>
      </c>
      <c r="Q276" s="10" t="s">
        <v>678</v>
      </c>
      <c r="R276" s="11">
        <v>45190</v>
      </c>
      <c r="S276" s="10" t="s">
        <v>48</v>
      </c>
      <c r="T276" s="3" t="str">
        <f>IF(AND(ProtocolosAF[[#This Row],[STATUS]]="APROVADO",ProtocolosAF[[#This Row],[WAIVER]]=""),"Y","")</f>
        <v/>
      </c>
      <c r="U276" t="s">
        <v>680</v>
      </c>
      <c r="V276" s="16" t="str">
        <f t="shared" ref="V276:V307" si="18">_xlfn.CONCAT(C276,U276)</f>
        <v>INNDET2.1ROMEU/MARCIO GUERRERO</v>
      </c>
      <c r="W276">
        <v>256</v>
      </c>
    </row>
    <row r="277" spans="1:23" hidden="1">
      <c r="A277" s="1">
        <v>45190</v>
      </c>
      <c r="B277" t="s">
        <v>10</v>
      </c>
      <c r="C277" t="s">
        <v>676</v>
      </c>
      <c r="D277" s="23" t="s">
        <v>677</v>
      </c>
      <c r="E277" t="s">
        <v>41</v>
      </c>
      <c r="F277" s="19">
        <v>57564931</v>
      </c>
      <c r="G277" s="53">
        <v>573204372930</v>
      </c>
      <c r="H277" s="52">
        <v>1596</v>
      </c>
      <c r="I277" s="5">
        <v>0.17</v>
      </c>
      <c r="J277" s="52" cm="1">
        <f t="array" ref="J27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272</v>
      </c>
      <c r="K277" s="56" t="s">
        <v>144</v>
      </c>
      <c r="L277" s="54" t="s">
        <v>76</v>
      </c>
      <c r="M277" t="s">
        <v>43</v>
      </c>
      <c r="N277" s="15" t="s">
        <v>67</v>
      </c>
      <c r="O277" s="5" t="s">
        <v>249</v>
      </c>
      <c r="P277" s="17" t="s">
        <v>146</v>
      </c>
      <c r="Q277" s="10" t="s">
        <v>678</v>
      </c>
      <c r="R277" s="11">
        <v>45190</v>
      </c>
      <c r="S277" s="10" t="s">
        <v>48</v>
      </c>
      <c r="T277" s="3" t="str">
        <f>IF(AND(ProtocolosAF[[#This Row],[STATUS]]="APROVADO",ProtocolosAF[[#This Row],[WAIVER]]=""),"Y","")</f>
        <v/>
      </c>
      <c r="U277" t="s">
        <v>681</v>
      </c>
      <c r="V277" s="16" t="str">
        <f t="shared" si="18"/>
        <v>INNDET3.1THEREZA DE LIMA/ITALO GABRIEL</v>
      </c>
      <c r="W277">
        <v>256</v>
      </c>
    </row>
    <row r="278" spans="1:23" hidden="1">
      <c r="A278" s="1">
        <v>45190</v>
      </c>
      <c r="B278" t="s">
        <v>11</v>
      </c>
      <c r="C278" t="s">
        <v>438</v>
      </c>
      <c r="D278" s="23" t="s">
        <v>438</v>
      </c>
      <c r="E278" t="s">
        <v>73</v>
      </c>
      <c r="F278" s="19">
        <v>57564931</v>
      </c>
      <c r="G278" s="53">
        <v>574200484592</v>
      </c>
      <c r="H278" s="52">
        <v>82</v>
      </c>
      <c r="I278" s="5" t="s">
        <v>74</v>
      </c>
      <c r="J278" s="52" cm="1">
        <f t="array" ref="J27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82</v>
      </c>
      <c r="K278" s="56" t="s">
        <v>84</v>
      </c>
      <c r="L278" s="54" t="s">
        <v>172</v>
      </c>
      <c r="M278" t="s">
        <v>43</v>
      </c>
      <c r="N278" s="15" t="s">
        <v>85</v>
      </c>
      <c r="O278" s="5" t="s">
        <v>682</v>
      </c>
      <c r="P278" s="17" t="s">
        <v>69</v>
      </c>
      <c r="Q278" s="10" t="s">
        <v>353</v>
      </c>
      <c r="R278" s="11">
        <v>45192</v>
      </c>
      <c r="S278" s="10" t="s">
        <v>520</v>
      </c>
      <c r="T278" s="3" t="str">
        <f>IF(AND(ProtocolosAF[[#This Row],[STATUS]]="APROVADO",ProtocolosAF[[#This Row],[WAIVER]]=""),"Y","")</f>
        <v/>
      </c>
      <c r="U278" t="s">
        <v>683</v>
      </c>
      <c r="V278" s="16" t="str">
        <f t="shared" si="18"/>
        <v>4OHTREDE LIMA COLEONI/JOAO RICARDO</v>
      </c>
      <c r="W278">
        <v>257</v>
      </c>
    </row>
    <row r="279" spans="1:23" hidden="1">
      <c r="A279" s="1">
        <v>45191</v>
      </c>
      <c r="B279" t="s">
        <v>10</v>
      </c>
      <c r="C279" t="s">
        <v>684</v>
      </c>
      <c r="D279" s="23" t="s">
        <v>685</v>
      </c>
      <c r="E279" t="s">
        <v>73</v>
      </c>
      <c r="F279" s="19">
        <v>57994602</v>
      </c>
      <c r="G279" s="53">
        <v>574200484586</v>
      </c>
      <c r="H279" s="52">
        <v>121</v>
      </c>
      <c r="I279" s="5" t="s">
        <v>74</v>
      </c>
      <c r="J279" s="52" cm="1">
        <f t="array" ref="J27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121</v>
      </c>
      <c r="K279" s="56" t="s">
        <v>306</v>
      </c>
      <c r="L279" s="54" t="s">
        <v>172</v>
      </c>
      <c r="M279" t="s">
        <v>43</v>
      </c>
      <c r="N279" s="15" t="s">
        <v>67</v>
      </c>
      <c r="O279" s="5" t="s">
        <v>686</v>
      </c>
      <c r="P279" s="17" t="s">
        <v>46</v>
      </c>
      <c r="Q279" s="10" t="s">
        <v>222</v>
      </c>
      <c r="R279" s="11">
        <v>45194</v>
      </c>
      <c r="S279" s="10" t="s">
        <v>520</v>
      </c>
      <c r="T279" s="3" t="str">
        <f>IF(AND(ProtocolosAF[[#This Row],[STATUS]]="APROVADO",ProtocolosAF[[#This Row],[WAIVER]]=""),"Y","")</f>
        <v/>
      </c>
      <c r="U279" t="s">
        <v>687</v>
      </c>
      <c r="V279" s="16" t="str">
        <f t="shared" si="18"/>
        <v>JAZHOHGANDELSMAN/VIVIAN</v>
      </c>
      <c r="W279">
        <v>258</v>
      </c>
    </row>
    <row r="280" spans="1:23" hidden="1">
      <c r="A280" s="1">
        <v>45191</v>
      </c>
      <c r="B280" t="s">
        <v>10</v>
      </c>
      <c r="C280" t="s">
        <v>688</v>
      </c>
      <c r="D280" s="23" t="s">
        <v>689</v>
      </c>
      <c r="E280" t="s">
        <v>41</v>
      </c>
      <c r="F280" s="19">
        <v>57564931</v>
      </c>
      <c r="G280" s="53">
        <v>573204378593</v>
      </c>
      <c r="H280" s="52">
        <v>4190</v>
      </c>
      <c r="I280" s="5">
        <v>0.15</v>
      </c>
      <c r="J280" s="52" cm="1">
        <f t="array" ref="J28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629</v>
      </c>
      <c r="K280" s="56" t="s">
        <v>144</v>
      </c>
      <c r="L280" s="54" t="s">
        <v>76</v>
      </c>
      <c r="M280" t="s">
        <v>43</v>
      </c>
      <c r="N280" s="15" t="s">
        <v>67</v>
      </c>
      <c r="O280" s="5" t="s">
        <v>249</v>
      </c>
      <c r="P280" s="17" t="s">
        <v>146</v>
      </c>
      <c r="Q280" s="10" t="s">
        <v>678</v>
      </c>
      <c r="R280" s="11">
        <v>45192</v>
      </c>
      <c r="S280" s="10" t="s">
        <v>48</v>
      </c>
      <c r="T280" s="3" t="str">
        <f>IF(AND(ProtocolosAF[[#This Row],[STATUS]]="APROVADO",ProtocolosAF[[#This Row],[WAIVER]]=""),"Y","")</f>
        <v/>
      </c>
      <c r="U280" t="s">
        <v>674</v>
      </c>
      <c r="V280" s="16" t="str">
        <f t="shared" si="18"/>
        <v>LUSDZI1.1WILCHES/LUCAS HENRIQUE</v>
      </c>
      <c r="W280">
        <v>259</v>
      </c>
    </row>
    <row r="281" spans="1:23" hidden="1">
      <c r="A281" s="1">
        <v>45191</v>
      </c>
      <c r="B281" t="s">
        <v>10</v>
      </c>
      <c r="C281" t="s">
        <v>688</v>
      </c>
      <c r="D281" s="23" t="s">
        <v>689</v>
      </c>
      <c r="E281" t="s">
        <v>41</v>
      </c>
      <c r="F281" s="19">
        <v>57564931</v>
      </c>
      <c r="G281" s="53">
        <v>573204378595</v>
      </c>
      <c r="H281" s="52">
        <v>4190</v>
      </c>
      <c r="I281" s="5">
        <v>0.15</v>
      </c>
      <c r="J281" s="52" cm="1">
        <f t="array" ref="J28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629</v>
      </c>
      <c r="K281" s="56" t="s">
        <v>144</v>
      </c>
      <c r="L281" s="54" t="s">
        <v>76</v>
      </c>
      <c r="M281" t="s">
        <v>43</v>
      </c>
      <c r="N281" s="15" t="s">
        <v>67</v>
      </c>
      <c r="O281" s="5" t="s">
        <v>249</v>
      </c>
      <c r="P281" s="17" t="s">
        <v>146</v>
      </c>
      <c r="Q281" s="10" t="s">
        <v>678</v>
      </c>
      <c r="R281" s="11">
        <v>45192</v>
      </c>
      <c r="S281" s="10" t="s">
        <v>48</v>
      </c>
      <c r="T281" s="3" t="str">
        <f>IF(AND(ProtocolosAF[[#This Row],[STATUS]]="APROVADO",ProtocolosAF[[#This Row],[WAIVER]]=""),"Y","")</f>
        <v/>
      </c>
      <c r="U281" t="s">
        <v>675</v>
      </c>
      <c r="V281" s="16" t="str">
        <f t="shared" si="18"/>
        <v>LUSDZI2.1SERIPIERI/DANIELA FILOMENO</v>
      </c>
      <c r="W281">
        <v>259</v>
      </c>
    </row>
    <row r="282" spans="1:23" hidden="1">
      <c r="A282" s="1">
        <v>45191</v>
      </c>
      <c r="B282" t="s">
        <v>11</v>
      </c>
      <c r="C282" t="s">
        <v>690</v>
      </c>
      <c r="D282" s="23" t="s">
        <v>690</v>
      </c>
      <c r="E282" t="s">
        <v>41</v>
      </c>
      <c r="F282" s="19">
        <v>57519652</v>
      </c>
      <c r="G282" s="53">
        <v>749057739976</v>
      </c>
      <c r="H282" s="52">
        <v>1301</v>
      </c>
      <c r="I282" s="5">
        <v>0.1</v>
      </c>
      <c r="J282" s="52" cm="1">
        <f t="array" ref="J28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131</v>
      </c>
      <c r="K282" s="56" t="s">
        <v>99</v>
      </c>
      <c r="L282" s="54" t="s">
        <v>76</v>
      </c>
      <c r="M282" t="s">
        <v>43</v>
      </c>
      <c r="N282" s="15" t="s">
        <v>67</v>
      </c>
      <c r="O282" s="5" t="s">
        <v>160</v>
      </c>
      <c r="P282" s="17" t="s">
        <v>46</v>
      </c>
      <c r="Q282" s="10" t="s">
        <v>250</v>
      </c>
      <c r="R282" s="11">
        <v>45192</v>
      </c>
      <c r="S282" s="10" t="s">
        <v>48</v>
      </c>
      <c r="T282" s="3" t="str">
        <f>IF(AND(ProtocolosAF[[#This Row],[STATUS]]="APROVADO",ProtocolosAF[[#This Row],[WAIVER]]=""),"Y","")</f>
        <v/>
      </c>
      <c r="U282" t="s">
        <v>691</v>
      </c>
      <c r="V282" s="16" t="str">
        <f t="shared" si="18"/>
        <v>2VAIKRCOLOMBARETTI/ANA BEATRIZ</v>
      </c>
      <c r="W282">
        <v>260</v>
      </c>
    </row>
    <row r="283" spans="1:23" hidden="1">
      <c r="A283" s="1">
        <v>45191</v>
      </c>
      <c r="B283" t="s">
        <v>11</v>
      </c>
      <c r="C283" t="s">
        <v>690</v>
      </c>
      <c r="D283" s="23" t="s">
        <v>690</v>
      </c>
      <c r="E283" t="s">
        <v>41</v>
      </c>
      <c r="F283" s="19">
        <v>57519652</v>
      </c>
      <c r="G283" s="53">
        <v>749057739977</v>
      </c>
      <c r="H283" s="52">
        <v>1301</v>
      </c>
      <c r="I283" s="5">
        <v>0.1</v>
      </c>
      <c r="J283" s="52" cm="1">
        <f t="array" ref="J28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131</v>
      </c>
      <c r="K283" s="56" t="s">
        <v>99</v>
      </c>
      <c r="L283" s="54" t="s">
        <v>76</v>
      </c>
      <c r="M283" t="s">
        <v>43</v>
      </c>
      <c r="N283" s="15" t="s">
        <v>67</v>
      </c>
      <c r="O283" s="5" t="s">
        <v>160</v>
      </c>
      <c r="P283" s="17" t="s">
        <v>46</v>
      </c>
      <c r="Q283" s="10" t="s">
        <v>250</v>
      </c>
      <c r="R283" s="11">
        <v>45193</v>
      </c>
      <c r="S283" s="10" t="s">
        <v>48</v>
      </c>
      <c r="T283" s="3" t="str">
        <f>IF(AND(ProtocolosAF[[#This Row],[STATUS]]="APROVADO",ProtocolosAF[[#This Row],[WAIVER]]=""),"Y","")</f>
        <v/>
      </c>
      <c r="U283" t="s">
        <v>692</v>
      </c>
      <c r="V283" s="16" t="str">
        <f t="shared" si="18"/>
        <v>2VAIKRCOLOMBARETTI/DANIEL</v>
      </c>
      <c r="W283">
        <v>260</v>
      </c>
    </row>
    <row r="284" spans="1:23" hidden="1">
      <c r="A284" s="1">
        <v>45191</v>
      </c>
      <c r="B284" t="s">
        <v>11</v>
      </c>
      <c r="C284" t="s">
        <v>690</v>
      </c>
      <c r="D284" s="23" t="s">
        <v>690</v>
      </c>
      <c r="E284" t="s">
        <v>41</v>
      </c>
      <c r="F284" s="19">
        <v>57519652</v>
      </c>
      <c r="G284" s="53">
        <v>749057739978</v>
      </c>
      <c r="H284" s="52">
        <v>1301</v>
      </c>
      <c r="I284" s="5">
        <v>0.1</v>
      </c>
      <c r="J284" s="52" cm="1">
        <f t="array" ref="J28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131</v>
      </c>
      <c r="K284" s="56" t="s">
        <v>99</v>
      </c>
      <c r="L284" s="54" t="s">
        <v>76</v>
      </c>
      <c r="M284" t="s">
        <v>43</v>
      </c>
      <c r="N284" s="15" t="s">
        <v>67</v>
      </c>
      <c r="O284" s="5" t="s">
        <v>160</v>
      </c>
      <c r="P284" s="17" t="s">
        <v>46</v>
      </c>
      <c r="Q284" s="10" t="s">
        <v>250</v>
      </c>
      <c r="R284" s="11">
        <v>45194</v>
      </c>
      <c r="S284" s="10" t="s">
        <v>48</v>
      </c>
      <c r="T284" s="3" t="str">
        <f>IF(AND(ProtocolosAF[[#This Row],[STATUS]]="APROVADO",ProtocolosAF[[#This Row],[WAIVER]]=""),"Y","")</f>
        <v/>
      </c>
      <c r="U284" t="s">
        <v>693</v>
      </c>
      <c r="V284" s="16" t="str">
        <f t="shared" si="18"/>
        <v>2VAIKRCOLOMBARETTI/GUILHERME</v>
      </c>
      <c r="W284">
        <v>260</v>
      </c>
    </row>
    <row r="285" spans="1:23" hidden="1">
      <c r="A285" s="1">
        <v>45191</v>
      </c>
      <c r="B285" t="s">
        <v>11</v>
      </c>
      <c r="C285" t="s">
        <v>690</v>
      </c>
      <c r="D285" s="23" t="s">
        <v>690</v>
      </c>
      <c r="E285" t="s">
        <v>41</v>
      </c>
      <c r="F285" s="19">
        <v>57519652</v>
      </c>
      <c r="G285" s="53">
        <v>749057739979</v>
      </c>
      <c r="H285" s="52">
        <v>1301</v>
      </c>
      <c r="I285" s="5">
        <v>0.1</v>
      </c>
      <c r="J285" s="52" cm="1">
        <f t="array" ref="J28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131</v>
      </c>
      <c r="K285" s="56" t="s">
        <v>99</v>
      </c>
      <c r="L285" s="54" t="s">
        <v>76</v>
      </c>
      <c r="M285" t="s">
        <v>43</v>
      </c>
      <c r="N285" s="15" t="s">
        <v>67</v>
      </c>
      <c r="O285" s="5" t="s">
        <v>160</v>
      </c>
      <c r="P285" s="17" t="s">
        <v>46</v>
      </c>
      <c r="Q285" s="10" t="s">
        <v>250</v>
      </c>
      <c r="R285" s="11">
        <v>45195</v>
      </c>
      <c r="S285" s="10" t="s">
        <v>48</v>
      </c>
      <c r="T285" s="3" t="str">
        <f>IF(AND(ProtocolosAF[[#This Row],[STATUS]]="APROVADO",ProtocolosAF[[#This Row],[WAIVER]]=""),"Y","")</f>
        <v/>
      </c>
      <c r="U285" t="s">
        <v>694</v>
      </c>
      <c r="V285" s="16" t="str">
        <f t="shared" si="18"/>
        <v>2VAIKRCOLOMBARETTI/RODRIGO</v>
      </c>
      <c r="W285">
        <v>260</v>
      </c>
    </row>
    <row r="286" spans="1:23" hidden="1">
      <c r="A286" s="1">
        <v>45195</v>
      </c>
      <c r="B286" t="s">
        <v>13</v>
      </c>
      <c r="C286" t="s">
        <v>695</v>
      </c>
      <c r="D286" s="23" t="s">
        <v>696</v>
      </c>
      <c r="E286" t="s">
        <v>41</v>
      </c>
      <c r="F286" s="19"/>
      <c r="G286" s="53"/>
      <c r="H286" s="52">
        <v>598</v>
      </c>
      <c r="I286" s="5">
        <v>0.15</v>
      </c>
      <c r="J286" s="52" t="str" cm="1">
        <f t="array" ref="J28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86" s="56" t="s">
        <v>151</v>
      </c>
      <c r="L286" s="54" t="s">
        <v>76</v>
      </c>
      <c r="M286" t="s">
        <v>217</v>
      </c>
      <c r="N286" s="15" t="s">
        <v>44</v>
      </c>
      <c r="O286" s="5" t="s">
        <v>101</v>
      </c>
      <c r="P286" s="17" t="s">
        <v>255</v>
      </c>
      <c r="Q286" s="10"/>
      <c r="R286" s="11"/>
      <c r="S286" s="10"/>
      <c r="T286" s="3" t="str">
        <f>IF(AND(ProtocolosAF[[#This Row],[STATUS]]="APROVADO",ProtocolosAF[[#This Row],[WAIVER]]=""),"Y","")</f>
        <v/>
      </c>
      <c r="U286" t="s">
        <v>697</v>
      </c>
      <c r="V286" s="16" t="str">
        <f t="shared" si="18"/>
        <v>NLVUTZDE TOLEDO/RUBIA HELENA</v>
      </c>
      <c r="W286">
        <v>262</v>
      </c>
    </row>
    <row r="287" spans="1:23" hidden="1">
      <c r="A287" s="1">
        <v>45195</v>
      </c>
      <c r="B287" t="s">
        <v>11</v>
      </c>
      <c r="C287" t="s">
        <v>698</v>
      </c>
      <c r="D287" s="23" t="s">
        <v>699</v>
      </c>
      <c r="E287" t="s">
        <v>41</v>
      </c>
      <c r="F287" s="19"/>
      <c r="G287" s="53"/>
      <c r="H287" s="52">
        <v>1308</v>
      </c>
      <c r="I287" s="5">
        <v>0.15</v>
      </c>
      <c r="J287" s="52" t="str" cm="1">
        <f t="array" ref="J28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87" s="56" t="s">
        <v>99</v>
      </c>
      <c r="L287" s="54" t="s">
        <v>76</v>
      </c>
      <c r="M287" t="s">
        <v>100</v>
      </c>
      <c r="N287" s="15" t="s">
        <v>85</v>
      </c>
      <c r="O287" s="5" t="s">
        <v>700</v>
      </c>
      <c r="P287" s="17" t="s">
        <v>255</v>
      </c>
      <c r="Q287" s="10"/>
      <c r="R287" s="11"/>
      <c r="S287" s="10"/>
      <c r="T287" s="3" t="str">
        <f>IF(AND(ProtocolosAF[[#This Row],[STATUS]]="APROVADO",ProtocolosAF[[#This Row],[WAIVER]]=""),"Y","")</f>
        <v/>
      </c>
      <c r="U287" t="s">
        <v>701</v>
      </c>
      <c r="V287" s="16" t="str">
        <f t="shared" si="18"/>
        <v>NGVYYYCOSTA MONTEIRO NETO/LUIZ MR</v>
      </c>
      <c r="W287">
        <v>263</v>
      </c>
    </row>
    <row r="288" spans="1:23" hidden="1">
      <c r="A288" s="1">
        <v>45195</v>
      </c>
      <c r="B288" t="s">
        <v>11</v>
      </c>
      <c r="C288" t="s">
        <v>698</v>
      </c>
      <c r="D288" s="23" t="s">
        <v>699</v>
      </c>
      <c r="E288" t="s">
        <v>41</v>
      </c>
      <c r="F288" s="19"/>
      <c r="G288" s="53"/>
      <c r="H288" s="52">
        <v>1308</v>
      </c>
      <c r="I288" s="5">
        <v>0.15</v>
      </c>
      <c r="J288" s="52" t="str" cm="1">
        <f t="array" ref="J28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88" s="56" t="s">
        <v>99</v>
      </c>
      <c r="L288" s="54" t="s">
        <v>76</v>
      </c>
      <c r="M288" t="s">
        <v>100</v>
      </c>
      <c r="N288" s="15" t="s">
        <v>85</v>
      </c>
      <c r="O288" s="5" t="s">
        <v>700</v>
      </c>
      <c r="P288" s="17" t="s">
        <v>255</v>
      </c>
      <c r="Q288" s="10"/>
      <c r="R288" s="11"/>
      <c r="S288" s="10"/>
      <c r="T288" s="3" t="str">
        <f>IF(AND(ProtocolosAF[[#This Row],[STATUS]]="APROVADO",ProtocolosAF[[#This Row],[WAIVER]]=""),"Y","")</f>
        <v/>
      </c>
      <c r="U288" t="s">
        <v>702</v>
      </c>
      <c r="V288" s="16" t="str">
        <f t="shared" si="18"/>
        <v>NGVYYYGUIMARAES CARDOSO/CAROLINE MRS</v>
      </c>
      <c r="W288">
        <v>263</v>
      </c>
    </row>
    <row r="289" spans="1:23" hidden="1">
      <c r="A289" s="1">
        <v>45195</v>
      </c>
      <c r="B289" t="s">
        <v>11</v>
      </c>
      <c r="C289" t="s">
        <v>698</v>
      </c>
      <c r="D289" s="23" t="s">
        <v>699</v>
      </c>
      <c r="E289" t="s">
        <v>41</v>
      </c>
      <c r="F289" s="19"/>
      <c r="G289" s="53"/>
      <c r="H289" s="52">
        <v>1308</v>
      </c>
      <c r="I289" s="5">
        <v>0.15</v>
      </c>
      <c r="J289" s="52" t="str" cm="1">
        <f t="array" ref="J28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89" s="56" t="s">
        <v>99</v>
      </c>
      <c r="L289" s="54" t="s">
        <v>76</v>
      </c>
      <c r="M289" t="s">
        <v>100</v>
      </c>
      <c r="N289" s="15" t="s">
        <v>85</v>
      </c>
      <c r="O289" s="5" t="s">
        <v>700</v>
      </c>
      <c r="P289" s="17" t="s">
        <v>255</v>
      </c>
      <c r="Q289" s="10"/>
      <c r="R289" s="11"/>
      <c r="S289" s="10"/>
      <c r="T289" s="3" t="str">
        <f>IF(AND(ProtocolosAF[[#This Row],[STATUS]]="APROVADO",ProtocolosAF[[#This Row],[WAIVER]]=""),"Y","")</f>
        <v/>
      </c>
      <c r="U289" t="s">
        <v>703</v>
      </c>
      <c r="V289" s="16" t="str">
        <f t="shared" si="18"/>
        <v>NGVYYYFRANCA NUNES/JENERSON MR</v>
      </c>
      <c r="W289">
        <v>263</v>
      </c>
    </row>
    <row r="290" spans="1:23" hidden="1">
      <c r="A290" s="1">
        <v>45195</v>
      </c>
      <c r="B290" t="s">
        <v>11</v>
      </c>
      <c r="C290" t="s">
        <v>698</v>
      </c>
      <c r="D290" s="23" t="s">
        <v>699</v>
      </c>
      <c r="E290" t="s">
        <v>41</v>
      </c>
      <c r="F290" s="19"/>
      <c r="G290" s="53"/>
      <c r="H290" s="52">
        <v>1308</v>
      </c>
      <c r="I290" s="5">
        <v>0.15</v>
      </c>
      <c r="J290" s="52" t="str" cm="1">
        <f t="array" ref="J29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290" s="56" t="s">
        <v>99</v>
      </c>
      <c r="L290" s="54" t="s">
        <v>76</v>
      </c>
      <c r="M290" t="s">
        <v>100</v>
      </c>
      <c r="N290" s="15" t="s">
        <v>85</v>
      </c>
      <c r="O290" s="5" t="s">
        <v>700</v>
      </c>
      <c r="P290" s="17" t="s">
        <v>255</v>
      </c>
      <c r="Q290" s="10"/>
      <c r="R290" s="11"/>
      <c r="S290" s="10"/>
      <c r="T290" s="3" t="str">
        <f>IF(AND(ProtocolosAF[[#This Row],[STATUS]]="APROVADO",ProtocolosAF[[#This Row],[WAIVER]]=""),"Y","")</f>
        <v/>
      </c>
      <c r="U290" t="s">
        <v>704</v>
      </c>
      <c r="V290" s="16" t="str">
        <f t="shared" si="18"/>
        <v>NGVYYYDAS GRACAS COELHO NUNES/NELMA MRS</v>
      </c>
      <c r="W290">
        <v>263</v>
      </c>
    </row>
    <row r="291" spans="1:23" hidden="1">
      <c r="A291" s="1">
        <v>45195</v>
      </c>
      <c r="B291" t="s">
        <v>15</v>
      </c>
      <c r="C291" t="s">
        <v>705</v>
      </c>
      <c r="D291" s="23" t="s">
        <v>705</v>
      </c>
      <c r="E291" t="s">
        <v>41</v>
      </c>
      <c r="F291" s="19">
        <v>57564931</v>
      </c>
      <c r="G291" s="53">
        <v>579057755956</v>
      </c>
      <c r="H291" s="52">
        <v>1754</v>
      </c>
      <c r="I291" s="5">
        <v>0.1</v>
      </c>
      <c r="J291" s="52" cm="1">
        <f t="array" ref="J29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176</v>
      </c>
      <c r="K291" s="56" t="s">
        <v>75</v>
      </c>
      <c r="L291" s="54" t="s">
        <v>76</v>
      </c>
      <c r="M291" t="s">
        <v>43</v>
      </c>
      <c r="N291" s="15" t="s">
        <v>77</v>
      </c>
      <c r="O291" s="5" t="s">
        <v>706</v>
      </c>
      <c r="P291" s="17" t="s">
        <v>46</v>
      </c>
      <c r="Q291" s="10" t="s">
        <v>79</v>
      </c>
      <c r="R291" s="11">
        <v>45196</v>
      </c>
      <c r="S291" s="10" t="s">
        <v>48</v>
      </c>
      <c r="T291" s="3" t="str">
        <f>IF(AND(ProtocolosAF[[#This Row],[STATUS]]="APROVADO",ProtocolosAF[[#This Row],[WAIVER]]=""),"Y","")</f>
        <v/>
      </c>
      <c r="U291" t="s">
        <v>707</v>
      </c>
      <c r="V291" s="16" t="str">
        <f t="shared" si="18"/>
        <v>43J8EBMIRANDA SILVA/PEDRO JORGE</v>
      </c>
      <c r="W291">
        <v>264</v>
      </c>
    </row>
    <row r="292" spans="1:23" hidden="1">
      <c r="A292" s="1">
        <v>45195</v>
      </c>
      <c r="B292" t="s">
        <v>15</v>
      </c>
      <c r="C292" t="s">
        <v>705</v>
      </c>
      <c r="D292" s="23" t="s">
        <v>705</v>
      </c>
      <c r="E292" t="s">
        <v>41</v>
      </c>
      <c r="F292" s="19">
        <v>57564931</v>
      </c>
      <c r="G292" s="53">
        <v>579057755957</v>
      </c>
      <c r="H292" s="52">
        <v>1754</v>
      </c>
      <c r="I292" s="5">
        <v>0.1</v>
      </c>
      <c r="J292" s="52" cm="1">
        <f t="array" ref="J29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176</v>
      </c>
      <c r="K292" s="56" t="s">
        <v>75</v>
      </c>
      <c r="L292" s="54" t="s">
        <v>76</v>
      </c>
      <c r="M292" t="s">
        <v>43</v>
      </c>
      <c r="N292" s="15" t="s">
        <v>77</v>
      </c>
      <c r="O292" s="5" t="s">
        <v>706</v>
      </c>
      <c r="P292" s="17" t="s">
        <v>46</v>
      </c>
      <c r="Q292" s="10" t="s">
        <v>79</v>
      </c>
      <c r="R292" s="11">
        <v>45196</v>
      </c>
      <c r="S292" s="10" t="s">
        <v>48</v>
      </c>
      <c r="T292" s="3" t="str">
        <f>IF(AND(ProtocolosAF[[#This Row],[STATUS]]="APROVADO",ProtocolosAF[[#This Row],[WAIVER]]=""),"Y","")</f>
        <v/>
      </c>
      <c r="U292" t="s">
        <v>708</v>
      </c>
      <c r="V292" s="16" t="str">
        <f t="shared" si="18"/>
        <v>43J8EBMOREIRA SOUZA/BEATRIZ EFIGENIA</v>
      </c>
      <c r="W292">
        <v>264</v>
      </c>
    </row>
    <row r="293" spans="1:23" hidden="1">
      <c r="A293" s="1">
        <v>45196</v>
      </c>
      <c r="B293" t="s">
        <v>10</v>
      </c>
      <c r="C293" t="s">
        <v>709</v>
      </c>
      <c r="D293" s="23" t="s">
        <v>710</v>
      </c>
      <c r="E293" t="s">
        <v>73</v>
      </c>
      <c r="F293" s="19">
        <v>57519652</v>
      </c>
      <c r="G293" s="53">
        <v>574200484665</v>
      </c>
      <c r="H293" s="52">
        <v>178</v>
      </c>
      <c r="I293" s="5" t="s">
        <v>74</v>
      </c>
      <c r="J293" s="52" cm="1">
        <f t="array" ref="J29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</v>
      </c>
      <c r="K293" s="56" t="s">
        <v>115</v>
      </c>
      <c r="L293" s="54" t="s">
        <v>172</v>
      </c>
      <c r="M293" t="s">
        <v>43</v>
      </c>
      <c r="N293" s="15" t="s">
        <v>67</v>
      </c>
      <c r="O293" s="5" t="s">
        <v>711</v>
      </c>
      <c r="P293" s="17" t="s">
        <v>69</v>
      </c>
      <c r="Q293" s="10" t="s">
        <v>222</v>
      </c>
      <c r="R293" s="11">
        <v>45196</v>
      </c>
      <c r="S293" s="10" t="s">
        <v>520</v>
      </c>
      <c r="T293" s="3" t="str">
        <f>IF(AND(ProtocolosAF[[#This Row],[STATUS]]="APROVADO",ProtocolosAF[[#This Row],[WAIVER]]=""),"Y","")</f>
        <v/>
      </c>
      <c r="U293" t="s">
        <v>712</v>
      </c>
      <c r="V293" s="16" t="str">
        <f t="shared" si="18"/>
        <v>KCBJNVAOAS CORREA/MARCOS</v>
      </c>
      <c r="W293">
        <v>265</v>
      </c>
    </row>
    <row r="294" spans="1:23" hidden="1">
      <c r="A294" s="1">
        <v>45195</v>
      </c>
      <c r="B294" t="s">
        <v>10</v>
      </c>
      <c r="C294" t="s">
        <v>713</v>
      </c>
      <c r="D294" s="23" t="s">
        <v>714</v>
      </c>
      <c r="E294" t="s">
        <v>207</v>
      </c>
      <c r="F294" s="19">
        <v>57994602</v>
      </c>
      <c r="G294" s="53">
        <v>574200484622</v>
      </c>
      <c r="H294" s="52">
        <v>151</v>
      </c>
      <c r="I294" s="5" t="s">
        <v>74</v>
      </c>
      <c r="J294" s="52" cm="1">
        <f t="array" ref="J29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151</v>
      </c>
      <c r="K294" s="56" t="s">
        <v>345</v>
      </c>
      <c r="L294" s="54" t="s">
        <v>172</v>
      </c>
      <c r="M294" t="s">
        <v>43</v>
      </c>
      <c r="N294" s="15" t="s">
        <v>67</v>
      </c>
      <c r="O294" s="5" t="s">
        <v>715</v>
      </c>
      <c r="P294" s="17" t="s">
        <v>69</v>
      </c>
      <c r="Q294" s="10" t="s">
        <v>222</v>
      </c>
      <c r="R294" s="11">
        <v>45197</v>
      </c>
      <c r="S294" s="10" t="s">
        <v>173</v>
      </c>
      <c r="T294" s="3" t="str">
        <f>IF(AND(ProtocolosAF[[#This Row],[STATUS]]="APROVADO",ProtocolosAF[[#This Row],[WAIVER]]=""),"Y","")</f>
        <v/>
      </c>
      <c r="U294" t="s">
        <v>716</v>
      </c>
      <c r="V294" s="16" t="str">
        <f t="shared" si="18"/>
        <v>CYFLEJRODRIGUES NAHAS/CAROLINA MRS</v>
      </c>
      <c r="W294">
        <v>266</v>
      </c>
    </row>
    <row r="295" spans="1:23" hidden="1">
      <c r="A295" s="1">
        <v>45197</v>
      </c>
      <c r="B295" t="s">
        <v>11</v>
      </c>
      <c r="C295" t="s">
        <v>717</v>
      </c>
      <c r="D295" s="23" t="s">
        <v>718</v>
      </c>
      <c r="E295" t="s">
        <v>512</v>
      </c>
      <c r="F295" s="19">
        <v>57564931</v>
      </c>
      <c r="G295" s="53">
        <v>573204406114</v>
      </c>
      <c r="H295" s="52">
        <v>192</v>
      </c>
      <c r="I295" s="5" t="s">
        <v>74</v>
      </c>
      <c r="J295" s="52" cm="1">
        <f t="array" ref="J29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192</v>
      </c>
      <c r="K295" s="56" t="s">
        <v>99</v>
      </c>
      <c r="L295" s="54" t="s">
        <v>513</v>
      </c>
      <c r="M295" t="s">
        <v>43</v>
      </c>
      <c r="N295" s="15" t="s">
        <v>85</v>
      </c>
      <c r="O295" s="5" t="s">
        <v>719</v>
      </c>
      <c r="P295" s="17" t="s">
        <v>146</v>
      </c>
      <c r="Q295" s="10" t="s">
        <v>250</v>
      </c>
      <c r="R295" s="11">
        <v>45198</v>
      </c>
      <c r="S295" s="10" t="s">
        <v>720</v>
      </c>
      <c r="T295" s="3" t="str">
        <f>IF(AND(ProtocolosAF[[#This Row],[STATUS]]="APROVADO",ProtocolosAF[[#This Row],[WAIVER]]=""),"Y","")</f>
        <v/>
      </c>
      <c r="U295" t="s">
        <v>721</v>
      </c>
      <c r="V295" s="16" t="str">
        <f t="shared" si="18"/>
        <v>YQRSYILANZARIN/MAISA MRS</v>
      </c>
      <c r="W295">
        <v>268</v>
      </c>
    </row>
    <row r="296" spans="1:23" hidden="1">
      <c r="A296" s="1">
        <v>45197</v>
      </c>
      <c r="B296" t="s">
        <v>13</v>
      </c>
      <c r="C296" t="s">
        <v>722</v>
      </c>
      <c r="D296" s="23" t="s">
        <v>723</v>
      </c>
      <c r="E296" t="s">
        <v>41</v>
      </c>
      <c r="F296" s="19">
        <v>57564931</v>
      </c>
      <c r="G296" s="53">
        <v>572935887684</v>
      </c>
      <c r="H296" s="52">
        <v>2614</v>
      </c>
      <c r="I296" s="5">
        <v>0.12</v>
      </c>
      <c r="J296" s="52" cm="1">
        <f t="array" ref="J29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314</v>
      </c>
      <c r="K296" s="56" t="s">
        <v>151</v>
      </c>
      <c r="L296" s="54" t="s">
        <v>76</v>
      </c>
      <c r="M296" t="s">
        <v>43</v>
      </c>
      <c r="N296" s="15" t="s">
        <v>44</v>
      </c>
      <c r="O296" s="5" t="s">
        <v>724</v>
      </c>
      <c r="P296" s="17" t="s">
        <v>69</v>
      </c>
      <c r="Q296" s="10" t="s">
        <v>244</v>
      </c>
      <c r="R296" s="11">
        <v>45197</v>
      </c>
      <c r="S296" s="10" t="s">
        <v>48</v>
      </c>
      <c r="T296" s="3" t="str">
        <f>IF(AND(ProtocolosAF[[#This Row],[STATUS]]="APROVADO",ProtocolosAF[[#This Row],[WAIVER]]=""),"Y","")</f>
        <v/>
      </c>
      <c r="U296" t="s">
        <v>725</v>
      </c>
      <c r="V296" s="16" t="str">
        <f t="shared" si="18"/>
        <v>5RDP67PACHECO PEREIRA/EDUARDO</v>
      </c>
      <c r="W296">
        <v>269</v>
      </c>
    </row>
    <row r="297" spans="1:23" hidden="1">
      <c r="A297" s="1">
        <v>45197</v>
      </c>
      <c r="B297" t="s">
        <v>13</v>
      </c>
      <c r="C297" t="s">
        <v>722</v>
      </c>
      <c r="D297" s="23" t="s">
        <v>723</v>
      </c>
      <c r="E297" t="s">
        <v>41</v>
      </c>
      <c r="F297" s="19">
        <v>57564931</v>
      </c>
      <c r="G297" s="53">
        <v>572935887688</v>
      </c>
      <c r="H297" s="52">
        <v>2614</v>
      </c>
      <c r="I297" s="5">
        <v>0.12</v>
      </c>
      <c r="J297" s="52" cm="1">
        <f t="array" ref="J29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314</v>
      </c>
      <c r="K297" s="56" t="s">
        <v>151</v>
      </c>
      <c r="L297" s="54" t="s">
        <v>76</v>
      </c>
      <c r="M297" t="s">
        <v>43</v>
      </c>
      <c r="N297" s="15" t="s">
        <v>44</v>
      </c>
      <c r="O297" s="5" t="s">
        <v>724</v>
      </c>
      <c r="P297" s="17" t="s">
        <v>69</v>
      </c>
      <c r="Q297" s="10" t="s">
        <v>244</v>
      </c>
      <c r="R297" s="11">
        <v>45197</v>
      </c>
      <c r="S297" s="10" t="s">
        <v>48</v>
      </c>
      <c r="T297" s="3" t="str">
        <f>IF(AND(ProtocolosAF[[#This Row],[STATUS]]="APROVADO",ProtocolosAF[[#This Row],[WAIVER]]=""),"Y","")</f>
        <v/>
      </c>
      <c r="U297" t="s">
        <v>726</v>
      </c>
      <c r="V297" s="16" t="str">
        <f t="shared" si="18"/>
        <v>5RDP67VALE PEREIRA/LISSA</v>
      </c>
      <c r="W297">
        <v>269</v>
      </c>
    </row>
    <row r="298" spans="1:23" hidden="1">
      <c r="A298" s="1">
        <v>45197</v>
      </c>
      <c r="B298" t="s">
        <v>13</v>
      </c>
      <c r="C298" t="s">
        <v>722</v>
      </c>
      <c r="D298" s="23" t="s">
        <v>723</v>
      </c>
      <c r="E298" t="s">
        <v>41</v>
      </c>
      <c r="F298" s="19">
        <v>57564931</v>
      </c>
      <c r="G298" s="53">
        <v>572935887745</v>
      </c>
      <c r="H298" s="52">
        <v>2614</v>
      </c>
      <c r="I298" s="5">
        <v>0.12</v>
      </c>
      <c r="J298" s="52" cm="1">
        <f t="array" ref="J29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314</v>
      </c>
      <c r="K298" s="56" t="s">
        <v>151</v>
      </c>
      <c r="L298" s="54" t="s">
        <v>76</v>
      </c>
      <c r="M298" t="s">
        <v>43</v>
      </c>
      <c r="N298" s="15" t="s">
        <v>44</v>
      </c>
      <c r="O298" s="5" t="s">
        <v>724</v>
      </c>
      <c r="P298" s="17" t="s">
        <v>69</v>
      </c>
      <c r="Q298" s="10" t="s">
        <v>244</v>
      </c>
      <c r="R298" s="11">
        <v>45197</v>
      </c>
      <c r="S298" s="10" t="s">
        <v>48</v>
      </c>
      <c r="T298" s="3" t="str">
        <f>IF(AND(ProtocolosAF[[#This Row],[STATUS]]="APROVADO",ProtocolosAF[[#This Row],[WAIVER]]=""),"Y","")</f>
        <v/>
      </c>
      <c r="U298" t="s">
        <v>727</v>
      </c>
      <c r="V298" s="16" t="str">
        <f t="shared" si="18"/>
        <v>5RDP67DE JESUS EMANUEL PAIVA/FELIPE</v>
      </c>
      <c r="W298">
        <v>269</v>
      </c>
    </row>
    <row r="299" spans="1:23" hidden="1">
      <c r="A299" s="1">
        <v>45197</v>
      </c>
      <c r="B299" t="s">
        <v>11</v>
      </c>
      <c r="C299" t="s">
        <v>728</v>
      </c>
      <c r="D299" t="s">
        <v>728</v>
      </c>
      <c r="E299" t="s">
        <v>41</v>
      </c>
      <c r="F299" s="19">
        <v>57564931</v>
      </c>
      <c r="G299" s="53">
        <v>579057768515</v>
      </c>
      <c r="H299" s="52">
        <v>2123</v>
      </c>
      <c r="I299" s="5">
        <v>0.1</v>
      </c>
      <c r="J299" s="52" cm="1">
        <f t="array" ref="J29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213</v>
      </c>
      <c r="K299" s="56" t="s">
        <v>84</v>
      </c>
      <c r="L299" s="54" t="s">
        <v>66</v>
      </c>
      <c r="M299" t="s">
        <v>43</v>
      </c>
      <c r="N299" s="15" t="s">
        <v>85</v>
      </c>
      <c r="O299" s="5" t="s">
        <v>729</v>
      </c>
      <c r="P299" s="17" t="s">
        <v>146</v>
      </c>
      <c r="Q299" s="10" t="s">
        <v>353</v>
      </c>
      <c r="R299" s="11">
        <v>45201</v>
      </c>
      <c r="S299" s="10" t="s">
        <v>48</v>
      </c>
      <c r="T299" s="3" t="str">
        <f>IF(AND(ProtocolosAF[[#This Row],[STATUS]]="APROVADO",ProtocolosAF[[#This Row],[WAIVER]]=""),"Y","")</f>
        <v/>
      </c>
      <c r="U299" t="s">
        <v>730</v>
      </c>
      <c r="V299" s="16" t="str">
        <f t="shared" si="18"/>
        <v>4FEK5DAGOSTINHO FREITAS FERNANDES/EDUARDO MR</v>
      </c>
      <c r="W299">
        <v>271</v>
      </c>
    </row>
    <row r="300" spans="1:23" hidden="1">
      <c r="A300" s="1">
        <v>45197</v>
      </c>
      <c r="B300" t="s">
        <v>11</v>
      </c>
      <c r="C300" t="s">
        <v>728</v>
      </c>
      <c r="D300" t="s">
        <v>728</v>
      </c>
      <c r="E300" t="s">
        <v>41</v>
      </c>
      <c r="F300" s="19">
        <v>57564931</v>
      </c>
      <c r="G300" s="53">
        <v>579057768517</v>
      </c>
      <c r="H300" s="52">
        <v>2123</v>
      </c>
      <c r="I300" s="5">
        <v>0.1</v>
      </c>
      <c r="J300" s="52" cm="1">
        <f t="array" ref="J30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213</v>
      </c>
      <c r="K300" s="56" t="s">
        <v>84</v>
      </c>
      <c r="L300" s="54" t="s">
        <v>66</v>
      </c>
      <c r="M300" t="s">
        <v>43</v>
      </c>
      <c r="N300" s="15" t="s">
        <v>85</v>
      </c>
      <c r="O300" s="5" t="s">
        <v>729</v>
      </c>
      <c r="P300" s="17" t="s">
        <v>146</v>
      </c>
      <c r="Q300" s="10" t="s">
        <v>353</v>
      </c>
      <c r="R300" s="11">
        <v>45201</v>
      </c>
      <c r="S300" s="10" t="s">
        <v>48</v>
      </c>
      <c r="T300" s="3" t="str">
        <f>IF(AND(ProtocolosAF[[#This Row],[STATUS]]="APROVADO",ProtocolosAF[[#This Row],[WAIVER]]=""),"Y","")</f>
        <v/>
      </c>
      <c r="U300" t="s">
        <v>731</v>
      </c>
      <c r="V300" s="16" t="str">
        <f t="shared" si="18"/>
        <v>4FEK5DALMEIDA LOPES/RENATO MR</v>
      </c>
      <c r="W300">
        <v>271</v>
      </c>
    </row>
    <row r="301" spans="1:23" hidden="1">
      <c r="A301" s="1">
        <v>45197</v>
      </c>
      <c r="B301" t="s">
        <v>13</v>
      </c>
      <c r="C301" t="s">
        <v>732</v>
      </c>
      <c r="D301" s="23" t="s">
        <v>733</v>
      </c>
      <c r="E301" t="s">
        <v>41</v>
      </c>
      <c r="F301" s="19">
        <v>57564931</v>
      </c>
      <c r="G301" s="53">
        <v>573204409620</v>
      </c>
      <c r="H301" s="52">
        <v>1915</v>
      </c>
      <c r="I301" s="5">
        <v>0.15</v>
      </c>
      <c r="J301" s="52" cm="1">
        <f t="array" ref="J30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288</v>
      </c>
      <c r="K301" s="56" t="s">
        <v>151</v>
      </c>
      <c r="L301" s="54" t="s">
        <v>76</v>
      </c>
      <c r="M301" t="s">
        <v>43</v>
      </c>
      <c r="N301" s="15" t="s">
        <v>44</v>
      </c>
      <c r="O301" s="5" t="s">
        <v>734</v>
      </c>
      <c r="P301" s="17" t="s">
        <v>46</v>
      </c>
      <c r="Q301" s="10" t="s">
        <v>168</v>
      </c>
      <c r="R301" s="11">
        <v>45198</v>
      </c>
      <c r="S301" s="10" t="s">
        <v>48</v>
      </c>
      <c r="T301" s="3" t="str">
        <f>IF(AND(ProtocolosAF[[#This Row],[STATUS]]="APROVADO",ProtocolosAF[[#This Row],[WAIVER]]=""),"Y","")</f>
        <v/>
      </c>
      <c r="U301" t="s">
        <v>735</v>
      </c>
      <c r="V301" s="16" t="str">
        <f t="shared" si="18"/>
        <v>IONSSEDONIZETI CHAGAS VILAS BOAS/ANDREIA</v>
      </c>
      <c r="W301">
        <v>272</v>
      </c>
    </row>
    <row r="302" spans="1:23" hidden="1">
      <c r="A302" s="1">
        <v>45197</v>
      </c>
      <c r="B302" t="s">
        <v>13</v>
      </c>
      <c r="C302" t="s">
        <v>732</v>
      </c>
      <c r="D302" s="23" t="s">
        <v>733</v>
      </c>
      <c r="E302" t="s">
        <v>41</v>
      </c>
      <c r="F302" s="19">
        <v>57564931</v>
      </c>
      <c r="G302" s="53">
        <v>573204409622</v>
      </c>
      <c r="H302" s="52">
        <v>1915</v>
      </c>
      <c r="I302" s="5">
        <v>0.15</v>
      </c>
      <c r="J302" s="52" cm="1">
        <f t="array" ref="J30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288</v>
      </c>
      <c r="K302" s="56" t="s">
        <v>151</v>
      </c>
      <c r="L302" s="54" t="s">
        <v>76</v>
      </c>
      <c r="M302" t="s">
        <v>43</v>
      </c>
      <c r="N302" s="15" t="s">
        <v>44</v>
      </c>
      <c r="O302" s="5" t="s">
        <v>734</v>
      </c>
      <c r="P302" s="17" t="s">
        <v>46</v>
      </c>
      <c r="Q302" s="10" t="s">
        <v>168</v>
      </c>
      <c r="R302" s="11">
        <v>45198</v>
      </c>
      <c r="S302" s="10" t="s">
        <v>48</v>
      </c>
      <c r="T302" s="3" t="str">
        <f>IF(AND(ProtocolosAF[[#This Row],[STATUS]]="APROVADO",ProtocolosAF[[#This Row],[WAIVER]]=""),"Y","")</f>
        <v/>
      </c>
      <c r="U302" t="s">
        <v>736</v>
      </c>
      <c r="V302" s="16" t="str">
        <f t="shared" si="18"/>
        <v>IONSSEBERNARDON CONEGLIAN/JORGE LUIS</v>
      </c>
      <c r="W302">
        <v>272</v>
      </c>
    </row>
    <row r="303" spans="1:23" hidden="1">
      <c r="A303" s="1">
        <v>45197</v>
      </c>
      <c r="B303" t="s">
        <v>13</v>
      </c>
      <c r="C303" t="s">
        <v>732</v>
      </c>
      <c r="D303" s="23" t="s">
        <v>733</v>
      </c>
      <c r="E303" t="s">
        <v>41</v>
      </c>
      <c r="F303" s="19">
        <v>57564931</v>
      </c>
      <c r="G303" s="53">
        <v>573204409624</v>
      </c>
      <c r="H303" s="52">
        <v>1915</v>
      </c>
      <c r="I303" s="5">
        <v>0.15</v>
      </c>
      <c r="J303" s="52" cm="1">
        <f t="array" ref="J30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288</v>
      </c>
      <c r="K303" s="56" t="s">
        <v>151</v>
      </c>
      <c r="L303" s="54" t="s">
        <v>76</v>
      </c>
      <c r="M303" t="s">
        <v>43</v>
      </c>
      <c r="N303" s="15" t="s">
        <v>44</v>
      </c>
      <c r="O303" s="5" t="s">
        <v>734</v>
      </c>
      <c r="P303" s="17" t="s">
        <v>46</v>
      </c>
      <c r="Q303" s="10" t="s">
        <v>244</v>
      </c>
      <c r="R303" s="11">
        <v>45198</v>
      </c>
      <c r="S303" s="10" t="s">
        <v>48</v>
      </c>
      <c r="T303" s="3" t="str">
        <f>IF(AND(ProtocolosAF[[#This Row],[STATUS]]="APROVADO",ProtocolosAF[[#This Row],[WAIVER]]=""),"Y","")</f>
        <v/>
      </c>
      <c r="U303" t="s">
        <v>737</v>
      </c>
      <c r="V303" s="16" t="str">
        <f t="shared" si="18"/>
        <v>IONSSESILVA NASCIMENTO ROCHA FARIA/FABIANA</v>
      </c>
      <c r="W303">
        <v>272</v>
      </c>
    </row>
    <row r="304" spans="1:23" hidden="1">
      <c r="A304" s="1">
        <v>45197</v>
      </c>
      <c r="B304" t="s">
        <v>13</v>
      </c>
      <c r="C304" t="s">
        <v>732</v>
      </c>
      <c r="D304" s="23" t="s">
        <v>733</v>
      </c>
      <c r="E304" t="s">
        <v>41</v>
      </c>
      <c r="F304" s="19">
        <v>57564931</v>
      </c>
      <c r="G304" s="53">
        <v>573204409626</v>
      </c>
      <c r="H304" s="52">
        <v>1915</v>
      </c>
      <c r="I304" s="5">
        <v>0.15</v>
      </c>
      <c r="J304" s="52" cm="1">
        <f t="array" ref="J30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288</v>
      </c>
      <c r="K304" s="56" t="s">
        <v>151</v>
      </c>
      <c r="L304" s="54" t="s">
        <v>76</v>
      </c>
      <c r="M304" t="s">
        <v>43</v>
      </c>
      <c r="N304" s="15" t="s">
        <v>44</v>
      </c>
      <c r="O304" s="5" t="s">
        <v>734</v>
      </c>
      <c r="P304" s="17" t="s">
        <v>46</v>
      </c>
      <c r="Q304" s="10" t="s">
        <v>244</v>
      </c>
      <c r="R304" s="11">
        <v>45198</v>
      </c>
      <c r="S304" s="10" t="s">
        <v>48</v>
      </c>
      <c r="T304" s="3" t="str">
        <f>IF(AND(ProtocolosAF[[#This Row],[STATUS]]="APROVADO",ProtocolosAF[[#This Row],[WAIVER]]=""),"Y","")</f>
        <v/>
      </c>
      <c r="U304" t="s">
        <v>738</v>
      </c>
      <c r="V304" s="16" t="str">
        <f t="shared" si="18"/>
        <v>IONSSEDA ROCHA FARIA/RICARDO</v>
      </c>
      <c r="W304">
        <v>272</v>
      </c>
    </row>
    <row r="305" spans="1:23" hidden="1">
      <c r="A305" s="1">
        <v>45197</v>
      </c>
      <c r="B305" t="s">
        <v>13</v>
      </c>
      <c r="C305" t="s">
        <v>732</v>
      </c>
      <c r="D305" s="23" t="s">
        <v>733</v>
      </c>
      <c r="E305" t="s">
        <v>41</v>
      </c>
      <c r="F305" s="19">
        <v>57564931</v>
      </c>
      <c r="G305" s="53">
        <v>573204409628</v>
      </c>
      <c r="H305" s="52">
        <v>1915</v>
      </c>
      <c r="I305" s="5">
        <v>0.15</v>
      </c>
      <c r="J305" s="52" cm="1">
        <f t="array" ref="J30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288</v>
      </c>
      <c r="K305" s="56" t="s">
        <v>151</v>
      </c>
      <c r="L305" s="54" t="s">
        <v>76</v>
      </c>
      <c r="M305" t="s">
        <v>43</v>
      </c>
      <c r="N305" s="15" t="s">
        <v>44</v>
      </c>
      <c r="O305" s="5" t="s">
        <v>734</v>
      </c>
      <c r="P305" s="17" t="s">
        <v>46</v>
      </c>
      <c r="Q305" s="10" t="s">
        <v>244</v>
      </c>
      <c r="R305" s="11">
        <v>45198</v>
      </c>
      <c r="S305" s="10" t="s">
        <v>48</v>
      </c>
      <c r="T305" s="3" t="str">
        <f>IF(AND(ProtocolosAF[[#This Row],[STATUS]]="APROVADO",ProtocolosAF[[#This Row],[WAIVER]]=""),"Y","")</f>
        <v/>
      </c>
      <c r="U305" t="s">
        <v>739</v>
      </c>
      <c r="V305" s="16" t="str">
        <f t="shared" si="18"/>
        <v>IONSSESEGEREN/WALTER</v>
      </c>
      <c r="W305">
        <v>272</v>
      </c>
    </row>
    <row r="306" spans="1:23" hidden="1">
      <c r="A306" s="1">
        <v>45197</v>
      </c>
      <c r="B306" t="s">
        <v>13</v>
      </c>
      <c r="C306" t="s">
        <v>732</v>
      </c>
      <c r="D306" s="23" t="s">
        <v>733</v>
      </c>
      <c r="E306" t="s">
        <v>41</v>
      </c>
      <c r="F306" s="19">
        <v>57564931</v>
      </c>
      <c r="G306" s="53">
        <v>573204409630</v>
      </c>
      <c r="H306" s="52">
        <v>1915</v>
      </c>
      <c r="I306" s="5">
        <v>0.15</v>
      </c>
      <c r="J306" s="52" cm="1">
        <f t="array" ref="J30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288</v>
      </c>
      <c r="K306" s="56" t="s">
        <v>151</v>
      </c>
      <c r="L306" s="54" t="s">
        <v>76</v>
      </c>
      <c r="M306" t="s">
        <v>43</v>
      </c>
      <c r="N306" s="15" t="s">
        <v>44</v>
      </c>
      <c r="O306" s="5" t="s">
        <v>734</v>
      </c>
      <c r="P306" s="17"/>
      <c r="Q306" s="10" t="s">
        <v>244</v>
      </c>
      <c r="R306" s="11">
        <v>45198</v>
      </c>
      <c r="S306" s="10" t="s">
        <v>48</v>
      </c>
      <c r="T306" s="3" t="str">
        <f>IF(AND(ProtocolosAF[[#This Row],[STATUS]]="APROVADO",ProtocolosAF[[#This Row],[WAIVER]]=""),"Y","")</f>
        <v/>
      </c>
      <c r="U306" t="s">
        <v>740</v>
      </c>
      <c r="V306" s="16" t="str">
        <f t="shared" si="18"/>
        <v>IONSSEHAGEMANN/ANDRE</v>
      </c>
      <c r="W306">
        <v>272</v>
      </c>
    </row>
    <row r="307" spans="1:23" hidden="1">
      <c r="A307" s="1">
        <v>45198</v>
      </c>
      <c r="B307" t="s">
        <v>10</v>
      </c>
      <c r="C307" t="s">
        <v>741</v>
      </c>
      <c r="D307" s="23" t="s">
        <v>742</v>
      </c>
      <c r="E307" t="s">
        <v>41</v>
      </c>
      <c r="F307" s="19">
        <v>57564931</v>
      </c>
      <c r="G307" s="53">
        <v>573204409578</v>
      </c>
      <c r="H307" s="52">
        <v>1722</v>
      </c>
      <c r="I307" s="5">
        <v>0.1</v>
      </c>
      <c r="J307" s="52" cm="1">
        <f t="array" ref="J30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173</v>
      </c>
      <c r="K307" s="56" t="s">
        <v>345</v>
      </c>
      <c r="L307" s="54" t="s">
        <v>76</v>
      </c>
      <c r="M307" t="s">
        <v>43</v>
      </c>
      <c r="N307" s="15" t="s">
        <v>44</v>
      </c>
      <c r="O307" s="5" t="s">
        <v>468</v>
      </c>
      <c r="P307" s="17" t="s">
        <v>255</v>
      </c>
      <c r="Q307" s="10" t="s">
        <v>743</v>
      </c>
      <c r="R307" s="11">
        <v>45198</v>
      </c>
      <c r="S307" s="10" t="s">
        <v>48</v>
      </c>
      <c r="T307" s="3" t="str">
        <f>IF(AND(ProtocolosAF[[#This Row],[STATUS]]="APROVADO",ProtocolosAF[[#This Row],[WAIVER]]=""),"Y","")</f>
        <v/>
      </c>
      <c r="U307" t="s">
        <v>744</v>
      </c>
      <c r="V307" s="16" t="str">
        <f t="shared" si="18"/>
        <v>ESCVCHRUDIS RABINOVITCH/THIAGO</v>
      </c>
      <c r="W307">
        <v>273</v>
      </c>
    </row>
    <row r="308" spans="1:23" hidden="1">
      <c r="A308" s="1">
        <v>45198</v>
      </c>
      <c r="B308" t="s">
        <v>10</v>
      </c>
      <c r="C308" t="s">
        <v>745</v>
      </c>
      <c r="D308" s="23" t="s">
        <v>746</v>
      </c>
      <c r="E308" t="s">
        <v>41</v>
      </c>
      <c r="F308" s="19">
        <v>57564931</v>
      </c>
      <c r="G308" s="53">
        <v>573204409632</v>
      </c>
      <c r="H308" s="52">
        <v>2465</v>
      </c>
      <c r="I308" s="5">
        <v>0.2</v>
      </c>
      <c r="J308" s="52" cm="1">
        <f t="array" ref="J30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493</v>
      </c>
      <c r="K308" s="56" t="s">
        <v>144</v>
      </c>
      <c r="L308" s="54" t="s">
        <v>172</v>
      </c>
      <c r="M308" t="s">
        <v>43</v>
      </c>
      <c r="N308" s="15" t="s">
        <v>44</v>
      </c>
      <c r="O308" s="5" t="s">
        <v>152</v>
      </c>
      <c r="P308" s="17" t="s">
        <v>46</v>
      </c>
      <c r="Q308" s="10" t="s">
        <v>147</v>
      </c>
      <c r="R308" s="11">
        <v>45204</v>
      </c>
      <c r="S308" s="10" t="s">
        <v>48</v>
      </c>
      <c r="T308" s="3" t="str">
        <f>IF(AND(ProtocolosAF[[#This Row],[STATUS]]="APROVADO",ProtocolosAF[[#This Row],[WAIVER]]=""),"Y","")</f>
        <v/>
      </c>
      <c r="U308" t="s">
        <v>747</v>
      </c>
      <c r="V308" s="16" t="str">
        <f t="shared" ref="V308:V326" si="19">_xlfn.CONCAT(C308,U308)</f>
        <v>HEUBKU1.1NAHAS MATTAR MUACCAD/CAMILLA</v>
      </c>
      <c r="W308">
        <v>274</v>
      </c>
    </row>
    <row r="309" spans="1:23" hidden="1">
      <c r="A309" s="1">
        <v>45198</v>
      </c>
      <c r="B309" t="s">
        <v>11</v>
      </c>
      <c r="C309" t="s">
        <v>748</v>
      </c>
      <c r="D309" s="23" t="s">
        <v>749</v>
      </c>
      <c r="E309" t="s">
        <v>41</v>
      </c>
      <c r="F309" s="19">
        <v>57564931</v>
      </c>
      <c r="G309" s="53">
        <v>573204409618</v>
      </c>
      <c r="H309" s="52">
        <v>1636</v>
      </c>
      <c r="I309" s="5">
        <v>0.1</v>
      </c>
      <c r="J309" s="52" cm="1">
        <f t="array" ref="J30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164</v>
      </c>
      <c r="K309" s="56" t="s">
        <v>84</v>
      </c>
      <c r="L309" s="54" t="s">
        <v>66</v>
      </c>
      <c r="M309" t="s">
        <v>43</v>
      </c>
      <c r="N309" s="15" t="s">
        <v>85</v>
      </c>
      <c r="O309" s="5" t="s">
        <v>750</v>
      </c>
      <c r="P309" s="17" t="s">
        <v>146</v>
      </c>
      <c r="Q309" s="10" t="s">
        <v>353</v>
      </c>
      <c r="R309" s="11">
        <v>45201</v>
      </c>
      <c r="S309" s="10" t="s">
        <v>48</v>
      </c>
      <c r="T309" s="3" t="str">
        <f>IF(AND(ProtocolosAF[[#This Row],[STATUS]]="APROVADO",ProtocolosAF[[#This Row],[WAIVER]]=""),"Y","")</f>
        <v/>
      </c>
      <c r="U309" t="s">
        <v>751</v>
      </c>
      <c r="V309" s="16" t="str">
        <f t="shared" si="19"/>
        <v>OQPPAYCARVALHO SERAFIM DE OLIVEIRA/LUDIMILLA</v>
      </c>
      <c r="W309">
        <v>276</v>
      </c>
    </row>
    <row r="310" spans="1:23" hidden="1">
      <c r="A310" s="1">
        <v>45198</v>
      </c>
      <c r="B310" t="s">
        <v>11</v>
      </c>
      <c r="C310" t="s">
        <v>748</v>
      </c>
      <c r="D310" s="23" t="s">
        <v>749</v>
      </c>
      <c r="E310" t="s">
        <v>41</v>
      </c>
      <c r="F310" s="19">
        <v>57564931</v>
      </c>
      <c r="G310" s="53">
        <v>573204409619</v>
      </c>
      <c r="H310" s="52">
        <v>1636</v>
      </c>
      <c r="I310" s="5">
        <v>0.1</v>
      </c>
      <c r="J310" s="52" cm="1">
        <f t="array" ref="J31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164</v>
      </c>
      <c r="K310" s="56" t="s">
        <v>84</v>
      </c>
      <c r="L310" s="54" t="s">
        <v>66</v>
      </c>
      <c r="M310" t="s">
        <v>43</v>
      </c>
      <c r="N310" s="15" t="s">
        <v>85</v>
      </c>
      <c r="O310" s="5" t="s">
        <v>750</v>
      </c>
      <c r="P310" s="17" t="s">
        <v>146</v>
      </c>
      <c r="Q310" s="10" t="s">
        <v>353</v>
      </c>
      <c r="R310" s="11">
        <v>45201</v>
      </c>
      <c r="S310" s="10" t="s">
        <v>48</v>
      </c>
      <c r="T310" s="3" t="str">
        <f>IF(AND(ProtocolosAF[[#This Row],[STATUS]]="APROVADO",ProtocolosAF[[#This Row],[WAIVER]]=""),"Y","")</f>
        <v/>
      </c>
      <c r="U310" t="s">
        <v>752</v>
      </c>
      <c r="V310" s="16" t="str">
        <f t="shared" si="19"/>
        <v>OQPPAYALVES DE SOUSA MUNIZ/CLAUDIA</v>
      </c>
      <c r="W310">
        <v>277</v>
      </c>
    </row>
    <row r="311" spans="1:23" hidden="1">
      <c r="A311" s="1">
        <v>45198</v>
      </c>
      <c r="B311" t="s">
        <v>13</v>
      </c>
      <c r="C311" t="s">
        <v>753</v>
      </c>
      <c r="D311" s="23" t="s">
        <v>754</v>
      </c>
      <c r="E311" t="s">
        <v>73</v>
      </c>
      <c r="F311" s="19">
        <v>57564931</v>
      </c>
      <c r="G311" s="53">
        <v>744103644160</v>
      </c>
      <c r="H311" s="52">
        <v>245</v>
      </c>
      <c r="I311" s="5" t="s">
        <v>74</v>
      </c>
      <c r="J311" s="52" cm="1">
        <f t="array" ref="J31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245</v>
      </c>
      <c r="K311" s="56" t="s">
        <v>151</v>
      </c>
      <c r="L311" s="54" t="s">
        <v>172</v>
      </c>
      <c r="M311" t="s">
        <v>43</v>
      </c>
      <c r="N311" s="15" t="s">
        <v>44</v>
      </c>
      <c r="O311" s="5" t="s">
        <v>755</v>
      </c>
      <c r="P311" s="17" t="s">
        <v>46</v>
      </c>
      <c r="Q311" s="10" t="s">
        <v>168</v>
      </c>
      <c r="R311" s="11">
        <v>45198</v>
      </c>
      <c r="S311" s="10" t="s">
        <v>209</v>
      </c>
      <c r="T311" s="3" t="str">
        <f>IF(AND(ProtocolosAF[[#This Row],[STATUS]]="APROVADO",ProtocolosAF[[#This Row],[WAIVER]]=""),"Y","")</f>
        <v/>
      </c>
      <c r="U311" t="s">
        <v>756</v>
      </c>
      <c r="V311" s="16" t="str">
        <f t="shared" si="19"/>
        <v>FTAWVGHERNANDEZ SALINAS/JOSE LEANDRO</v>
      </c>
      <c r="W311">
        <v>278</v>
      </c>
    </row>
    <row r="312" spans="1:23" hidden="1">
      <c r="A312" s="1">
        <v>45198</v>
      </c>
      <c r="B312" t="s">
        <v>13</v>
      </c>
      <c r="C312" t="s">
        <v>757</v>
      </c>
      <c r="D312" s="23" t="s">
        <v>758</v>
      </c>
      <c r="E312" t="s">
        <v>73</v>
      </c>
      <c r="F312" s="19">
        <v>57564931</v>
      </c>
      <c r="G312" s="53">
        <v>744103644171</v>
      </c>
      <c r="H312" s="52">
        <v>245</v>
      </c>
      <c r="I312" s="5" t="s">
        <v>74</v>
      </c>
      <c r="J312" s="52" cm="1">
        <f t="array" ref="J31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245</v>
      </c>
      <c r="K312" s="56" t="s">
        <v>151</v>
      </c>
      <c r="L312" s="54" t="s">
        <v>172</v>
      </c>
      <c r="M312" t="s">
        <v>43</v>
      </c>
      <c r="N312" s="15" t="s">
        <v>44</v>
      </c>
      <c r="O312" s="5" t="s">
        <v>755</v>
      </c>
      <c r="P312" s="17" t="s">
        <v>46</v>
      </c>
      <c r="Q312" s="10" t="s">
        <v>168</v>
      </c>
      <c r="R312" s="11">
        <v>45198</v>
      </c>
      <c r="S312" s="10" t="s">
        <v>209</v>
      </c>
      <c r="T312" s="3" t="str">
        <f>IF(AND(ProtocolosAF[[#This Row],[STATUS]]="APROVADO",ProtocolosAF[[#This Row],[WAIVER]]=""),"Y","")</f>
        <v/>
      </c>
      <c r="U312" t="s">
        <v>759</v>
      </c>
      <c r="V312" s="16" t="str">
        <f t="shared" si="19"/>
        <v>DAXXIZHERNANDEZ GOMES/VICTORIA</v>
      </c>
      <c r="W312">
        <v>279</v>
      </c>
    </row>
    <row r="313" spans="1:23" hidden="1">
      <c r="A313" s="1">
        <v>45198</v>
      </c>
      <c r="B313" t="s">
        <v>16</v>
      </c>
      <c r="C313" t="s">
        <v>760</v>
      </c>
      <c r="D313" s="23" t="s">
        <v>761</v>
      </c>
      <c r="E313" t="s">
        <v>207</v>
      </c>
      <c r="F313" s="19">
        <v>57564931</v>
      </c>
      <c r="G313" s="53">
        <v>574200484658</v>
      </c>
      <c r="H313" s="52">
        <v>77</v>
      </c>
      <c r="I313" s="5" t="s">
        <v>74</v>
      </c>
      <c r="J313" s="52" cm="1">
        <f t="array" ref="J31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77</v>
      </c>
      <c r="K313" s="56" t="s">
        <v>84</v>
      </c>
      <c r="L313" s="54" t="s">
        <v>529</v>
      </c>
      <c r="M313" t="s">
        <v>43</v>
      </c>
      <c r="N313" s="15" t="s">
        <v>85</v>
      </c>
      <c r="O313" s="5" t="s">
        <v>762</v>
      </c>
      <c r="P313" s="17" t="s">
        <v>146</v>
      </c>
      <c r="Q313" s="10" t="s">
        <v>353</v>
      </c>
      <c r="R313" s="11">
        <v>45201</v>
      </c>
      <c r="S313" s="10" t="s">
        <v>209</v>
      </c>
      <c r="T313" s="3" t="str">
        <f>IF(AND(ProtocolosAF[[#This Row],[STATUS]]="APROVADO",ProtocolosAF[[#This Row],[WAIVER]]=""),"Y","")</f>
        <v/>
      </c>
      <c r="U313" t="s">
        <v>763</v>
      </c>
      <c r="V313" s="16" t="str">
        <f t="shared" si="19"/>
        <v>51RSX0BIRSE/RONALDMRS</v>
      </c>
      <c r="W313">
        <v>280</v>
      </c>
    </row>
    <row r="314" spans="1:23" hidden="1">
      <c r="A314" s="1">
        <v>45198</v>
      </c>
      <c r="B314" t="s">
        <v>11</v>
      </c>
      <c r="C314" t="s">
        <v>764</v>
      </c>
      <c r="D314" s="23" t="s">
        <v>764</v>
      </c>
      <c r="E314" t="s">
        <v>73</v>
      </c>
      <c r="F314" s="19">
        <v>57994602</v>
      </c>
      <c r="G314" s="53">
        <v>574200484655</v>
      </c>
      <c r="H314" s="52">
        <v>80</v>
      </c>
      <c r="I314" s="5" t="s">
        <v>74</v>
      </c>
      <c r="J314" s="52" cm="1">
        <f t="array" ref="J31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80</v>
      </c>
      <c r="K314" s="56" t="s">
        <v>99</v>
      </c>
      <c r="L314" s="54" t="s">
        <v>66</v>
      </c>
      <c r="M314" t="s">
        <v>43</v>
      </c>
      <c r="N314" s="15" t="s">
        <v>85</v>
      </c>
      <c r="O314" s="5" t="s">
        <v>78</v>
      </c>
      <c r="P314" s="17" t="s">
        <v>69</v>
      </c>
      <c r="Q314" s="10" t="s">
        <v>250</v>
      </c>
      <c r="R314" s="11">
        <v>45198</v>
      </c>
      <c r="S314" s="10" t="s">
        <v>520</v>
      </c>
      <c r="T314" s="3" t="str">
        <f>IF(AND(ProtocolosAF[[#This Row],[STATUS]]="APROVADO",ProtocolosAF[[#This Row],[WAIVER]]=""),"Y","")</f>
        <v/>
      </c>
      <c r="U314" t="s">
        <v>765</v>
      </c>
      <c r="V314" s="16" t="str">
        <f t="shared" si="19"/>
        <v>4KJBP6BECKER/SUSSY MARIA</v>
      </c>
      <c r="W314">
        <v>281</v>
      </c>
    </row>
    <row r="315" spans="1:23" hidden="1">
      <c r="A315" s="1">
        <v>45198</v>
      </c>
      <c r="B315" t="s">
        <v>11</v>
      </c>
      <c r="C315" t="s">
        <v>764</v>
      </c>
      <c r="D315" s="23" t="s">
        <v>764</v>
      </c>
      <c r="E315" t="s">
        <v>73</v>
      </c>
      <c r="F315" s="19">
        <v>57994602</v>
      </c>
      <c r="G315" s="53">
        <v>574200484656</v>
      </c>
      <c r="H315" s="52">
        <v>80</v>
      </c>
      <c r="I315" s="5" t="s">
        <v>74</v>
      </c>
      <c r="J315" s="52" cm="1">
        <f t="array" ref="J31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80</v>
      </c>
      <c r="K315" s="56" t="s">
        <v>99</v>
      </c>
      <c r="L315" s="54" t="s">
        <v>66</v>
      </c>
      <c r="M315" t="s">
        <v>43</v>
      </c>
      <c r="N315" s="15" t="s">
        <v>85</v>
      </c>
      <c r="O315" s="5" t="s">
        <v>78</v>
      </c>
      <c r="P315" s="17" t="s">
        <v>69</v>
      </c>
      <c r="Q315" s="10" t="s">
        <v>250</v>
      </c>
      <c r="R315" s="11">
        <v>45198</v>
      </c>
      <c r="S315" s="10" t="s">
        <v>520</v>
      </c>
      <c r="T315" s="3" t="str">
        <f>IF(AND(ProtocolosAF[[#This Row],[STATUS]]="APROVADO",ProtocolosAF[[#This Row],[WAIVER]]=""),"Y","")</f>
        <v/>
      </c>
      <c r="U315" t="s">
        <v>766</v>
      </c>
      <c r="V315" s="16" t="str">
        <f t="shared" si="19"/>
        <v>4KJBP6BECKER FERRARI/LUIZA</v>
      </c>
      <c r="W315">
        <v>281</v>
      </c>
    </row>
    <row r="316" spans="1:23" hidden="1">
      <c r="A316" s="1">
        <v>45191</v>
      </c>
      <c r="B316" t="s">
        <v>11</v>
      </c>
      <c r="C316" t="s">
        <v>767</v>
      </c>
      <c r="D316" s="23" t="s">
        <v>768</v>
      </c>
      <c r="E316" t="s">
        <v>41</v>
      </c>
      <c r="F316" s="19">
        <v>57564931</v>
      </c>
      <c r="G316" s="53">
        <v>572935880797</v>
      </c>
      <c r="H316" s="52">
        <v>1442</v>
      </c>
      <c r="I316" s="5">
        <v>0.1</v>
      </c>
      <c r="J316" s="52" cm="1">
        <f t="array" ref="J31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145</v>
      </c>
      <c r="K316" s="56" t="s">
        <v>84</v>
      </c>
      <c r="L316" s="54" t="s">
        <v>66</v>
      </c>
      <c r="M316" t="s">
        <v>43</v>
      </c>
      <c r="N316" s="15" t="s">
        <v>85</v>
      </c>
      <c r="O316" s="5" t="s">
        <v>769</v>
      </c>
      <c r="P316" s="17" t="s">
        <v>69</v>
      </c>
      <c r="Q316" s="10" t="s">
        <v>353</v>
      </c>
      <c r="R316" s="11">
        <v>45202</v>
      </c>
      <c r="S316" s="10" t="s">
        <v>48</v>
      </c>
      <c r="T316" s="3" t="str">
        <f>IF(AND(ProtocolosAF[[#This Row],[STATUS]]="APROVADO",ProtocolosAF[[#This Row],[WAIVER]]=""),"Y","")</f>
        <v/>
      </c>
      <c r="U316" t="s">
        <v>770</v>
      </c>
      <c r="V316" s="16" t="str">
        <f t="shared" si="19"/>
        <v>5PRJY8CURAN TURCI/CASSIA</v>
      </c>
      <c r="W316">
        <v>261</v>
      </c>
    </row>
    <row r="317" spans="1:23" hidden="1">
      <c r="A317" s="1">
        <v>45201</v>
      </c>
      <c r="B317" t="s">
        <v>10</v>
      </c>
      <c r="C317" t="s">
        <v>771</v>
      </c>
      <c r="D317" s="23" t="s">
        <v>772</v>
      </c>
      <c r="E317" t="s">
        <v>41</v>
      </c>
      <c r="F317" s="19"/>
      <c r="G317" s="53"/>
      <c r="H317" s="52">
        <v>1773</v>
      </c>
      <c r="I317" s="5">
        <v>0.1</v>
      </c>
      <c r="J317" s="52" t="str" cm="1">
        <f t="array" ref="J31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17" s="56" t="s">
        <v>345</v>
      </c>
      <c r="L317" s="54" t="s">
        <v>76</v>
      </c>
      <c r="M317" t="s">
        <v>100</v>
      </c>
      <c r="N317" s="15" t="s">
        <v>67</v>
      </c>
      <c r="O317" s="5" t="s">
        <v>468</v>
      </c>
      <c r="P317" s="17" t="s">
        <v>46</v>
      </c>
      <c r="Q317" s="10"/>
      <c r="R317" s="11"/>
      <c r="S317" s="10"/>
      <c r="T317" s="3" t="str">
        <f>IF(AND(ProtocolosAF[[#This Row],[STATUS]]="APROVADO",ProtocolosAF[[#This Row],[WAIVER]]=""),"Y","")</f>
        <v/>
      </c>
      <c r="U317" t="s">
        <v>773</v>
      </c>
      <c r="V317" s="16" t="str">
        <f t="shared" si="19"/>
        <v>FYFYYUMOURAD/JULIANA</v>
      </c>
      <c r="W317">
        <v>284</v>
      </c>
    </row>
    <row r="318" spans="1:23" hidden="1">
      <c r="A318" s="1">
        <v>45201</v>
      </c>
      <c r="B318" t="s">
        <v>10</v>
      </c>
      <c r="C318" t="s">
        <v>771</v>
      </c>
      <c r="D318" s="23" t="s">
        <v>772</v>
      </c>
      <c r="E318" t="s">
        <v>41</v>
      </c>
      <c r="F318" s="19"/>
      <c r="G318" s="53"/>
      <c r="H318" s="52">
        <v>1773</v>
      </c>
      <c r="I318" s="5">
        <v>0.1</v>
      </c>
      <c r="J318" s="52" t="str" cm="1">
        <f t="array" ref="J31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18" s="56" t="s">
        <v>345</v>
      </c>
      <c r="L318" s="54" t="s">
        <v>76</v>
      </c>
      <c r="M318" t="s">
        <v>100</v>
      </c>
      <c r="N318" s="15" t="s">
        <v>67</v>
      </c>
      <c r="O318" s="5" t="s">
        <v>468</v>
      </c>
      <c r="P318" s="17" t="s">
        <v>46</v>
      </c>
      <c r="Q318" s="10"/>
      <c r="R318" s="11"/>
      <c r="S318" s="10"/>
      <c r="T318" s="3" t="str">
        <f>IF(AND(ProtocolosAF[[#This Row],[STATUS]]="APROVADO",ProtocolosAF[[#This Row],[WAIVER]]=""),"Y","")</f>
        <v/>
      </c>
      <c r="U318" t="s">
        <v>774</v>
      </c>
      <c r="V318" s="16" t="str">
        <f t="shared" si="19"/>
        <v>FYFYYULOBO/ANDRE</v>
      </c>
      <c r="W318">
        <v>284</v>
      </c>
    </row>
    <row r="319" spans="1:23" hidden="1">
      <c r="A319" s="1">
        <v>45201</v>
      </c>
      <c r="B319" t="s">
        <v>10</v>
      </c>
      <c r="C319" t="s">
        <v>775</v>
      </c>
      <c r="D319" s="23" t="s">
        <v>776</v>
      </c>
      <c r="E319" t="s">
        <v>41</v>
      </c>
      <c r="F319" s="19"/>
      <c r="G319" s="53"/>
      <c r="H319" s="52">
        <v>1723</v>
      </c>
      <c r="I319" s="5">
        <v>0.1</v>
      </c>
      <c r="J319" s="52" t="str" cm="1">
        <f t="array" ref="J31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19" s="56" t="s">
        <v>345</v>
      </c>
      <c r="L319" s="54" t="s">
        <v>76</v>
      </c>
      <c r="M319" t="s">
        <v>100</v>
      </c>
      <c r="N319" s="15" t="s">
        <v>67</v>
      </c>
      <c r="O319" s="5" t="s">
        <v>468</v>
      </c>
      <c r="P319" s="17" t="s">
        <v>46</v>
      </c>
      <c r="Q319" s="10"/>
      <c r="R319" s="11"/>
      <c r="S319" s="10"/>
      <c r="T319" s="3" t="str">
        <f>IF(AND(ProtocolosAF[[#This Row],[STATUS]]="APROVADO",ProtocolosAF[[#This Row],[WAIVER]]=""),"Y","")</f>
        <v/>
      </c>
      <c r="U319" t="s">
        <v>777</v>
      </c>
      <c r="V319" s="16" t="str">
        <f t="shared" si="19"/>
        <v>JBJBMRMOURAD/GILBERTO</v>
      </c>
      <c r="W319">
        <v>286</v>
      </c>
    </row>
    <row r="320" spans="1:23" hidden="1">
      <c r="A320" s="1">
        <v>45201</v>
      </c>
      <c r="B320" t="s">
        <v>10</v>
      </c>
      <c r="C320" t="s">
        <v>775</v>
      </c>
      <c r="D320" s="23" t="s">
        <v>776</v>
      </c>
      <c r="E320" t="s">
        <v>41</v>
      </c>
      <c r="F320" s="19"/>
      <c r="G320" s="53"/>
      <c r="H320" s="52">
        <v>1723</v>
      </c>
      <c r="I320" s="5">
        <v>0.1</v>
      </c>
      <c r="J320" s="52" t="str" cm="1">
        <f t="array" ref="J32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20" s="56" t="s">
        <v>345</v>
      </c>
      <c r="L320" s="54" t="s">
        <v>76</v>
      </c>
      <c r="M320" t="s">
        <v>100</v>
      </c>
      <c r="N320" s="15" t="s">
        <v>67</v>
      </c>
      <c r="O320" s="5" t="s">
        <v>468</v>
      </c>
      <c r="P320" s="17" t="s">
        <v>46</v>
      </c>
      <c r="Q320" s="10"/>
      <c r="R320" s="11"/>
      <c r="S320" s="10"/>
      <c r="T320" s="3" t="str">
        <f>IF(AND(ProtocolosAF[[#This Row],[STATUS]]="APROVADO",ProtocolosAF[[#This Row],[WAIVER]]=""),"Y","")</f>
        <v/>
      </c>
      <c r="U320" t="s">
        <v>778</v>
      </c>
      <c r="V320" s="16" t="str">
        <f t="shared" si="19"/>
        <v>JBJBMRMOURAD/CYNTHIA</v>
      </c>
      <c r="W320">
        <v>286</v>
      </c>
    </row>
    <row r="321" spans="1:23" hidden="1">
      <c r="A321" s="1">
        <v>45201</v>
      </c>
      <c r="B321" t="s">
        <v>10</v>
      </c>
      <c r="C321" t="s">
        <v>775</v>
      </c>
      <c r="D321" s="23" t="s">
        <v>776</v>
      </c>
      <c r="E321" t="s">
        <v>41</v>
      </c>
      <c r="F321" s="19"/>
      <c r="G321" s="53"/>
      <c r="H321" s="52">
        <v>1723</v>
      </c>
      <c r="I321" s="5">
        <v>0.1</v>
      </c>
      <c r="J321" s="52" t="str" cm="1">
        <f t="array" ref="J32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21" s="56" t="s">
        <v>345</v>
      </c>
      <c r="L321" s="54" t="s">
        <v>76</v>
      </c>
      <c r="M321" t="s">
        <v>100</v>
      </c>
      <c r="N321" s="15" t="s">
        <v>67</v>
      </c>
      <c r="O321" s="5" t="s">
        <v>468</v>
      </c>
      <c r="P321" s="17" t="s">
        <v>46</v>
      </c>
      <c r="Q321" s="10"/>
      <c r="R321" s="11"/>
      <c r="S321" s="10"/>
      <c r="T321" s="3" t="str">
        <f>IF(AND(ProtocolosAF[[#This Row],[STATUS]]="APROVADO",ProtocolosAF[[#This Row],[WAIVER]]=""),"Y","")</f>
        <v/>
      </c>
      <c r="U321" t="s">
        <v>779</v>
      </c>
      <c r="V321" s="16" t="str">
        <f t="shared" si="19"/>
        <v>JBJBMRMOURAD/CAMILLA</v>
      </c>
      <c r="W321">
        <v>286</v>
      </c>
    </row>
    <row r="322" spans="1:23" hidden="1">
      <c r="A322" s="1">
        <v>45201</v>
      </c>
      <c r="B322" t="s">
        <v>10</v>
      </c>
      <c r="C322" t="s">
        <v>775</v>
      </c>
      <c r="D322" s="23" t="s">
        <v>776</v>
      </c>
      <c r="E322" t="s">
        <v>41</v>
      </c>
      <c r="F322" s="19"/>
      <c r="G322" s="53"/>
      <c r="H322" s="52">
        <v>1723</v>
      </c>
      <c r="I322" s="5">
        <v>0.1</v>
      </c>
      <c r="J322" s="52" t="str" cm="1">
        <f t="array" ref="J32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22" s="56" t="s">
        <v>345</v>
      </c>
      <c r="L322" s="54" t="s">
        <v>76</v>
      </c>
      <c r="M322" t="s">
        <v>100</v>
      </c>
      <c r="N322" s="15" t="s">
        <v>67</v>
      </c>
      <c r="O322" s="5" t="s">
        <v>468</v>
      </c>
      <c r="P322" s="17" t="s">
        <v>46</v>
      </c>
      <c r="Q322" s="10"/>
      <c r="R322" s="11"/>
      <c r="S322" s="10"/>
      <c r="T322" s="3" t="str">
        <f>IF(AND(ProtocolosAF[[#This Row],[STATUS]]="APROVADO",ProtocolosAF[[#This Row],[WAIVER]]=""),"Y","")</f>
        <v/>
      </c>
      <c r="U322" t="s">
        <v>780</v>
      </c>
      <c r="V322" s="16" t="str">
        <f t="shared" si="19"/>
        <v>JBJBMRMOURAD/GABRIELA</v>
      </c>
      <c r="W322">
        <v>286</v>
      </c>
    </row>
    <row r="323" spans="1:23" hidden="1">
      <c r="A323" s="1">
        <v>45201</v>
      </c>
      <c r="B323" t="s">
        <v>10</v>
      </c>
      <c r="C323" t="s">
        <v>775</v>
      </c>
      <c r="D323" s="23" t="s">
        <v>776</v>
      </c>
      <c r="E323" t="s">
        <v>41</v>
      </c>
      <c r="F323" s="19"/>
      <c r="G323" s="53"/>
      <c r="H323" s="52">
        <v>1723</v>
      </c>
      <c r="I323" s="5">
        <v>0.1</v>
      </c>
      <c r="J323" s="52" t="str" cm="1">
        <f t="array" ref="J32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23" s="56" t="s">
        <v>345</v>
      </c>
      <c r="L323" s="54" t="s">
        <v>76</v>
      </c>
      <c r="M323" t="s">
        <v>100</v>
      </c>
      <c r="N323" s="15" t="s">
        <v>67</v>
      </c>
      <c r="O323" s="5" t="s">
        <v>468</v>
      </c>
      <c r="P323" s="17" t="s">
        <v>46</v>
      </c>
      <c r="Q323" s="10"/>
      <c r="R323" s="11"/>
      <c r="S323" s="10"/>
      <c r="T323" s="3" t="str">
        <f>IF(AND(ProtocolosAF[[#This Row],[STATUS]]="APROVADO",ProtocolosAF[[#This Row],[WAIVER]]=""),"Y","")</f>
        <v/>
      </c>
      <c r="U323" t="s">
        <v>781</v>
      </c>
      <c r="V323" s="16" t="str">
        <f t="shared" si="19"/>
        <v>JBJBMRMOURAD/RODRIGO</v>
      </c>
      <c r="W323">
        <v>286</v>
      </c>
    </row>
    <row r="324" spans="1:23" hidden="1">
      <c r="A324" s="1">
        <v>45201</v>
      </c>
      <c r="B324" t="s">
        <v>13</v>
      </c>
      <c r="C324" t="s">
        <v>782</v>
      </c>
      <c r="D324" s="23" t="s">
        <v>782</v>
      </c>
      <c r="E324" t="s">
        <v>41</v>
      </c>
      <c r="F324" s="19">
        <v>57564931</v>
      </c>
      <c r="G324" s="53">
        <v>579057783377</v>
      </c>
      <c r="H324" s="52">
        <v>2441</v>
      </c>
      <c r="I324" s="5">
        <v>0.15</v>
      </c>
      <c r="J324" s="52" cm="1">
        <f t="array" ref="J32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367</v>
      </c>
      <c r="K324" s="56" t="s">
        <v>151</v>
      </c>
      <c r="L324" s="54" t="s">
        <v>76</v>
      </c>
      <c r="M324" t="s">
        <v>43</v>
      </c>
      <c r="N324" s="15" t="s">
        <v>44</v>
      </c>
      <c r="O324" s="5" t="s">
        <v>614</v>
      </c>
      <c r="P324" s="17" t="s">
        <v>255</v>
      </c>
      <c r="Q324" s="10" t="s">
        <v>168</v>
      </c>
      <c r="R324" s="11">
        <v>45202</v>
      </c>
      <c r="S324" s="10" t="s">
        <v>48</v>
      </c>
      <c r="T324" s="3" t="str">
        <f>IF(AND(ProtocolosAF[[#This Row],[STATUS]]="APROVADO",ProtocolosAF[[#This Row],[WAIVER]]=""),"Y","")</f>
        <v/>
      </c>
      <c r="U324" t="s">
        <v>783</v>
      </c>
      <c r="V324" s="16" t="str">
        <f t="shared" si="19"/>
        <v>25527LPIRES DE MORAES/PAULO</v>
      </c>
      <c r="W324">
        <v>285</v>
      </c>
    </row>
    <row r="325" spans="1:23" hidden="1">
      <c r="A325" s="1">
        <v>45201</v>
      </c>
      <c r="B325" t="s">
        <v>13</v>
      </c>
      <c r="C325" t="s">
        <v>782</v>
      </c>
      <c r="D325" s="23" t="s">
        <v>782</v>
      </c>
      <c r="E325" t="s">
        <v>41</v>
      </c>
      <c r="F325" s="19">
        <v>57564931</v>
      </c>
      <c r="G325" s="53">
        <v>579057783378</v>
      </c>
      <c r="H325" s="52">
        <v>2441</v>
      </c>
      <c r="I325" s="5">
        <v>0.15</v>
      </c>
      <c r="J325" s="52" cm="1">
        <f t="array" ref="J32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367</v>
      </c>
      <c r="K325" s="56" t="s">
        <v>151</v>
      </c>
      <c r="L325" s="54" t="s">
        <v>76</v>
      </c>
      <c r="M325" t="s">
        <v>43</v>
      </c>
      <c r="N325" s="15" t="s">
        <v>44</v>
      </c>
      <c r="O325" s="5" t="s">
        <v>614</v>
      </c>
      <c r="P325" s="17" t="s">
        <v>255</v>
      </c>
      <c r="Q325" s="10" t="s">
        <v>168</v>
      </c>
      <c r="R325" s="11">
        <v>45202</v>
      </c>
      <c r="S325" s="10" t="s">
        <v>48</v>
      </c>
      <c r="T325" s="3" t="str">
        <f>IF(AND(ProtocolosAF[[#This Row],[STATUS]]="APROVADO",ProtocolosAF[[#This Row],[WAIVER]]=""),"Y","")</f>
        <v/>
      </c>
      <c r="U325" t="s">
        <v>784</v>
      </c>
      <c r="V325" s="16" t="str">
        <f t="shared" si="19"/>
        <v>25527LDE MORAES REUT/ANA CAROLINA</v>
      </c>
      <c r="W325">
        <v>285</v>
      </c>
    </row>
    <row r="326" spans="1:23" hidden="1">
      <c r="A326" s="1">
        <v>45201</v>
      </c>
      <c r="B326" t="s">
        <v>13</v>
      </c>
      <c r="C326" t="s">
        <v>782</v>
      </c>
      <c r="D326" s="23" t="s">
        <v>782</v>
      </c>
      <c r="E326" t="s">
        <v>41</v>
      </c>
      <c r="F326" s="19">
        <v>57564931</v>
      </c>
      <c r="G326" s="53">
        <v>579057783379</v>
      </c>
      <c r="H326" s="52">
        <v>2441</v>
      </c>
      <c r="I326" s="5">
        <v>0.15</v>
      </c>
      <c r="J326" s="52" cm="1">
        <f t="array" ref="J32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367</v>
      </c>
      <c r="K326" s="56" t="s">
        <v>151</v>
      </c>
      <c r="L326" s="54" t="s">
        <v>76</v>
      </c>
      <c r="M326" t="s">
        <v>43</v>
      </c>
      <c r="N326" s="15" t="s">
        <v>44</v>
      </c>
      <c r="O326" s="5" t="s">
        <v>614</v>
      </c>
      <c r="P326" s="17" t="s">
        <v>255</v>
      </c>
      <c r="Q326" s="10" t="s">
        <v>168</v>
      </c>
      <c r="R326" s="11">
        <v>45202</v>
      </c>
      <c r="S326" s="10" t="s">
        <v>48</v>
      </c>
      <c r="T326" s="3" t="str">
        <f>IF(AND(ProtocolosAF[[#This Row],[STATUS]]="APROVADO",ProtocolosAF[[#This Row],[WAIVER]]=""),"Y","")</f>
        <v/>
      </c>
      <c r="U326" t="s">
        <v>785</v>
      </c>
      <c r="V326" s="16" t="str">
        <f t="shared" si="19"/>
        <v>25527LKORT DE MORAES/SUELI PAULINA</v>
      </c>
      <c r="W326">
        <v>285</v>
      </c>
    </row>
    <row r="327" spans="1:23" hidden="1">
      <c r="A327" s="1">
        <v>45202</v>
      </c>
      <c r="B327" t="s">
        <v>10</v>
      </c>
      <c r="C327" t="s">
        <v>786</v>
      </c>
      <c r="D327" s="23" t="s">
        <v>787</v>
      </c>
      <c r="E327" t="s">
        <v>41</v>
      </c>
      <c r="F327" s="19">
        <v>57564931</v>
      </c>
      <c r="G327" s="53">
        <v>573204427163</v>
      </c>
      <c r="H327" s="52">
        <v>6365</v>
      </c>
      <c r="I327" s="5">
        <v>0.2</v>
      </c>
      <c r="J327" s="52" cm="1">
        <f t="array" ref="J32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1273</v>
      </c>
      <c r="K327" s="56" t="s">
        <v>189</v>
      </c>
      <c r="L327" s="54" t="s">
        <v>76</v>
      </c>
      <c r="M327" t="s">
        <v>43</v>
      </c>
      <c r="N327" s="15" t="s">
        <v>67</v>
      </c>
      <c r="O327" s="5" t="s">
        <v>238</v>
      </c>
      <c r="P327" s="17" t="s">
        <v>69</v>
      </c>
      <c r="Q327" s="10" t="s">
        <v>147</v>
      </c>
      <c r="R327" s="11">
        <v>45203</v>
      </c>
      <c r="S327" s="10" t="s">
        <v>48</v>
      </c>
      <c r="T327" s="3" t="str">
        <f>IF(AND(ProtocolosAF[[#This Row],[STATUS]]="APROVADO",ProtocolosAF[[#This Row],[WAIVER]]=""),"Y","")</f>
        <v/>
      </c>
      <c r="U327" t="s">
        <v>788</v>
      </c>
      <c r="V327" s="16" t="str">
        <f t="shared" ref="V327:V390" si="20">_xlfn.CONCAT(C327,U327)</f>
        <v>ILAITXAGUIAR/EDSON ROBERTO</v>
      </c>
      <c r="W327">
        <v>287</v>
      </c>
    </row>
    <row r="328" spans="1:23" hidden="1">
      <c r="A328" s="1">
        <v>45202</v>
      </c>
      <c r="B328" t="s">
        <v>10</v>
      </c>
      <c r="C328" t="s">
        <v>786</v>
      </c>
      <c r="D328" s="23" t="s">
        <v>787</v>
      </c>
      <c r="E328" t="s">
        <v>41</v>
      </c>
      <c r="F328" s="19">
        <v>57564931</v>
      </c>
      <c r="G328" s="53">
        <v>573204427164</v>
      </c>
      <c r="H328" s="52">
        <v>6365</v>
      </c>
      <c r="I328" s="5">
        <v>0.2</v>
      </c>
      <c r="J328" s="52" cm="1">
        <f t="array" ref="J32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1273</v>
      </c>
      <c r="K328" s="56" t="s">
        <v>189</v>
      </c>
      <c r="L328" s="54" t="s">
        <v>76</v>
      </c>
      <c r="M328" t="s">
        <v>43</v>
      </c>
      <c r="N328" s="15" t="s">
        <v>67</v>
      </c>
      <c r="O328" s="5" t="s">
        <v>238</v>
      </c>
      <c r="P328" s="17" t="s">
        <v>69</v>
      </c>
      <c r="Q328" s="10" t="s">
        <v>147</v>
      </c>
      <c r="R328" s="11">
        <v>45203</v>
      </c>
      <c r="S328" s="10" t="s">
        <v>48</v>
      </c>
      <c r="T328" s="3" t="str">
        <f>IF(AND(ProtocolosAF[[#This Row],[STATUS]]="APROVADO",ProtocolosAF[[#This Row],[WAIVER]]=""),"Y","")</f>
        <v/>
      </c>
      <c r="U328" t="s">
        <v>789</v>
      </c>
      <c r="V328" s="16" t="str">
        <f t="shared" si="20"/>
        <v>ILAITXMARITAN BUENO/MARCIO</v>
      </c>
      <c r="W328">
        <v>287</v>
      </c>
    </row>
    <row r="329" spans="1:23" hidden="1">
      <c r="A329" s="1">
        <v>45202</v>
      </c>
      <c r="B329" t="s">
        <v>10</v>
      </c>
      <c r="C329" t="s">
        <v>790</v>
      </c>
      <c r="D329" s="23" t="s">
        <v>791</v>
      </c>
      <c r="E329" t="s">
        <v>41</v>
      </c>
      <c r="F329" s="19">
        <v>57564931</v>
      </c>
      <c r="G329" s="53">
        <v>573204427170</v>
      </c>
      <c r="H329" s="52">
        <v>6365</v>
      </c>
      <c r="I329" s="5">
        <v>0.2</v>
      </c>
      <c r="J329" s="52" cm="1">
        <f t="array" ref="J32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1273</v>
      </c>
      <c r="K329" s="56" t="s">
        <v>189</v>
      </c>
      <c r="L329" s="54" t="s">
        <v>76</v>
      </c>
      <c r="M329" t="s">
        <v>43</v>
      </c>
      <c r="N329" s="15" t="s">
        <v>67</v>
      </c>
      <c r="O329" s="5" t="s">
        <v>238</v>
      </c>
      <c r="P329" s="17" t="s">
        <v>69</v>
      </c>
      <c r="Q329" s="10" t="s">
        <v>147</v>
      </c>
      <c r="R329" s="11">
        <v>45203</v>
      </c>
      <c r="S329" s="10" t="s">
        <v>48</v>
      </c>
      <c r="T329" s="3" t="str">
        <f>IF(AND(ProtocolosAF[[#This Row],[STATUS]]="APROVADO",ProtocolosAF[[#This Row],[WAIVER]]=""),"Y","")</f>
        <v/>
      </c>
      <c r="U329" t="s">
        <v>792</v>
      </c>
      <c r="V329" s="16" t="str">
        <f t="shared" si="20"/>
        <v>OTOXNCMIRANDA MARQUES/BRUNO MR</v>
      </c>
      <c r="W329">
        <v>288</v>
      </c>
    </row>
    <row r="330" spans="1:23" hidden="1">
      <c r="A330" s="1">
        <v>45202</v>
      </c>
      <c r="B330" t="s">
        <v>10</v>
      </c>
      <c r="C330" t="s">
        <v>793</v>
      </c>
      <c r="D330" s="23" t="s">
        <v>794</v>
      </c>
      <c r="E330" t="s">
        <v>41</v>
      </c>
      <c r="F330" s="19">
        <v>57564931</v>
      </c>
      <c r="G330" s="53">
        <v>573204427235</v>
      </c>
      <c r="H330" s="52">
        <v>1767</v>
      </c>
      <c r="I330" s="5">
        <v>0.13</v>
      </c>
      <c r="J330" s="52" cm="1">
        <f t="array" ref="J33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230</v>
      </c>
      <c r="K330" s="56" t="s">
        <v>345</v>
      </c>
      <c r="L330" s="54" t="s">
        <v>76</v>
      </c>
      <c r="M330" t="s">
        <v>43</v>
      </c>
      <c r="N330" s="15" t="s">
        <v>67</v>
      </c>
      <c r="O330" s="5" t="s">
        <v>272</v>
      </c>
      <c r="P330" s="17" t="s">
        <v>46</v>
      </c>
      <c r="Q330" s="10" t="s">
        <v>147</v>
      </c>
      <c r="R330" s="11">
        <v>45204</v>
      </c>
      <c r="S330" s="10" t="s">
        <v>48</v>
      </c>
      <c r="T330" s="3" t="str">
        <f>IF(AND(ProtocolosAF[[#This Row],[STATUS]]="APROVADO",ProtocolosAF[[#This Row],[WAIVER]]=""),"Y","")</f>
        <v/>
      </c>
      <c r="U330" t="s">
        <v>795</v>
      </c>
      <c r="V330" s="16" t="str">
        <f t="shared" si="20"/>
        <v>HSTFKUMOURAD/GILBERTO MR</v>
      </c>
      <c r="W330">
        <v>289</v>
      </c>
    </row>
    <row r="331" spans="1:23" hidden="1">
      <c r="A331" s="1">
        <v>45202</v>
      </c>
      <c r="B331" t="s">
        <v>10</v>
      </c>
      <c r="C331" t="s">
        <v>793</v>
      </c>
      <c r="D331" s="23" t="s">
        <v>794</v>
      </c>
      <c r="E331" t="s">
        <v>41</v>
      </c>
      <c r="F331" s="19">
        <v>57564931</v>
      </c>
      <c r="G331" s="53">
        <v>573204427242</v>
      </c>
      <c r="H331" s="52">
        <v>1767</v>
      </c>
      <c r="I331" s="5">
        <v>0.13</v>
      </c>
      <c r="J331" s="52" cm="1">
        <f t="array" ref="J33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230</v>
      </c>
      <c r="K331" s="56" t="s">
        <v>345</v>
      </c>
      <c r="L331" s="54" t="s">
        <v>76</v>
      </c>
      <c r="M331" t="s">
        <v>43</v>
      </c>
      <c r="N331" s="15" t="s">
        <v>67</v>
      </c>
      <c r="O331" s="5" t="s">
        <v>272</v>
      </c>
      <c r="P331" s="17" t="s">
        <v>46</v>
      </c>
      <c r="Q331" s="10" t="s">
        <v>147</v>
      </c>
      <c r="R331" s="11">
        <v>45204</v>
      </c>
      <c r="S331" s="10" t="s">
        <v>48</v>
      </c>
      <c r="T331" s="3" t="str">
        <f>IF(AND(ProtocolosAF[[#This Row],[STATUS]]="APROVADO",ProtocolosAF[[#This Row],[WAIVER]]=""),"Y","")</f>
        <v/>
      </c>
      <c r="U331" t="s">
        <v>796</v>
      </c>
      <c r="V331" s="16" t="str">
        <f t="shared" si="20"/>
        <v>HSTFKUMOURAD/CYNTHIA MRS</v>
      </c>
      <c r="W331">
        <v>289</v>
      </c>
    </row>
    <row r="332" spans="1:23" hidden="1">
      <c r="A332" s="1">
        <v>45202</v>
      </c>
      <c r="B332" t="s">
        <v>10</v>
      </c>
      <c r="C332" t="s">
        <v>793</v>
      </c>
      <c r="D332" s="23" t="s">
        <v>794</v>
      </c>
      <c r="E332" t="s">
        <v>41</v>
      </c>
      <c r="F332" s="19">
        <v>57564931</v>
      </c>
      <c r="G332" s="53">
        <v>573204427243</v>
      </c>
      <c r="H332" s="52">
        <v>1767</v>
      </c>
      <c r="I332" s="5">
        <v>0.13</v>
      </c>
      <c r="J332" s="52" cm="1">
        <f t="array" ref="J33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230</v>
      </c>
      <c r="K332" s="56" t="s">
        <v>345</v>
      </c>
      <c r="L332" s="54" t="s">
        <v>76</v>
      </c>
      <c r="M332" t="s">
        <v>43</v>
      </c>
      <c r="N332" s="15" t="s">
        <v>67</v>
      </c>
      <c r="O332" s="5" t="s">
        <v>272</v>
      </c>
      <c r="P332" s="17" t="s">
        <v>46</v>
      </c>
      <c r="Q332" s="10" t="s">
        <v>147</v>
      </c>
      <c r="R332" s="11">
        <v>45204</v>
      </c>
      <c r="S332" s="10" t="s">
        <v>48</v>
      </c>
      <c r="T332" s="3" t="str">
        <f>IF(AND(ProtocolosAF[[#This Row],[STATUS]]="APROVADO",ProtocolosAF[[#This Row],[WAIVER]]=""),"Y","")</f>
        <v/>
      </c>
      <c r="U332" t="s">
        <v>797</v>
      </c>
      <c r="V332" s="16" t="str">
        <f t="shared" si="20"/>
        <v>HSTFKUMOURAD/CAMILLA MRS</v>
      </c>
      <c r="W332">
        <v>289</v>
      </c>
    </row>
    <row r="333" spans="1:23" hidden="1">
      <c r="A333" s="1">
        <v>45202</v>
      </c>
      <c r="B333" t="s">
        <v>10</v>
      </c>
      <c r="C333" t="s">
        <v>793</v>
      </c>
      <c r="D333" s="23" t="s">
        <v>794</v>
      </c>
      <c r="E333" t="s">
        <v>41</v>
      </c>
      <c r="F333" s="19">
        <v>57564931</v>
      </c>
      <c r="G333" s="53">
        <v>573204429364</v>
      </c>
      <c r="H333" s="52">
        <v>1767</v>
      </c>
      <c r="I333" s="5">
        <v>0.13</v>
      </c>
      <c r="J333" s="52" cm="1">
        <f t="array" ref="J33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230</v>
      </c>
      <c r="K333" s="56" t="s">
        <v>345</v>
      </c>
      <c r="L333" s="54" t="s">
        <v>76</v>
      </c>
      <c r="M333" t="s">
        <v>43</v>
      </c>
      <c r="N333" s="15" t="s">
        <v>67</v>
      </c>
      <c r="O333" s="5" t="s">
        <v>272</v>
      </c>
      <c r="P333" s="17" t="s">
        <v>46</v>
      </c>
      <c r="Q333" s="10" t="s">
        <v>147</v>
      </c>
      <c r="R333" s="11">
        <v>45204</v>
      </c>
      <c r="S333" s="10" t="s">
        <v>48</v>
      </c>
      <c r="T333" s="3" t="str">
        <f>IF(AND(ProtocolosAF[[#This Row],[STATUS]]="APROVADO",ProtocolosAF[[#This Row],[WAIVER]]=""),"Y","")</f>
        <v/>
      </c>
      <c r="U333" t="s">
        <v>798</v>
      </c>
      <c r="V333" s="16" t="str">
        <f t="shared" si="20"/>
        <v>HSTFKUMOURAD/GABRIELA MRS</v>
      </c>
      <c r="W333">
        <v>289</v>
      </c>
    </row>
    <row r="334" spans="1:23" hidden="1">
      <c r="A334" s="1">
        <v>45202</v>
      </c>
      <c r="B334" t="s">
        <v>10</v>
      </c>
      <c r="C334" t="s">
        <v>793</v>
      </c>
      <c r="D334" s="23" t="s">
        <v>794</v>
      </c>
      <c r="E334" t="s">
        <v>41</v>
      </c>
      <c r="F334" s="19">
        <v>57564931</v>
      </c>
      <c r="G334" s="53">
        <v>573204429365</v>
      </c>
      <c r="H334" s="52">
        <v>1767</v>
      </c>
      <c r="I334" s="5">
        <v>0.13</v>
      </c>
      <c r="J334" s="52" cm="1">
        <f t="array" ref="J33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230</v>
      </c>
      <c r="K334" s="56" t="s">
        <v>345</v>
      </c>
      <c r="L334" s="54" t="s">
        <v>76</v>
      </c>
      <c r="M334" t="s">
        <v>43</v>
      </c>
      <c r="N334" s="15" t="s">
        <v>67</v>
      </c>
      <c r="O334" s="5" t="s">
        <v>272</v>
      </c>
      <c r="P334" s="17" t="s">
        <v>46</v>
      </c>
      <c r="Q334" s="10" t="s">
        <v>147</v>
      </c>
      <c r="R334" s="11">
        <v>45204</v>
      </c>
      <c r="S334" s="10" t="s">
        <v>48</v>
      </c>
      <c r="T334" s="3" t="str">
        <f>IF(AND(ProtocolosAF[[#This Row],[STATUS]]="APROVADO",ProtocolosAF[[#This Row],[WAIVER]]=""),"Y","")</f>
        <v/>
      </c>
      <c r="U334" t="s">
        <v>799</v>
      </c>
      <c r="V334" s="16" t="str">
        <f t="shared" si="20"/>
        <v>HSTFKUMOURAD/RODRIGO MR</v>
      </c>
      <c r="W334">
        <v>289</v>
      </c>
    </row>
    <row r="335" spans="1:23" hidden="1">
      <c r="A335" s="1">
        <v>45203</v>
      </c>
      <c r="B335" t="s">
        <v>10</v>
      </c>
      <c r="C335" t="s">
        <v>790</v>
      </c>
      <c r="D335" s="23" t="s">
        <v>791</v>
      </c>
      <c r="E335" t="s">
        <v>73</v>
      </c>
      <c r="F335" s="19">
        <v>57994602</v>
      </c>
      <c r="G335" s="53">
        <v>574200484684</v>
      </c>
      <c r="H335" s="52">
        <v>343</v>
      </c>
      <c r="I335" s="5" t="s">
        <v>74</v>
      </c>
      <c r="J335" s="52" cm="1">
        <f t="array" ref="J33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343</v>
      </c>
      <c r="K335" s="56" t="s">
        <v>144</v>
      </c>
      <c r="L335" s="54" t="s">
        <v>172</v>
      </c>
      <c r="M335" t="s">
        <v>43</v>
      </c>
      <c r="N335" s="15" t="s">
        <v>67</v>
      </c>
      <c r="O335" s="5" t="s">
        <v>238</v>
      </c>
      <c r="P335" s="17" t="s">
        <v>46</v>
      </c>
      <c r="Q335" s="10" t="s">
        <v>147</v>
      </c>
      <c r="R335" s="11">
        <v>45209</v>
      </c>
      <c r="S335" s="10" t="s">
        <v>173</v>
      </c>
      <c r="T335" s="3" t="str">
        <f>IF(AND(ProtocolosAF[[#This Row],[STATUS]]="APROVADO",ProtocolosAF[[#This Row],[WAIVER]]=""),"Y","")</f>
        <v/>
      </c>
      <c r="U335" t="s">
        <v>800</v>
      </c>
      <c r="V335" s="16" t="str">
        <f t="shared" si="20"/>
        <v>OTOXNC1.1MIRANDA MARQUES/BRUNO</v>
      </c>
      <c r="W335">
        <v>290</v>
      </c>
    </row>
    <row r="336" spans="1:23" hidden="1">
      <c r="A336" s="1">
        <v>45203</v>
      </c>
      <c r="B336" t="s">
        <v>10</v>
      </c>
      <c r="C336" t="s">
        <v>786</v>
      </c>
      <c r="D336" s="23" t="s">
        <v>787</v>
      </c>
      <c r="E336" t="s">
        <v>73</v>
      </c>
      <c r="F336" s="19">
        <v>57994602</v>
      </c>
      <c r="G336" s="53">
        <v>574200484685</v>
      </c>
      <c r="H336" s="52">
        <v>343</v>
      </c>
      <c r="I336" s="5" t="s">
        <v>74</v>
      </c>
      <c r="J336" s="52" cm="1">
        <f t="array" ref="J33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343</v>
      </c>
      <c r="K336" s="56" t="s">
        <v>144</v>
      </c>
      <c r="L336" s="54" t="s">
        <v>172</v>
      </c>
      <c r="M336" t="s">
        <v>43</v>
      </c>
      <c r="N336" s="15" t="s">
        <v>67</v>
      </c>
      <c r="O336" s="5" t="s">
        <v>238</v>
      </c>
      <c r="P336" s="17" t="s">
        <v>46</v>
      </c>
      <c r="Q336" s="10" t="s">
        <v>147</v>
      </c>
      <c r="R336" s="11">
        <v>45209</v>
      </c>
      <c r="S336" s="10" t="s">
        <v>173</v>
      </c>
      <c r="T336" s="3" t="str">
        <f>IF(AND(ProtocolosAF[[#This Row],[STATUS]]="APROVADO",ProtocolosAF[[#This Row],[WAIVER]]=""),"Y","")</f>
        <v/>
      </c>
      <c r="U336" t="s">
        <v>801</v>
      </c>
      <c r="V336" s="16" t="str">
        <f t="shared" si="20"/>
        <v>ILAITX1.1AGUIAR/EDSON ROBERTO</v>
      </c>
      <c r="W336">
        <v>291</v>
      </c>
    </row>
    <row r="337" spans="1:23" hidden="1">
      <c r="A337" s="1">
        <v>45203</v>
      </c>
      <c r="B337" t="s">
        <v>10</v>
      </c>
      <c r="C337" t="s">
        <v>786</v>
      </c>
      <c r="D337" s="23" t="s">
        <v>787</v>
      </c>
      <c r="E337" t="s">
        <v>73</v>
      </c>
      <c r="F337" s="19">
        <v>57994602</v>
      </c>
      <c r="G337" s="53">
        <v>744103644281</v>
      </c>
      <c r="H337" s="52">
        <v>343</v>
      </c>
      <c r="I337" s="5" t="s">
        <v>74</v>
      </c>
      <c r="J337" s="52" cm="1">
        <f t="array" ref="J33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343</v>
      </c>
      <c r="K337" s="56" t="s">
        <v>144</v>
      </c>
      <c r="L337" s="54" t="s">
        <v>172</v>
      </c>
      <c r="M337" t="s">
        <v>43</v>
      </c>
      <c r="N337" s="15" t="s">
        <v>67</v>
      </c>
      <c r="O337" s="5" t="s">
        <v>238</v>
      </c>
      <c r="P337" s="17" t="s">
        <v>46</v>
      </c>
      <c r="Q337" s="10" t="s">
        <v>147</v>
      </c>
      <c r="R337" s="11">
        <v>45209</v>
      </c>
      <c r="S337" s="10" t="s">
        <v>173</v>
      </c>
      <c r="T337" s="3" t="str">
        <f>IF(AND(ProtocolosAF[[#This Row],[STATUS]]="APROVADO",ProtocolosAF[[#This Row],[WAIVER]]=""),"Y","")</f>
        <v/>
      </c>
      <c r="U337" t="s">
        <v>802</v>
      </c>
      <c r="V337" s="16" t="str">
        <f t="shared" si="20"/>
        <v>ILAITX2.1MARITAN BUENO/MARCIO</v>
      </c>
      <c r="W337">
        <v>291</v>
      </c>
    </row>
    <row r="338" spans="1:23" hidden="1">
      <c r="A338" s="1">
        <v>45204</v>
      </c>
      <c r="B338" t="s">
        <v>10</v>
      </c>
      <c r="C338" t="s">
        <v>803</v>
      </c>
      <c r="D338" s="23" t="s">
        <v>804</v>
      </c>
      <c r="E338" t="s">
        <v>73</v>
      </c>
      <c r="F338" s="19">
        <v>57994602</v>
      </c>
      <c r="G338" s="53">
        <v>574200484695</v>
      </c>
      <c r="H338" s="52">
        <v>179</v>
      </c>
      <c r="I338" s="5" t="s">
        <v>74</v>
      </c>
      <c r="J338" s="52" cm="1">
        <f t="array" ref="J33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179</v>
      </c>
      <c r="K338" s="56" t="s">
        <v>306</v>
      </c>
      <c r="L338" s="54" t="s">
        <v>172</v>
      </c>
      <c r="M338" t="s">
        <v>43</v>
      </c>
      <c r="N338" s="15" t="s">
        <v>67</v>
      </c>
      <c r="O338" s="5" t="s">
        <v>805</v>
      </c>
      <c r="P338" s="17" t="s">
        <v>69</v>
      </c>
      <c r="Q338" s="10" t="s">
        <v>147</v>
      </c>
      <c r="R338" s="11">
        <v>45205</v>
      </c>
      <c r="S338" s="10" t="s">
        <v>173</v>
      </c>
      <c r="T338" s="3" t="str">
        <f>IF(AND(ProtocolosAF[[#This Row],[STATUS]]="APROVADO",ProtocolosAF[[#This Row],[WAIVER]]=""),"Y","")</f>
        <v/>
      </c>
      <c r="U338" t="s">
        <v>806</v>
      </c>
      <c r="V338" s="16" t="str">
        <f t="shared" si="20"/>
        <v>EVSQPBMESQUITA RIBEIRO/FABIO</v>
      </c>
      <c r="W338">
        <v>293</v>
      </c>
    </row>
    <row r="339" spans="1:23" hidden="1">
      <c r="A339" s="1">
        <v>45204</v>
      </c>
      <c r="B339" t="s">
        <v>15</v>
      </c>
      <c r="C339" t="s">
        <v>807</v>
      </c>
      <c r="D339" s="23" t="s">
        <v>808</v>
      </c>
      <c r="E339" t="s">
        <v>41</v>
      </c>
      <c r="F339" s="19">
        <v>57564931</v>
      </c>
      <c r="G339" s="53">
        <v>573204440364</v>
      </c>
      <c r="H339" s="52">
        <v>1308</v>
      </c>
      <c r="I339" s="5">
        <v>0.1</v>
      </c>
      <c r="J339" s="52" cm="1">
        <f t="array" ref="J33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131</v>
      </c>
      <c r="K339" s="56" t="s">
        <v>75</v>
      </c>
      <c r="L339" s="54" t="s">
        <v>76</v>
      </c>
      <c r="M339" t="s">
        <v>43</v>
      </c>
      <c r="N339" s="15" t="s">
        <v>67</v>
      </c>
      <c r="O339" s="5" t="s">
        <v>669</v>
      </c>
      <c r="P339" s="17" t="s">
        <v>69</v>
      </c>
      <c r="Q339" s="10" t="s">
        <v>79</v>
      </c>
      <c r="R339" s="11">
        <v>45204</v>
      </c>
      <c r="S339" s="10" t="s">
        <v>48</v>
      </c>
      <c r="T339" s="3" t="str">
        <f>IF(AND(ProtocolosAF[[#This Row],[STATUS]]="APROVADO",ProtocolosAF[[#This Row],[WAIVER]]=""),"Y","")</f>
        <v/>
      </c>
      <c r="U339" t="s">
        <v>809</v>
      </c>
      <c r="V339" s="16" t="str">
        <f t="shared" si="20"/>
        <v>OHBCGCFONSECA CHEIB/PEDRO</v>
      </c>
      <c r="W339">
        <v>294</v>
      </c>
    </row>
    <row r="340" spans="1:23" hidden="1">
      <c r="A340" s="1">
        <v>45204</v>
      </c>
      <c r="B340" t="s">
        <v>10</v>
      </c>
      <c r="C340" t="s">
        <v>810</v>
      </c>
      <c r="D340" s="23" t="s">
        <v>811</v>
      </c>
      <c r="E340" t="s">
        <v>41</v>
      </c>
      <c r="F340" s="19"/>
      <c r="G340" s="53"/>
      <c r="H340" s="52">
        <v>1179</v>
      </c>
      <c r="I340" s="5">
        <v>0.1</v>
      </c>
      <c r="J340" s="52" t="str" cm="1">
        <f t="array" ref="J34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40" s="56" t="s">
        <v>306</v>
      </c>
      <c r="L340" s="54" t="s">
        <v>66</v>
      </c>
      <c r="M340" t="s">
        <v>100</v>
      </c>
      <c r="N340" s="15" t="s">
        <v>67</v>
      </c>
      <c r="O340" s="5" t="s">
        <v>812</v>
      </c>
      <c r="P340" s="17" t="s">
        <v>69</v>
      </c>
      <c r="Q340" s="10"/>
      <c r="R340" s="11"/>
      <c r="S340" s="10"/>
      <c r="T340" s="3" t="str">
        <f>IF(AND(ProtocolosAF[[#This Row],[STATUS]]="APROVADO",ProtocolosAF[[#This Row],[WAIVER]]=""),"Y","")</f>
        <v/>
      </c>
      <c r="U340" t="s">
        <v>813</v>
      </c>
      <c r="V340" s="16" t="str">
        <f t="shared" si="20"/>
        <v>HURNOOLELLIS VIEIRA/CAROLINA</v>
      </c>
      <c r="W340">
        <v>295</v>
      </c>
    </row>
    <row r="341" spans="1:23" hidden="1">
      <c r="A341" s="1">
        <v>45204</v>
      </c>
      <c r="B341" t="s">
        <v>10</v>
      </c>
      <c r="C341" t="s">
        <v>810</v>
      </c>
      <c r="D341" s="23" t="s">
        <v>811</v>
      </c>
      <c r="E341" t="s">
        <v>41</v>
      </c>
      <c r="F341" s="19"/>
      <c r="G341" s="53"/>
      <c r="H341" s="52">
        <v>1179</v>
      </c>
      <c r="I341" s="5">
        <v>0.1</v>
      </c>
      <c r="J341" s="52" t="str" cm="1">
        <f t="array" ref="J34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41" s="56" t="s">
        <v>306</v>
      </c>
      <c r="L341" s="54" t="s">
        <v>66</v>
      </c>
      <c r="M341" t="s">
        <v>100</v>
      </c>
      <c r="N341" s="15" t="s">
        <v>67</v>
      </c>
      <c r="O341" s="5" t="s">
        <v>812</v>
      </c>
      <c r="P341" s="17" t="s">
        <v>69</v>
      </c>
      <c r="Q341" s="10"/>
      <c r="R341" s="11"/>
      <c r="S341" s="10"/>
      <c r="T341" s="3" t="str">
        <f>IF(AND(ProtocolosAF[[#This Row],[STATUS]]="APROVADO",ProtocolosAF[[#This Row],[WAIVER]]=""),"Y","")</f>
        <v/>
      </c>
      <c r="U341" t="s">
        <v>814</v>
      </c>
      <c r="V341" s="16" t="str">
        <f t="shared" si="20"/>
        <v>HURNOOLELLIS VIEIRA/CARLOS OSCAR</v>
      </c>
      <c r="W341">
        <v>295</v>
      </c>
    </row>
    <row r="342" spans="1:23" hidden="1">
      <c r="A342" s="1">
        <v>45205</v>
      </c>
      <c r="B342" t="s">
        <v>13</v>
      </c>
      <c r="C342" t="s">
        <v>815</v>
      </c>
      <c r="D342" s="23" t="s">
        <v>816</v>
      </c>
      <c r="E342" t="s">
        <v>41</v>
      </c>
      <c r="F342" s="19"/>
      <c r="G342" s="53"/>
      <c r="H342" s="52">
        <v>1097</v>
      </c>
      <c r="I342" s="5">
        <v>7.0000000000000007E-2</v>
      </c>
      <c r="J342" s="52" t="str" cm="1">
        <f t="array" ref="J34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42" s="56" t="s">
        <v>817</v>
      </c>
      <c r="L342" s="54" t="s">
        <v>172</v>
      </c>
      <c r="M342" t="s">
        <v>100</v>
      </c>
      <c r="N342" s="15" t="s">
        <v>44</v>
      </c>
      <c r="O342" s="5" t="s">
        <v>468</v>
      </c>
      <c r="P342" s="17" t="s">
        <v>46</v>
      </c>
      <c r="Q342" s="10"/>
      <c r="R342" s="11"/>
      <c r="S342" s="10"/>
      <c r="T342" s="3" t="str">
        <f>IF(AND(ProtocolosAF[[#This Row],[STATUS]]="APROVADO",ProtocolosAF[[#This Row],[WAIVER]]=""),"Y","")</f>
        <v/>
      </c>
      <c r="U342" t="s">
        <v>818</v>
      </c>
      <c r="V342" s="16" t="str">
        <f t="shared" si="20"/>
        <v>ILAJBGSETA/RODRIGO</v>
      </c>
      <c r="W342">
        <v>299</v>
      </c>
    </row>
    <row r="343" spans="1:23" hidden="1">
      <c r="A343" s="1">
        <v>45205</v>
      </c>
      <c r="B343" t="s">
        <v>13</v>
      </c>
      <c r="C343" t="s">
        <v>815</v>
      </c>
      <c r="D343" s="23" t="s">
        <v>816</v>
      </c>
      <c r="E343" t="s">
        <v>41</v>
      </c>
      <c r="F343" s="19"/>
      <c r="G343" s="53"/>
      <c r="H343" s="52">
        <v>1097</v>
      </c>
      <c r="I343" s="5">
        <v>7.0000000000000007E-2</v>
      </c>
      <c r="J343" s="52" t="str" cm="1">
        <f t="array" ref="J34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43" s="56" t="s">
        <v>817</v>
      </c>
      <c r="L343" s="54" t="s">
        <v>172</v>
      </c>
      <c r="M343" t="s">
        <v>100</v>
      </c>
      <c r="N343" s="15" t="s">
        <v>44</v>
      </c>
      <c r="O343" s="5" t="s">
        <v>468</v>
      </c>
      <c r="P343" s="17" t="s">
        <v>46</v>
      </c>
      <c r="Q343" s="10"/>
      <c r="R343" s="11"/>
      <c r="S343" s="10"/>
      <c r="T343" s="3" t="str">
        <f>IF(AND(ProtocolosAF[[#This Row],[STATUS]]="APROVADO",ProtocolosAF[[#This Row],[WAIVER]]=""),"Y","")</f>
        <v/>
      </c>
      <c r="U343" t="s">
        <v>819</v>
      </c>
      <c r="V343" s="16" t="str">
        <f t="shared" si="20"/>
        <v>ILAJBGNUNES OTTE/KAIO WILLY</v>
      </c>
      <c r="W343">
        <v>299</v>
      </c>
    </row>
    <row r="344" spans="1:23" hidden="1">
      <c r="A344" s="1">
        <v>45205</v>
      </c>
      <c r="B344" t="s">
        <v>13</v>
      </c>
      <c r="C344" t="s">
        <v>820</v>
      </c>
      <c r="D344" s="23" t="s">
        <v>821</v>
      </c>
      <c r="E344" t="s">
        <v>41</v>
      </c>
      <c r="F344" s="19"/>
      <c r="G344" s="53"/>
      <c r="H344" s="52">
        <v>2392</v>
      </c>
      <c r="I344" s="5">
        <v>7.0000000000000007E-2</v>
      </c>
      <c r="J344" s="52" t="str" cm="1">
        <f t="array" ref="J34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44" s="56" t="s">
        <v>817</v>
      </c>
      <c r="L344" s="54" t="s">
        <v>172</v>
      </c>
      <c r="M344" t="s">
        <v>217</v>
      </c>
      <c r="N344" s="15" t="s">
        <v>44</v>
      </c>
      <c r="O344" s="5" t="s">
        <v>468</v>
      </c>
      <c r="P344" s="17" t="s">
        <v>46</v>
      </c>
      <c r="Q344" s="10"/>
      <c r="R344" s="11"/>
      <c r="S344" s="10"/>
      <c r="T344" s="3" t="str">
        <f>IF(AND(ProtocolosAF[[#This Row],[STATUS]]="APROVADO",ProtocolosAF[[#This Row],[WAIVER]]=""),"Y","")</f>
        <v/>
      </c>
      <c r="U344" t="s">
        <v>822</v>
      </c>
      <c r="V344" s="16" t="str">
        <f t="shared" si="20"/>
        <v>GDPVXWD AVOLA/ROGERIO MAURO</v>
      </c>
      <c r="W344">
        <v>298</v>
      </c>
    </row>
    <row r="345" spans="1:23" hidden="1">
      <c r="A345" s="1">
        <v>45205</v>
      </c>
      <c r="B345" t="s">
        <v>13</v>
      </c>
      <c r="C345" t="s">
        <v>820</v>
      </c>
      <c r="D345" s="23" t="s">
        <v>821</v>
      </c>
      <c r="E345" t="s">
        <v>41</v>
      </c>
      <c r="F345" s="19"/>
      <c r="G345" s="53"/>
      <c r="H345" s="52">
        <v>2601</v>
      </c>
      <c r="I345" s="5">
        <v>7.0000000000000007E-2</v>
      </c>
      <c r="J345" s="52" t="str" cm="1">
        <f t="array" ref="J34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45" s="56" t="s">
        <v>817</v>
      </c>
      <c r="L345" s="54" t="s">
        <v>172</v>
      </c>
      <c r="M345" t="s">
        <v>100</v>
      </c>
      <c r="N345" s="15" t="s">
        <v>44</v>
      </c>
      <c r="O345" s="5" t="s">
        <v>468</v>
      </c>
      <c r="P345" s="17" t="s">
        <v>46</v>
      </c>
      <c r="Q345" s="10"/>
      <c r="R345" s="11"/>
      <c r="S345" s="10"/>
      <c r="T345" s="3" t="str">
        <f>IF(AND(ProtocolosAF[[#This Row],[STATUS]]="APROVADO",ProtocolosAF[[#This Row],[WAIVER]]=""),"Y","")</f>
        <v/>
      </c>
      <c r="U345" t="s">
        <v>822</v>
      </c>
      <c r="V345" s="16" t="str">
        <f t="shared" si="20"/>
        <v>GDPVXWD AVOLA/ROGERIO MAURO</v>
      </c>
      <c r="W345">
        <v>300</v>
      </c>
    </row>
    <row r="346" spans="1:23" hidden="1">
      <c r="A346" s="1">
        <v>45205</v>
      </c>
      <c r="B346" t="s">
        <v>13</v>
      </c>
      <c r="C346" t="s">
        <v>820</v>
      </c>
      <c r="D346" s="23" t="s">
        <v>821</v>
      </c>
      <c r="E346" t="s">
        <v>41</v>
      </c>
      <c r="F346" s="19"/>
      <c r="G346" s="53"/>
      <c r="H346" s="52">
        <v>2601</v>
      </c>
      <c r="I346" s="5">
        <v>7.0000000000000007E-2</v>
      </c>
      <c r="J346" s="52" t="str" cm="1">
        <f t="array" ref="J34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46" s="56" t="s">
        <v>817</v>
      </c>
      <c r="L346" s="54" t="s">
        <v>172</v>
      </c>
      <c r="M346" t="s">
        <v>100</v>
      </c>
      <c r="N346" s="15" t="s">
        <v>44</v>
      </c>
      <c r="O346" s="5" t="s">
        <v>468</v>
      </c>
      <c r="P346" s="17" t="s">
        <v>46</v>
      </c>
      <c r="Q346" s="10"/>
      <c r="R346" s="11"/>
      <c r="S346" s="10"/>
      <c r="T346" s="3" t="str">
        <f>IF(AND(ProtocolosAF[[#This Row],[STATUS]]="APROVADO",ProtocolosAF[[#This Row],[WAIVER]]=""),"Y","")</f>
        <v/>
      </c>
      <c r="U346" t="s">
        <v>823</v>
      </c>
      <c r="V346" s="16" t="str">
        <f t="shared" si="20"/>
        <v>GDPVXWDE SALES PRAZEIROS/JANUARIA</v>
      </c>
      <c r="W346">
        <v>300</v>
      </c>
    </row>
    <row r="347" spans="1:23" hidden="1">
      <c r="A347" s="1">
        <v>45205</v>
      </c>
      <c r="B347" t="s">
        <v>13</v>
      </c>
      <c r="C347" t="s">
        <v>820</v>
      </c>
      <c r="D347" s="23" t="s">
        <v>821</v>
      </c>
      <c r="E347" t="s">
        <v>41</v>
      </c>
      <c r="F347" s="19"/>
      <c r="G347" s="53"/>
      <c r="H347" s="52">
        <v>2601</v>
      </c>
      <c r="I347" s="5">
        <v>7.0000000000000007E-2</v>
      </c>
      <c r="J347" s="52" t="str" cm="1">
        <f t="array" ref="J34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47" s="56" t="s">
        <v>817</v>
      </c>
      <c r="L347" s="54" t="s">
        <v>172</v>
      </c>
      <c r="M347" t="s">
        <v>100</v>
      </c>
      <c r="N347" s="15" t="s">
        <v>44</v>
      </c>
      <c r="O347" s="5" t="s">
        <v>468</v>
      </c>
      <c r="P347" s="17" t="s">
        <v>46</v>
      </c>
      <c r="Q347" s="10"/>
      <c r="R347" s="11"/>
      <c r="S347" s="10"/>
      <c r="T347" s="3" t="str">
        <f>IF(AND(ProtocolosAF[[#This Row],[STATUS]]="APROVADO",ProtocolosAF[[#This Row],[WAIVER]]=""),"Y","")</f>
        <v/>
      </c>
      <c r="U347" t="s">
        <v>824</v>
      </c>
      <c r="V347" s="16" t="str">
        <f t="shared" si="20"/>
        <v>GDPVXWVICTOR KUKUCHI D AVOLA/MARINA</v>
      </c>
      <c r="W347">
        <v>300</v>
      </c>
    </row>
    <row r="348" spans="1:23" hidden="1">
      <c r="A348" s="1">
        <v>45205</v>
      </c>
      <c r="B348" t="s">
        <v>13</v>
      </c>
      <c r="C348" t="s">
        <v>820</v>
      </c>
      <c r="D348" s="23" t="s">
        <v>821</v>
      </c>
      <c r="E348" t="s">
        <v>41</v>
      </c>
      <c r="F348" s="19"/>
      <c r="G348" s="53"/>
      <c r="H348" s="52">
        <v>2601</v>
      </c>
      <c r="I348" s="5">
        <v>7.0000000000000007E-2</v>
      </c>
      <c r="J348" s="52" t="str" cm="1">
        <f t="array" ref="J34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48" s="56" t="s">
        <v>817</v>
      </c>
      <c r="L348" s="54" t="s">
        <v>172</v>
      </c>
      <c r="M348" t="s">
        <v>100</v>
      </c>
      <c r="N348" s="15" t="s">
        <v>44</v>
      </c>
      <c r="O348" s="5" t="s">
        <v>468</v>
      </c>
      <c r="P348" s="17" t="s">
        <v>46</v>
      </c>
      <c r="Q348" s="10"/>
      <c r="R348" s="11"/>
      <c r="S348" s="10"/>
      <c r="T348" s="3" t="str">
        <f>IF(AND(ProtocolosAF[[#This Row],[STATUS]]="APROVADO",ProtocolosAF[[#This Row],[WAIVER]]=""),"Y","")</f>
        <v/>
      </c>
      <c r="U348" t="s">
        <v>825</v>
      </c>
      <c r="V348" s="16" t="str">
        <f t="shared" si="20"/>
        <v>GDPVXWVICTOR KUKUCHI D AVOLA/LUISA</v>
      </c>
      <c r="W348">
        <v>300</v>
      </c>
    </row>
    <row r="349" spans="1:23" hidden="1">
      <c r="A349" s="1">
        <v>45208</v>
      </c>
      <c r="B349" t="s">
        <v>11</v>
      </c>
      <c r="C349" t="s">
        <v>826</v>
      </c>
      <c r="D349" s="23" t="s">
        <v>826</v>
      </c>
      <c r="E349" t="s">
        <v>41</v>
      </c>
      <c r="F349" s="19">
        <v>57564931</v>
      </c>
      <c r="G349" s="53">
        <v>579057813962</v>
      </c>
      <c r="H349" s="52">
        <v>1643</v>
      </c>
      <c r="I349" s="5">
        <v>0.1</v>
      </c>
      <c r="J349" s="52" cm="1">
        <f t="array" ref="J34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165</v>
      </c>
      <c r="K349" s="56" t="s">
        <v>84</v>
      </c>
      <c r="L349" s="54" t="s">
        <v>76</v>
      </c>
      <c r="M349" t="s">
        <v>43</v>
      </c>
      <c r="N349" s="15" t="s">
        <v>85</v>
      </c>
      <c r="O349" s="5" t="s">
        <v>827</v>
      </c>
      <c r="P349" s="17" t="s">
        <v>69</v>
      </c>
      <c r="Q349" s="10" t="s">
        <v>353</v>
      </c>
      <c r="R349" s="11">
        <v>45212</v>
      </c>
      <c r="S349" s="10" t="s">
        <v>48</v>
      </c>
      <c r="T349" s="3" t="str">
        <f>IF(AND(ProtocolosAF[[#This Row],[STATUS]]="APROVADO",ProtocolosAF[[#This Row],[WAIVER]]=""),"Y","")</f>
        <v/>
      </c>
      <c r="U349" t="s">
        <v>828</v>
      </c>
      <c r="V349" s="16" t="str">
        <f t="shared" si="20"/>
        <v>3B7TS2DIAS KUWABARA/NATHALIE</v>
      </c>
      <c r="W349">
        <v>302</v>
      </c>
    </row>
    <row r="350" spans="1:23" hidden="1">
      <c r="A350" s="1">
        <v>45208</v>
      </c>
      <c r="B350" t="s">
        <v>11</v>
      </c>
      <c r="C350" t="s">
        <v>829</v>
      </c>
      <c r="D350" s="23" t="s">
        <v>829</v>
      </c>
      <c r="E350" t="s">
        <v>41</v>
      </c>
      <c r="F350" s="19">
        <v>57564931</v>
      </c>
      <c r="G350" s="53">
        <v>579057824872</v>
      </c>
      <c r="H350" s="52">
        <v>1852</v>
      </c>
      <c r="I350" s="5">
        <v>0.1</v>
      </c>
      <c r="J350" s="52" cm="1">
        <f t="array" ref="J35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186</v>
      </c>
      <c r="K350" s="56" t="s">
        <v>84</v>
      </c>
      <c r="L350" s="54" t="s">
        <v>76</v>
      </c>
      <c r="M350" t="s">
        <v>43</v>
      </c>
      <c r="N350" s="15" t="s">
        <v>85</v>
      </c>
      <c r="O350" s="5" t="s">
        <v>827</v>
      </c>
      <c r="P350" s="17" t="s">
        <v>69</v>
      </c>
      <c r="Q350" s="10" t="s">
        <v>353</v>
      </c>
      <c r="R350" s="11">
        <v>45212</v>
      </c>
      <c r="S350" s="10" t="s">
        <v>48</v>
      </c>
      <c r="T350" s="3" t="str">
        <f>IF(AND(ProtocolosAF[[#This Row],[STATUS]]="APROVADO",ProtocolosAF[[#This Row],[WAIVER]]=""),"Y","")</f>
        <v/>
      </c>
      <c r="U350" t="s">
        <v>830</v>
      </c>
      <c r="V350" s="16" t="str">
        <f t="shared" si="20"/>
        <v>3BDP8CDE AQUINO/NELIO CEZAR</v>
      </c>
      <c r="W350">
        <v>304</v>
      </c>
    </row>
    <row r="351" spans="1:23" hidden="1">
      <c r="A351" s="1">
        <v>45208</v>
      </c>
      <c r="B351" t="s">
        <v>11</v>
      </c>
      <c r="C351" t="s">
        <v>831</v>
      </c>
      <c r="D351" s="23" t="s">
        <v>831</v>
      </c>
      <c r="E351" t="s">
        <v>41</v>
      </c>
      <c r="F351" s="19">
        <v>57564931</v>
      </c>
      <c r="G351" s="53">
        <v>579057824874</v>
      </c>
      <c r="H351" s="52">
        <v>1747</v>
      </c>
      <c r="I351" s="5">
        <v>0.1</v>
      </c>
      <c r="J351" s="52" cm="1">
        <f t="array" ref="J35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175</v>
      </c>
      <c r="K351" s="56" t="s">
        <v>84</v>
      </c>
      <c r="L351" s="54" t="s">
        <v>76</v>
      </c>
      <c r="M351" t="s">
        <v>43</v>
      </c>
      <c r="N351" s="15" t="s">
        <v>85</v>
      </c>
      <c r="O351" s="5" t="s">
        <v>827</v>
      </c>
      <c r="P351" s="17" t="s">
        <v>69</v>
      </c>
      <c r="Q351" s="10" t="s">
        <v>353</v>
      </c>
      <c r="R351" s="11">
        <v>13</v>
      </c>
      <c r="S351" s="10" t="s">
        <v>48</v>
      </c>
      <c r="T351" s="3" t="str">
        <f>IF(AND(ProtocolosAF[[#This Row],[STATUS]]="APROVADO",ProtocolosAF[[#This Row],[WAIVER]]=""),"Y","")</f>
        <v/>
      </c>
      <c r="U351" t="s">
        <v>832</v>
      </c>
      <c r="V351" s="16" t="str">
        <f t="shared" si="20"/>
        <v>3BD26ZDIAS SOUSA/VARLEY</v>
      </c>
      <c r="W351">
        <v>303</v>
      </c>
    </row>
    <row r="352" spans="1:23" hidden="1">
      <c r="A352" s="1">
        <v>45208</v>
      </c>
      <c r="B352" t="s">
        <v>11</v>
      </c>
      <c r="C352" t="s">
        <v>833</v>
      </c>
      <c r="D352" s="23" t="s">
        <v>833</v>
      </c>
      <c r="E352" t="s">
        <v>41</v>
      </c>
      <c r="F352" s="19"/>
      <c r="G352" s="53"/>
      <c r="H352" s="52">
        <v>5300</v>
      </c>
      <c r="I352" s="5">
        <v>0.12</v>
      </c>
      <c r="J352" s="52" t="str" cm="1">
        <f t="array" ref="J35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52" s="56" t="s">
        <v>834</v>
      </c>
      <c r="L352" s="54" t="s">
        <v>76</v>
      </c>
      <c r="M352" t="s">
        <v>100</v>
      </c>
      <c r="N352" s="15" t="s">
        <v>85</v>
      </c>
      <c r="O352" s="5" t="s">
        <v>805</v>
      </c>
      <c r="P352" s="17" t="s">
        <v>46</v>
      </c>
      <c r="Q352" s="10"/>
      <c r="R352" s="11"/>
      <c r="S352" s="10"/>
      <c r="T352" s="3" t="str">
        <f>IF(AND(ProtocolosAF[[#This Row],[STATUS]]="APROVADO",ProtocolosAF[[#This Row],[WAIVER]]=""),"Y","")</f>
        <v/>
      </c>
      <c r="U352" t="s">
        <v>835</v>
      </c>
      <c r="V352" s="16" t="str">
        <f t="shared" si="20"/>
        <v>2RQSB8FLAQUER/PATRICIA MRS</v>
      </c>
      <c r="W352">
        <v>305</v>
      </c>
    </row>
    <row r="353" spans="1:23" hidden="1">
      <c r="A353" s="1">
        <v>45208</v>
      </c>
      <c r="B353" t="s">
        <v>11</v>
      </c>
      <c r="C353" t="s">
        <v>836</v>
      </c>
      <c r="D353" s="23" t="s">
        <v>836</v>
      </c>
      <c r="E353" t="s">
        <v>41</v>
      </c>
      <c r="F353" s="19"/>
      <c r="G353" s="53"/>
      <c r="H353" s="52">
        <v>5300</v>
      </c>
      <c r="I353" s="5">
        <v>0.12</v>
      </c>
      <c r="J353" s="52" t="str" cm="1">
        <f t="array" ref="J35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53" s="56" t="s">
        <v>834</v>
      </c>
      <c r="L353" s="54" t="s">
        <v>76</v>
      </c>
      <c r="M353" t="s">
        <v>100</v>
      </c>
      <c r="N353" s="15" t="s">
        <v>85</v>
      </c>
      <c r="O353" s="5" t="s">
        <v>805</v>
      </c>
      <c r="P353" s="17" t="s">
        <v>46</v>
      </c>
      <c r="Q353" s="10"/>
      <c r="R353" s="11"/>
      <c r="S353" s="10"/>
      <c r="T353" s="3" t="str">
        <f>IF(AND(ProtocolosAF[[#This Row],[STATUS]]="APROVADO",ProtocolosAF[[#This Row],[WAIVER]]=""),"Y","")</f>
        <v/>
      </c>
      <c r="U353" t="s">
        <v>837</v>
      </c>
      <c r="V353" s="16" t="str">
        <f t="shared" si="20"/>
        <v>2LE6QLTONANNI/CARLOS MR</v>
      </c>
      <c r="W353">
        <v>306</v>
      </c>
    </row>
    <row r="354" spans="1:23" hidden="1">
      <c r="A354" s="1">
        <v>45231</v>
      </c>
      <c r="B354" t="s">
        <v>10</v>
      </c>
      <c r="C354" t="s">
        <v>838</v>
      </c>
      <c r="D354" s="23" t="s">
        <v>839</v>
      </c>
      <c r="E354" t="s">
        <v>73</v>
      </c>
      <c r="F354" s="19">
        <v>57994602</v>
      </c>
      <c r="G354" s="53">
        <v>574200484804</v>
      </c>
      <c r="H354" s="52">
        <v>84</v>
      </c>
      <c r="I354" s="5" t="s">
        <v>74</v>
      </c>
      <c r="J354" s="52" cm="1">
        <f t="array" ref="J35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84</v>
      </c>
      <c r="K354" s="56" t="s">
        <v>144</v>
      </c>
      <c r="L354" s="54" t="s">
        <v>172</v>
      </c>
      <c r="M354" t="s">
        <v>43</v>
      </c>
      <c r="N354" s="15" t="s">
        <v>171</v>
      </c>
      <c r="O354" s="5" t="s">
        <v>840</v>
      </c>
      <c r="P354" s="17" t="s">
        <v>146</v>
      </c>
      <c r="Q354" s="10" t="s">
        <v>222</v>
      </c>
      <c r="R354" s="11">
        <v>45236</v>
      </c>
      <c r="S354" s="10" t="s">
        <v>173</v>
      </c>
      <c r="T354" s="3" t="str">
        <f>IF(AND(ProtocolosAF[[#This Row],[STATUS]]="APROVADO",ProtocolosAF[[#This Row],[WAIVER]]=""),"Y","")</f>
        <v/>
      </c>
      <c r="U354" t="s">
        <v>841</v>
      </c>
      <c r="V354" s="16" t="str">
        <f t="shared" si="20"/>
        <v>MNYABQ1.1FISZMAN/HENRI MR</v>
      </c>
      <c r="W354">
        <v>307</v>
      </c>
    </row>
    <row r="355" spans="1:23" hidden="1">
      <c r="A355" s="1">
        <v>45231</v>
      </c>
      <c r="B355" t="s">
        <v>10</v>
      </c>
      <c r="C355" t="s">
        <v>838</v>
      </c>
      <c r="D355" s="23" t="s">
        <v>839</v>
      </c>
      <c r="E355" t="s">
        <v>73</v>
      </c>
      <c r="F355" s="19">
        <v>57994602</v>
      </c>
      <c r="G355" s="53">
        <v>574200484805</v>
      </c>
      <c r="H355" s="52">
        <v>84</v>
      </c>
      <c r="I355" s="5" t="s">
        <v>74</v>
      </c>
      <c r="J355" s="52" cm="1">
        <f t="array" ref="J35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84</v>
      </c>
      <c r="K355" s="56" t="s">
        <v>144</v>
      </c>
      <c r="L355" s="54" t="s">
        <v>172</v>
      </c>
      <c r="M355" t="s">
        <v>43</v>
      </c>
      <c r="N355" s="15" t="s">
        <v>171</v>
      </c>
      <c r="O355" s="5" t="s">
        <v>840</v>
      </c>
      <c r="P355" s="17" t="s">
        <v>146</v>
      </c>
      <c r="Q355" s="10" t="s">
        <v>222</v>
      </c>
      <c r="R355" s="11">
        <v>45236</v>
      </c>
      <c r="S355" s="10" t="s">
        <v>173</v>
      </c>
      <c r="T355" s="3" t="str">
        <f>IF(AND(ProtocolosAF[[#This Row],[STATUS]]="APROVADO",ProtocolosAF[[#This Row],[WAIVER]]=""),"Y","")</f>
        <v/>
      </c>
      <c r="U355" t="s">
        <v>842</v>
      </c>
      <c r="V355" s="16" t="str">
        <f t="shared" si="20"/>
        <v>MNYABQ2.1RODRIGUES DE LUCENA/ADRIANA</v>
      </c>
      <c r="W355">
        <v>307</v>
      </c>
    </row>
    <row r="356" spans="1:23" hidden="1">
      <c r="A356" s="1">
        <v>45231</v>
      </c>
      <c r="B356" t="s">
        <v>10</v>
      </c>
      <c r="C356" t="s">
        <v>838</v>
      </c>
      <c r="D356" s="23" t="s">
        <v>839</v>
      </c>
      <c r="E356" t="s">
        <v>73</v>
      </c>
      <c r="F356" s="19">
        <v>57994602</v>
      </c>
      <c r="G356" s="53">
        <v>574200484806</v>
      </c>
      <c r="H356" s="52">
        <v>84</v>
      </c>
      <c r="I356" s="5" t="s">
        <v>74</v>
      </c>
      <c r="J356" s="52" cm="1">
        <f t="array" ref="J35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84</v>
      </c>
      <c r="K356" s="56" t="s">
        <v>144</v>
      </c>
      <c r="L356" s="54" t="s">
        <v>172</v>
      </c>
      <c r="M356" t="s">
        <v>43</v>
      </c>
      <c r="N356" s="15" t="s">
        <v>171</v>
      </c>
      <c r="O356" s="5" t="s">
        <v>840</v>
      </c>
      <c r="P356" s="17" t="s">
        <v>146</v>
      </c>
      <c r="Q356" s="10" t="s">
        <v>222</v>
      </c>
      <c r="R356" s="11">
        <v>45236</v>
      </c>
      <c r="S356" s="10" t="s">
        <v>173</v>
      </c>
      <c r="T356" s="3" t="str">
        <f>IF(AND(ProtocolosAF[[#This Row],[STATUS]]="APROVADO",ProtocolosAF[[#This Row],[WAIVER]]=""),"Y","")</f>
        <v/>
      </c>
      <c r="U356" t="s">
        <v>843</v>
      </c>
      <c r="V356" s="16" t="str">
        <f t="shared" si="20"/>
        <v>MNYABQ3.1LUCENA FISZMAN/PIETRA</v>
      </c>
      <c r="W356">
        <v>307</v>
      </c>
    </row>
    <row r="357" spans="1:23" hidden="1">
      <c r="A357" s="1">
        <v>45236</v>
      </c>
      <c r="B357" t="s">
        <v>11</v>
      </c>
      <c r="C357" t="s">
        <v>844</v>
      </c>
      <c r="D357" s="23" t="s">
        <v>845</v>
      </c>
      <c r="E357" t="s">
        <v>41</v>
      </c>
      <c r="F357" s="19">
        <v>57564931</v>
      </c>
      <c r="G357" s="53">
        <v>573204564936</v>
      </c>
      <c r="H357" s="52">
        <v>1164</v>
      </c>
      <c r="I357" s="5">
        <v>0.1</v>
      </c>
      <c r="J357" s="52" cm="1">
        <f t="array" ref="J35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117</v>
      </c>
      <c r="K357" s="56" t="s">
        <v>846</v>
      </c>
      <c r="L357" s="54" t="s">
        <v>76</v>
      </c>
      <c r="M357" t="s">
        <v>43</v>
      </c>
      <c r="N357" s="15" t="s">
        <v>84</v>
      </c>
      <c r="O357" s="5" t="s">
        <v>847</v>
      </c>
      <c r="P357" s="17" t="s">
        <v>46</v>
      </c>
      <c r="Q357" s="10" t="s">
        <v>353</v>
      </c>
      <c r="R357" s="11">
        <v>45240</v>
      </c>
      <c r="S357" s="10" t="s">
        <v>48</v>
      </c>
      <c r="T357" s="3" t="str">
        <f>IF(AND(ProtocolosAF[[#This Row],[STATUS]]="APROVADO",ProtocolosAF[[#This Row],[WAIVER]]=""),"Y","")</f>
        <v/>
      </c>
      <c r="U357" t="s">
        <v>848</v>
      </c>
      <c r="V357" s="16" t="str">
        <f t="shared" si="20"/>
        <v>FQFUIZMICHELI ARANTES/MARCELA</v>
      </c>
      <c r="W357">
        <v>308</v>
      </c>
    </row>
    <row r="358" spans="1:23" hidden="1">
      <c r="A358" s="1">
        <v>45238</v>
      </c>
      <c r="B358" t="s">
        <v>10</v>
      </c>
      <c r="C358" t="s">
        <v>849</v>
      </c>
      <c r="D358" s="23" t="s">
        <v>850</v>
      </c>
      <c r="E358" t="s">
        <v>73</v>
      </c>
      <c r="F358" s="19">
        <v>57994602</v>
      </c>
      <c r="G358" s="53">
        <v>574200484836</v>
      </c>
      <c r="H358" s="52">
        <v>15</v>
      </c>
      <c r="I358" s="5" t="s">
        <v>74</v>
      </c>
      <c r="J358" s="52" cm="1">
        <f t="array" ref="J35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</v>
      </c>
      <c r="K358" s="56" t="s">
        <v>336</v>
      </c>
      <c r="L358" s="54" t="s">
        <v>172</v>
      </c>
      <c r="M358" t="s">
        <v>43</v>
      </c>
      <c r="N358" s="15" t="s">
        <v>171</v>
      </c>
      <c r="O358" s="5" t="s">
        <v>851</v>
      </c>
      <c r="P358" s="17" t="s">
        <v>69</v>
      </c>
      <c r="Q358" s="10" t="s">
        <v>222</v>
      </c>
      <c r="R358" s="11">
        <v>45240</v>
      </c>
      <c r="S358" s="10" t="s">
        <v>173</v>
      </c>
      <c r="T358" s="3" t="str">
        <f>IF(AND(ProtocolosAF[[#This Row],[STATUS]]="APROVADO",ProtocolosAF[[#This Row],[WAIVER]]=""),"Y","")</f>
        <v/>
      </c>
      <c r="U358" t="s">
        <v>852</v>
      </c>
      <c r="V358" s="16" t="str">
        <f t="shared" si="20"/>
        <v>HKTVCPDUTON ALVES/MARIANGELA MRS</v>
      </c>
      <c r="W358">
        <v>309</v>
      </c>
    </row>
    <row r="359" spans="1:23" hidden="1">
      <c r="A359" s="1">
        <v>45238</v>
      </c>
      <c r="B359" t="s">
        <v>10</v>
      </c>
      <c r="C359" t="s">
        <v>849</v>
      </c>
      <c r="D359" s="23" t="s">
        <v>850</v>
      </c>
      <c r="E359" t="s">
        <v>73</v>
      </c>
      <c r="F359" s="19">
        <v>57994602</v>
      </c>
      <c r="G359" s="53">
        <v>574200484835</v>
      </c>
      <c r="H359" s="52">
        <v>15</v>
      </c>
      <c r="I359" s="5" t="s">
        <v>74</v>
      </c>
      <c r="J359" s="52" cm="1">
        <f t="array" ref="J35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</v>
      </c>
      <c r="K359" s="56" t="s">
        <v>336</v>
      </c>
      <c r="L359" s="54" t="s">
        <v>172</v>
      </c>
      <c r="M359" t="s">
        <v>43</v>
      </c>
      <c r="N359" s="15" t="s">
        <v>171</v>
      </c>
      <c r="O359" s="5" t="s">
        <v>851</v>
      </c>
      <c r="P359" s="17" t="s">
        <v>69</v>
      </c>
      <c r="Q359" s="10" t="s">
        <v>222</v>
      </c>
      <c r="R359" s="11">
        <v>45240</v>
      </c>
      <c r="S359" s="10" t="s">
        <v>173</v>
      </c>
      <c r="T359" s="3" t="str">
        <f>IF(AND(ProtocolosAF[[#This Row],[STATUS]]="APROVADO",ProtocolosAF[[#This Row],[WAIVER]]=""),"Y","")</f>
        <v/>
      </c>
      <c r="U359" t="s">
        <v>853</v>
      </c>
      <c r="V359" s="16" t="str">
        <f t="shared" si="20"/>
        <v>HKTVCPPECANHA ALVES/EVANDRO</v>
      </c>
      <c r="W359">
        <v>309</v>
      </c>
    </row>
    <row r="360" spans="1:23" hidden="1">
      <c r="A360" s="1">
        <v>45238</v>
      </c>
      <c r="B360" t="s">
        <v>10</v>
      </c>
      <c r="C360" t="s">
        <v>854</v>
      </c>
      <c r="D360" s="23" t="s">
        <v>855</v>
      </c>
      <c r="E360" t="s">
        <v>73</v>
      </c>
      <c r="F360" s="19">
        <v>57994602</v>
      </c>
      <c r="G360" s="81">
        <v>574200484838</v>
      </c>
      <c r="H360" s="52">
        <v>178.03</v>
      </c>
      <c r="I360" s="5" t="s">
        <v>74</v>
      </c>
      <c r="J360" s="52" cm="1">
        <f t="array" ref="J36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178.03</v>
      </c>
      <c r="K360" s="56" t="s">
        <v>336</v>
      </c>
      <c r="L360" s="54" t="s">
        <v>172</v>
      </c>
      <c r="M360" t="s">
        <v>43</v>
      </c>
      <c r="N360" s="15" t="s">
        <v>171</v>
      </c>
      <c r="O360" s="5" t="s">
        <v>78</v>
      </c>
      <c r="P360" s="17" t="s">
        <v>69</v>
      </c>
      <c r="Q360" s="10" t="s">
        <v>222</v>
      </c>
      <c r="R360" s="11">
        <v>45240</v>
      </c>
      <c r="S360" s="10" t="s">
        <v>173</v>
      </c>
      <c r="T360" s="3" t="str">
        <f>IF(AND(ProtocolosAF[[#This Row],[STATUS]]="APROVADO",ProtocolosAF[[#This Row],[WAIVER]]=""),"Y","")</f>
        <v/>
      </c>
      <c r="U360" t="s">
        <v>852</v>
      </c>
      <c r="V360" s="16" t="str">
        <f t="shared" si="20"/>
        <v>NMDBYUDUTON ALVES/MARIANGELA MRS</v>
      </c>
      <c r="W360">
        <v>310</v>
      </c>
    </row>
    <row r="361" spans="1:23" hidden="1">
      <c r="A361" s="1">
        <v>45238</v>
      </c>
      <c r="B361" t="s">
        <v>10</v>
      </c>
      <c r="C361" t="s">
        <v>854</v>
      </c>
      <c r="D361" s="23" t="s">
        <v>855</v>
      </c>
      <c r="E361" t="s">
        <v>73</v>
      </c>
      <c r="F361" s="19">
        <v>57994602</v>
      </c>
      <c r="G361" s="53">
        <v>574200484837</v>
      </c>
      <c r="H361" s="52">
        <v>178.03</v>
      </c>
      <c r="I361" s="5" t="s">
        <v>74</v>
      </c>
      <c r="J361" s="52" cm="1">
        <f t="array" ref="J36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178.03</v>
      </c>
      <c r="K361" s="56" t="s">
        <v>336</v>
      </c>
      <c r="L361" s="54" t="s">
        <v>172</v>
      </c>
      <c r="M361" t="s">
        <v>43</v>
      </c>
      <c r="N361" s="15" t="s">
        <v>171</v>
      </c>
      <c r="O361" s="5" t="s">
        <v>78</v>
      </c>
      <c r="P361" s="17" t="s">
        <v>69</v>
      </c>
      <c r="Q361" s="10" t="s">
        <v>222</v>
      </c>
      <c r="R361" s="11">
        <v>45240</v>
      </c>
      <c r="S361" s="10" t="s">
        <v>173</v>
      </c>
      <c r="T361" s="3" t="str">
        <f>IF(AND(ProtocolosAF[[#This Row],[STATUS]]="APROVADO",ProtocolosAF[[#This Row],[WAIVER]]=""),"Y","")</f>
        <v/>
      </c>
      <c r="U361" t="s">
        <v>856</v>
      </c>
      <c r="V361" s="16" t="str">
        <f t="shared" si="20"/>
        <v>NMDBYUPECANHA ALVES/EVANDRO MR</v>
      </c>
      <c r="W361">
        <v>310</v>
      </c>
    </row>
    <row r="362" spans="1:23" hidden="1">
      <c r="A362" s="1">
        <v>45239</v>
      </c>
      <c r="B362" t="s">
        <v>11</v>
      </c>
      <c r="C362" t="s">
        <v>857</v>
      </c>
      <c r="D362" s="23" t="s">
        <v>857</v>
      </c>
      <c r="E362" t="s">
        <v>41</v>
      </c>
      <c r="F362" s="19">
        <v>57564931</v>
      </c>
      <c r="G362" s="53">
        <v>573541968464</v>
      </c>
      <c r="H362" s="52">
        <v>1428</v>
      </c>
      <c r="I362" s="5">
        <v>0.1</v>
      </c>
      <c r="J362" s="52" cm="1">
        <f t="array" ref="J36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143</v>
      </c>
      <c r="K362" s="56" t="s">
        <v>99</v>
      </c>
      <c r="L362" s="54" t="s">
        <v>76</v>
      </c>
      <c r="M362" t="s">
        <v>43</v>
      </c>
      <c r="N362" s="15" t="s">
        <v>171</v>
      </c>
      <c r="O362" s="5" t="s">
        <v>167</v>
      </c>
      <c r="P362" s="17" t="s">
        <v>146</v>
      </c>
      <c r="Q362" s="10" t="s">
        <v>222</v>
      </c>
      <c r="R362" s="11">
        <v>45240</v>
      </c>
      <c r="S362" s="10" t="s">
        <v>48</v>
      </c>
      <c r="T362" s="3" t="str">
        <f>IF(AND(ProtocolosAF[[#This Row],[STATUS]]="APROVADO",ProtocolosAF[[#This Row],[WAIVER]]=""),"Y","")</f>
        <v/>
      </c>
      <c r="U362" t="s">
        <v>858</v>
      </c>
      <c r="V362" s="16" t="str">
        <f t="shared" si="20"/>
        <v>2IAW5QPAZETO/FLAVIO LUIS MR</v>
      </c>
      <c r="W362">
        <v>311</v>
      </c>
    </row>
    <row r="363" spans="1:23" hidden="1">
      <c r="A363" s="1">
        <v>45239</v>
      </c>
      <c r="B363" t="s">
        <v>10</v>
      </c>
      <c r="C363" t="s">
        <v>859</v>
      </c>
      <c r="D363" s="23" t="s">
        <v>860</v>
      </c>
      <c r="E363" t="s">
        <v>41</v>
      </c>
      <c r="F363" s="19"/>
      <c r="G363" s="53"/>
      <c r="H363" s="52">
        <v>1283</v>
      </c>
      <c r="I363" s="5">
        <v>0.1</v>
      </c>
      <c r="J363" s="52" t="str" cm="1">
        <f t="array" ref="J36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63" s="56" t="s">
        <v>345</v>
      </c>
      <c r="L363" s="54" t="s">
        <v>76</v>
      </c>
      <c r="M363" t="s">
        <v>100</v>
      </c>
      <c r="N363" s="15" t="s">
        <v>171</v>
      </c>
      <c r="O363" s="5" t="s">
        <v>126</v>
      </c>
      <c r="P363" s="17" t="s">
        <v>69</v>
      </c>
      <c r="Q363" s="10"/>
      <c r="R363" s="11"/>
      <c r="S363" s="10"/>
      <c r="T363" s="3" t="str">
        <f>IF(AND(ProtocolosAF[[#This Row],[STATUS]]="APROVADO",ProtocolosAF[[#This Row],[WAIVER]]=""),"Y","")</f>
        <v/>
      </c>
      <c r="U363" t="s">
        <v>861</v>
      </c>
      <c r="V363" s="16" t="str">
        <f t="shared" si="20"/>
        <v>HOHLBDGUEDES DUARTE/ROBLEDO</v>
      </c>
      <c r="W363">
        <v>312</v>
      </c>
    </row>
    <row r="364" spans="1:23" hidden="1">
      <c r="A364" s="1">
        <v>45244</v>
      </c>
      <c r="B364" t="s">
        <v>15</v>
      </c>
      <c r="C364" t="s">
        <v>862</v>
      </c>
      <c r="D364" s="23" t="s">
        <v>862</v>
      </c>
      <c r="E364" t="s">
        <v>41</v>
      </c>
      <c r="F364" s="19">
        <v>57564931</v>
      </c>
      <c r="G364" s="53">
        <v>573541993724</v>
      </c>
      <c r="H364" s="52">
        <v>2425</v>
      </c>
      <c r="I364" s="5">
        <v>0.1</v>
      </c>
      <c r="J364" s="52" cm="1">
        <f t="array" ref="J36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243</v>
      </c>
      <c r="K364" s="56" t="s">
        <v>75</v>
      </c>
      <c r="L364" s="54" t="s">
        <v>76</v>
      </c>
      <c r="M364" t="s">
        <v>43</v>
      </c>
      <c r="N364" s="15" t="s">
        <v>863</v>
      </c>
      <c r="O364" s="5" t="s">
        <v>68</v>
      </c>
      <c r="P364" s="17" t="s">
        <v>255</v>
      </c>
      <c r="Q364" s="10" t="s">
        <v>79</v>
      </c>
      <c r="R364" s="11">
        <v>45246</v>
      </c>
      <c r="S364" s="10" t="s">
        <v>48</v>
      </c>
      <c r="T364" s="3" t="str">
        <f>IF(AND(ProtocolosAF[[#This Row],[STATUS]]="APROVADO",ProtocolosAF[[#This Row],[WAIVER]]=""),"Y","")</f>
        <v/>
      </c>
      <c r="U364" t="s">
        <v>864</v>
      </c>
      <c r="V364" s="16" t="str">
        <f t="shared" si="20"/>
        <v>27XYCIFRACCAROLI/MARCIO</v>
      </c>
      <c r="W364">
        <v>313</v>
      </c>
    </row>
    <row r="365" spans="1:23" hidden="1">
      <c r="A365" s="1">
        <v>45246</v>
      </c>
      <c r="B365" t="s">
        <v>10</v>
      </c>
      <c r="C365" t="s">
        <v>865</v>
      </c>
      <c r="D365" s="23" t="s">
        <v>866</v>
      </c>
      <c r="E365" t="s">
        <v>41</v>
      </c>
      <c r="F365" s="19"/>
      <c r="G365" s="53"/>
      <c r="H365" s="52">
        <v>1448</v>
      </c>
      <c r="I365" s="5">
        <v>0.15</v>
      </c>
      <c r="J365" s="52" t="str" cm="1">
        <f t="array" ref="J36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65" s="56" t="s">
        <v>144</v>
      </c>
      <c r="L365" s="54" t="s">
        <v>76</v>
      </c>
      <c r="M365" t="s">
        <v>100</v>
      </c>
      <c r="N365" s="15" t="s">
        <v>171</v>
      </c>
      <c r="O365" s="5" t="s">
        <v>134</v>
      </c>
      <c r="P365" s="17" t="s">
        <v>255</v>
      </c>
      <c r="Q365" s="10"/>
      <c r="R365" s="11"/>
      <c r="S365" s="10"/>
      <c r="T365" s="3" t="str">
        <f>IF(AND(ProtocolosAF[[#This Row],[STATUS]]="APROVADO",ProtocolosAF[[#This Row],[WAIVER]]=""),"Y","")</f>
        <v/>
      </c>
      <c r="U365" t="s">
        <v>867</v>
      </c>
      <c r="V365" s="16" t="str">
        <f t="shared" si="20"/>
        <v>GPZWVU1.1BRAND/MARGOT</v>
      </c>
      <c r="W365">
        <v>314</v>
      </c>
    </row>
    <row r="366" spans="1:23" hidden="1">
      <c r="A366" s="1">
        <v>45247</v>
      </c>
      <c r="B366" t="s">
        <v>13</v>
      </c>
      <c r="C366" t="s">
        <v>868</v>
      </c>
      <c r="D366" s="23" t="s">
        <v>868</v>
      </c>
      <c r="E366" t="s">
        <v>41</v>
      </c>
      <c r="F366" s="19"/>
      <c r="G366" s="53"/>
      <c r="H366" s="52">
        <v>4652</v>
      </c>
      <c r="I366" s="5">
        <v>0.1</v>
      </c>
      <c r="J366" s="52" t="str" cm="1">
        <f t="array" ref="J36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66" s="56" t="s">
        <v>528</v>
      </c>
      <c r="L366" s="54" t="s">
        <v>76</v>
      </c>
      <c r="M366" t="s">
        <v>217</v>
      </c>
      <c r="N366" s="15" t="s">
        <v>863</v>
      </c>
      <c r="O366" s="5" t="s">
        <v>78</v>
      </c>
      <c r="P366" s="17" t="s">
        <v>503</v>
      </c>
      <c r="Q366" s="10"/>
      <c r="R366" s="11"/>
      <c r="S366" s="10"/>
      <c r="T366" s="3" t="str">
        <f>IF(AND(ProtocolosAF[[#This Row],[STATUS]]="APROVADO",ProtocolosAF[[#This Row],[WAIVER]]=""),"Y","")</f>
        <v/>
      </c>
      <c r="U366" t="s">
        <v>869</v>
      </c>
      <c r="V366" s="16" t="str">
        <f t="shared" si="20"/>
        <v>3O9OCJDA COSTA/SERGIO RICARDO MR</v>
      </c>
      <c r="W366">
        <v>315</v>
      </c>
    </row>
    <row r="367" spans="1:23" hidden="1">
      <c r="A367" s="1">
        <v>45247</v>
      </c>
      <c r="B367" t="s">
        <v>15</v>
      </c>
      <c r="C367" t="s">
        <v>870</v>
      </c>
      <c r="D367" s="23" t="s">
        <v>870</v>
      </c>
      <c r="E367" t="s">
        <v>41</v>
      </c>
      <c r="F367" s="19">
        <v>57564931</v>
      </c>
      <c r="G367" s="53">
        <v>573542008547</v>
      </c>
      <c r="H367" s="52">
        <v>934</v>
      </c>
      <c r="I367" s="5">
        <v>0.1</v>
      </c>
      <c r="J367" s="52" cm="1">
        <f t="array" ref="J36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94</v>
      </c>
      <c r="K367" s="56" t="s">
        <v>75</v>
      </c>
      <c r="L367" s="54" t="s">
        <v>76</v>
      </c>
      <c r="M367" t="s">
        <v>43</v>
      </c>
      <c r="N367" s="15" t="s">
        <v>863</v>
      </c>
      <c r="O367" s="5" t="s">
        <v>140</v>
      </c>
      <c r="P367" s="17" t="s">
        <v>46</v>
      </c>
      <c r="Q367" s="10" t="s">
        <v>79</v>
      </c>
      <c r="R367" s="11">
        <v>45247</v>
      </c>
      <c r="S367" s="10" t="s">
        <v>48</v>
      </c>
      <c r="T367" s="3" t="str">
        <f>IF(AND(ProtocolosAF[[#This Row],[STATUS]]="APROVADO",ProtocolosAF[[#This Row],[WAIVER]]=""),"Y","")</f>
        <v/>
      </c>
      <c r="U367" t="s">
        <v>871</v>
      </c>
      <c r="V367" s="16" t="str">
        <f t="shared" si="20"/>
        <v>3TRVJ5MORAIS MYR/ALINE</v>
      </c>
      <c r="W367">
        <v>316</v>
      </c>
    </row>
    <row r="368" spans="1:23" hidden="1">
      <c r="A368" s="1">
        <v>45247</v>
      </c>
      <c r="B368" t="s">
        <v>11</v>
      </c>
      <c r="C368" t="s">
        <v>872</v>
      </c>
      <c r="D368" s="23" t="s">
        <v>873</v>
      </c>
      <c r="E368" t="s">
        <v>73</v>
      </c>
      <c r="F368" s="19">
        <v>57564931</v>
      </c>
      <c r="G368" s="53">
        <v>572935932720</v>
      </c>
      <c r="H368" s="52">
        <v>325</v>
      </c>
      <c r="I368" s="5" t="s">
        <v>74</v>
      </c>
      <c r="J368" s="52" cm="1">
        <f t="array" ref="J36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325</v>
      </c>
      <c r="K368" s="56" t="s">
        <v>84</v>
      </c>
      <c r="L368" s="54" t="s">
        <v>172</v>
      </c>
      <c r="M368" t="s">
        <v>43</v>
      </c>
      <c r="N368" s="15" t="s">
        <v>84</v>
      </c>
      <c r="O368" s="5" t="s">
        <v>874</v>
      </c>
      <c r="P368" s="17" t="s">
        <v>146</v>
      </c>
      <c r="Q368" s="10" t="s">
        <v>353</v>
      </c>
      <c r="R368" s="11">
        <v>45250</v>
      </c>
      <c r="S368" s="10" t="s">
        <v>520</v>
      </c>
      <c r="T368" s="3" t="str">
        <f>IF(AND(ProtocolosAF[[#This Row],[STATUS]]="APROVADO",ProtocolosAF[[#This Row],[WAIVER]]=""),"Y","")</f>
        <v/>
      </c>
      <c r="U368" t="s">
        <v>875</v>
      </c>
      <c r="V368" s="16" t="str">
        <f t="shared" si="20"/>
        <v>65TZPFFOUAD SOBHY KAMEL/KAMAL</v>
      </c>
      <c r="W368">
        <v>317</v>
      </c>
    </row>
    <row r="369" spans="1:23" hidden="1">
      <c r="A369" s="1">
        <v>45247</v>
      </c>
      <c r="B369" t="s">
        <v>10</v>
      </c>
      <c r="C369" t="s">
        <v>876</v>
      </c>
      <c r="D369" s="23" t="s">
        <v>877</v>
      </c>
      <c r="E369" t="s">
        <v>41</v>
      </c>
      <c r="F369" s="19">
        <v>57564931</v>
      </c>
      <c r="G369" s="53">
        <v>573204613812</v>
      </c>
      <c r="H369" s="52">
        <v>3673</v>
      </c>
      <c r="I369" s="5">
        <v>0.1</v>
      </c>
      <c r="J369" s="52" cm="1">
        <f t="array" ref="J36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368</v>
      </c>
      <c r="K369" s="56" t="s">
        <v>144</v>
      </c>
      <c r="L369" s="54" t="s">
        <v>76</v>
      </c>
      <c r="M369" t="s">
        <v>43</v>
      </c>
      <c r="N369" s="15" t="s">
        <v>863</v>
      </c>
      <c r="O369" s="5" t="s">
        <v>68</v>
      </c>
      <c r="P369" s="17" t="s">
        <v>503</v>
      </c>
      <c r="Q369" s="10" t="s">
        <v>678</v>
      </c>
      <c r="R369" s="11">
        <v>45247</v>
      </c>
      <c r="S369" s="10" t="s">
        <v>48</v>
      </c>
      <c r="T369" s="3" t="str">
        <f>IF(AND(ProtocolosAF[[#This Row],[STATUS]]="APROVADO",ProtocolosAF[[#This Row],[WAIVER]]=""),"Y","")</f>
        <v/>
      </c>
      <c r="U369" t="s">
        <v>878</v>
      </c>
      <c r="V369" s="16" t="str">
        <f t="shared" si="20"/>
        <v>LLNDYN1.1SALLUM NAHAS/ISABELLA TERESA</v>
      </c>
      <c r="W369">
        <v>318</v>
      </c>
    </row>
    <row r="370" spans="1:23" hidden="1">
      <c r="A370" s="1">
        <v>45247</v>
      </c>
      <c r="B370" t="s">
        <v>10</v>
      </c>
      <c r="C370" t="s">
        <v>876</v>
      </c>
      <c r="D370" s="23" t="s">
        <v>877</v>
      </c>
      <c r="E370" t="s">
        <v>41</v>
      </c>
      <c r="F370" s="19">
        <v>57564931</v>
      </c>
      <c r="G370" s="53">
        <v>573204613813</v>
      </c>
      <c r="H370" s="52">
        <v>3673</v>
      </c>
      <c r="I370" s="5">
        <v>0.1</v>
      </c>
      <c r="J370" s="52" cm="1">
        <f t="array" ref="J37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368</v>
      </c>
      <c r="K370" s="56" t="s">
        <v>144</v>
      </c>
      <c r="L370" s="54" t="s">
        <v>76</v>
      </c>
      <c r="M370" t="s">
        <v>43</v>
      </c>
      <c r="N370" s="15" t="s">
        <v>863</v>
      </c>
      <c r="O370" s="5" t="s">
        <v>68</v>
      </c>
      <c r="P370" s="17" t="s">
        <v>503</v>
      </c>
      <c r="Q370" s="10" t="s">
        <v>678</v>
      </c>
      <c r="R370" s="11">
        <v>45247</v>
      </c>
      <c r="S370" s="10" t="s">
        <v>48</v>
      </c>
      <c r="T370" s="3" t="str">
        <f>IF(AND(ProtocolosAF[[#This Row],[STATUS]]="APROVADO",ProtocolosAF[[#This Row],[WAIVER]]=""),"Y","")</f>
        <v/>
      </c>
      <c r="U370" t="s">
        <v>879</v>
      </c>
      <c r="V370" s="16" t="str">
        <f t="shared" si="20"/>
        <v>LLNDYN2.1BARROS BARRETO AIDAR/FELIPE</v>
      </c>
      <c r="W370">
        <v>318</v>
      </c>
    </row>
    <row r="371" spans="1:23" hidden="1">
      <c r="A371" s="1">
        <v>45252</v>
      </c>
      <c r="B371" t="s">
        <v>10</v>
      </c>
      <c r="C371" t="s">
        <v>880</v>
      </c>
      <c r="D371" s="23" t="s">
        <v>881</v>
      </c>
      <c r="E371" t="s">
        <v>41</v>
      </c>
      <c r="F371" s="19">
        <v>57564931</v>
      </c>
      <c r="G371" s="53">
        <v>573204642411</v>
      </c>
      <c r="H371" s="52">
        <v>4327</v>
      </c>
      <c r="I371" s="5">
        <v>0.1</v>
      </c>
      <c r="J371" s="52" cm="1">
        <f t="array" ref="J37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433</v>
      </c>
      <c r="K371" s="56" t="s">
        <v>345</v>
      </c>
      <c r="L371" s="54" t="s">
        <v>76</v>
      </c>
      <c r="M371" t="s">
        <v>43</v>
      </c>
      <c r="N371" s="15" t="s">
        <v>863</v>
      </c>
      <c r="O371" s="5" t="s">
        <v>882</v>
      </c>
      <c r="P371" s="17" t="s">
        <v>46</v>
      </c>
      <c r="Q371" s="10" t="s">
        <v>743</v>
      </c>
      <c r="R371" s="11">
        <v>45253</v>
      </c>
      <c r="S371" s="10" t="s">
        <v>48</v>
      </c>
      <c r="T371" s="3" t="str">
        <f>IF(AND(ProtocolosAF[[#This Row],[STATUS]]="APROVADO",ProtocolosAF[[#This Row],[WAIVER]]=""),"Y","")</f>
        <v/>
      </c>
      <c r="U371" t="s">
        <v>883</v>
      </c>
      <c r="V371" s="16" t="str">
        <f t="shared" si="20"/>
        <v>SBRTEWRECHULSKI/GABRIELLA MRS</v>
      </c>
      <c r="W371">
        <v>320</v>
      </c>
    </row>
    <row r="372" spans="1:23" hidden="1">
      <c r="A372" s="1">
        <v>45253</v>
      </c>
      <c r="B372" t="s">
        <v>13</v>
      </c>
      <c r="C372" t="s">
        <v>884</v>
      </c>
      <c r="D372" s="23" t="s">
        <v>885</v>
      </c>
      <c r="E372" t="s">
        <v>41</v>
      </c>
      <c r="F372" s="19"/>
      <c r="G372" s="53"/>
      <c r="H372" s="52">
        <v>655</v>
      </c>
      <c r="I372" s="5">
        <v>7.0000000000000007E-2</v>
      </c>
      <c r="J372" s="52" t="str" cm="1">
        <f t="array" ref="J37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72" s="56" t="s">
        <v>817</v>
      </c>
      <c r="L372" s="54" t="s">
        <v>76</v>
      </c>
      <c r="M372" t="s">
        <v>100</v>
      </c>
      <c r="N372" s="15" t="s">
        <v>863</v>
      </c>
      <c r="O372" s="5" t="s">
        <v>886</v>
      </c>
      <c r="P372" s="17" t="s">
        <v>255</v>
      </c>
      <c r="Q372" s="10"/>
      <c r="R372" s="11"/>
      <c r="S372" s="10"/>
      <c r="T372" s="3" t="str">
        <f>IF(AND(ProtocolosAF[[#This Row],[STATUS]]="APROVADO",ProtocolosAF[[#This Row],[WAIVER]]=""),"Y","")</f>
        <v/>
      </c>
      <c r="U372" t="s">
        <v>887</v>
      </c>
      <c r="V372" s="16" t="str">
        <f t="shared" si="20"/>
        <v>67TT1YPERES/DANIELLE</v>
      </c>
      <c r="W372">
        <v>321</v>
      </c>
    </row>
    <row r="373" spans="1:23" hidden="1">
      <c r="A373" s="1">
        <v>45253</v>
      </c>
      <c r="B373" t="s">
        <v>13</v>
      </c>
      <c r="C373" t="s">
        <v>884</v>
      </c>
      <c r="D373" s="23" t="s">
        <v>885</v>
      </c>
      <c r="E373" t="s">
        <v>41</v>
      </c>
      <c r="F373" s="19"/>
      <c r="G373" s="53"/>
      <c r="H373" s="52">
        <v>655</v>
      </c>
      <c r="I373" s="5">
        <v>7.0000000000000007E-2</v>
      </c>
      <c r="J373" s="52" t="str" cm="1">
        <f t="array" ref="J37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73" s="56" t="s">
        <v>817</v>
      </c>
      <c r="L373" s="54" t="s">
        <v>76</v>
      </c>
      <c r="M373" t="s">
        <v>100</v>
      </c>
      <c r="N373" s="15" t="s">
        <v>863</v>
      </c>
      <c r="O373" s="5" t="s">
        <v>886</v>
      </c>
      <c r="P373" s="17" t="s">
        <v>255</v>
      </c>
      <c r="Q373" s="10"/>
      <c r="R373" s="11"/>
      <c r="S373" s="10"/>
      <c r="T373" s="3" t="str">
        <f>IF(AND(ProtocolosAF[[#This Row],[STATUS]]="APROVADO",ProtocolosAF[[#This Row],[WAIVER]]=""),"Y","")</f>
        <v/>
      </c>
      <c r="U373" t="s">
        <v>888</v>
      </c>
      <c r="V373" s="16" t="str">
        <f t="shared" si="20"/>
        <v>67TT1YPORTO CASTRO MAIA/MATEUS</v>
      </c>
      <c r="W373">
        <v>321</v>
      </c>
    </row>
    <row r="374" spans="1:23" hidden="1">
      <c r="A374" s="1">
        <v>45253</v>
      </c>
      <c r="B374" t="s">
        <v>13</v>
      </c>
      <c r="C374" t="s">
        <v>884</v>
      </c>
      <c r="D374" s="23" t="s">
        <v>885</v>
      </c>
      <c r="E374" t="s">
        <v>41</v>
      </c>
      <c r="F374" s="19"/>
      <c r="G374" s="53"/>
      <c r="H374" s="52">
        <v>655</v>
      </c>
      <c r="I374" s="5">
        <v>7.0000000000000007E-2</v>
      </c>
      <c r="J374" s="52" t="str" cm="1">
        <f t="array" ref="J37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74" s="56" t="s">
        <v>817</v>
      </c>
      <c r="L374" s="54" t="s">
        <v>76</v>
      </c>
      <c r="M374" t="s">
        <v>100</v>
      </c>
      <c r="N374" s="15" t="s">
        <v>863</v>
      </c>
      <c r="O374" s="5" t="s">
        <v>886</v>
      </c>
      <c r="P374" s="17" t="s">
        <v>255</v>
      </c>
      <c r="Q374" s="10"/>
      <c r="R374" s="11"/>
      <c r="S374" s="10"/>
      <c r="T374" s="3" t="str">
        <f>IF(AND(ProtocolosAF[[#This Row],[STATUS]]="APROVADO",ProtocolosAF[[#This Row],[WAIVER]]=""),"Y","")</f>
        <v/>
      </c>
      <c r="U374" t="s">
        <v>889</v>
      </c>
      <c r="V374" s="16" t="str">
        <f t="shared" si="20"/>
        <v>67TT1Y1PORTO CASTRO MAIA/BEATRIZ</v>
      </c>
      <c r="W374">
        <v>321</v>
      </c>
    </row>
    <row r="375" spans="1:23" hidden="1">
      <c r="A375" s="1">
        <v>45254</v>
      </c>
      <c r="B375" t="s">
        <v>11</v>
      </c>
      <c r="C375" t="s">
        <v>890</v>
      </c>
      <c r="D375" s="23" t="s">
        <v>891</v>
      </c>
      <c r="E375" t="s">
        <v>207</v>
      </c>
      <c r="F375" s="19">
        <v>57994602</v>
      </c>
      <c r="G375" s="53">
        <v>574200484921</v>
      </c>
      <c r="H375" s="52">
        <v>138</v>
      </c>
      <c r="I375" s="5" t="s">
        <v>74</v>
      </c>
      <c r="J375" s="52" cm="1">
        <f t="array" ref="J37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138</v>
      </c>
      <c r="K375" s="56" t="s">
        <v>892</v>
      </c>
      <c r="L375" s="54" t="s">
        <v>513</v>
      </c>
      <c r="M375" t="s">
        <v>43</v>
      </c>
      <c r="N375" s="15" t="s">
        <v>84</v>
      </c>
      <c r="O375" s="5" t="s">
        <v>307</v>
      </c>
      <c r="P375" s="17" t="s">
        <v>69</v>
      </c>
      <c r="Q375" s="10" t="s">
        <v>893</v>
      </c>
      <c r="R375" s="11">
        <v>45258</v>
      </c>
      <c r="S375" s="10" t="s">
        <v>209</v>
      </c>
      <c r="T375" s="3" t="str">
        <f>IF(AND(ProtocolosAF[[#This Row],[STATUS]]="APROVADO",ProtocolosAF[[#This Row],[WAIVER]]=""),"Y","")</f>
        <v/>
      </c>
      <c r="U375" t="s">
        <v>894</v>
      </c>
      <c r="V375" s="16" t="str">
        <f t="shared" si="20"/>
        <v>67LLMTsilva /REUEL mr</v>
      </c>
      <c r="W375">
        <v>323</v>
      </c>
    </row>
    <row r="376" spans="1:23" hidden="1">
      <c r="A376" s="1">
        <v>45254</v>
      </c>
      <c r="B376" t="s">
        <v>11</v>
      </c>
      <c r="C376" t="s">
        <v>890</v>
      </c>
      <c r="D376" s="23" t="s">
        <v>891</v>
      </c>
      <c r="E376" t="s">
        <v>207</v>
      </c>
      <c r="F376" s="19">
        <v>57994602</v>
      </c>
      <c r="G376" s="53">
        <v>574200484920</v>
      </c>
      <c r="H376" s="52">
        <v>138</v>
      </c>
      <c r="I376" s="5" t="s">
        <v>74</v>
      </c>
      <c r="J376" s="52" cm="1">
        <f t="array" ref="J37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138</v>
      </c>
      <c r="K376" s="56" t="s">
        <v>892</v>
      </c>
      <c r="L376" s="54" t="s">
        <v>513</v>
      </c>
      <c r="M376" t="s">
        <v>43</v>
      </c>
      <c r="N376" s="15" t="s">
        <v>84</v>
      </c>
      <c r="O376" s="5" t="s">
        <v>307</v>
      </c>
      <c r="P376" s="17" t="s">
        <v>69</v>
      </c>
      <c r="Q376" s="10" t="s">
        <v>893</v>
      </c>
      <c r="R376" s="11">
        <v>45258</v>
      </c>
      <c r="S376" s="10" t="s">
        <v>209</v>
      </c>
      <c r="T376" s="3" t="str">
        <f>IF(AND(ProtocolosAF[[#This Row],[STATUS]]="APROVADO",ProtocolosAF[[#This Row],[WAIVER]]=""),"Y","")</f>
        <v/>
      </c>
      <c r="U376" t="s">
        <v>895</v>
      </c>
      <c r="V376" s="16" t="str">
        <f t="shared" si="20"/>
        <v>67LLMTsilva/daniela mrs</v>
      </c>
      <c r="W376">
        <v>323</v>
      </c>
    </row>
    <row r="377" spans="1:23" hidden="1">
      <c r="A377" s="1">
        <v>45254</v>
      </c>
      <c r="B377" t="s">
        <v>13</v>
      </c>
      <c r="C377" t="s">
        <v>896</v>
      </c>
      <c r="D377" s="23" t="s">
        <v>897</v>
      </c>
      <c r="E377" t="s">
        <v>41</v>
      </c>
      <c r="F377" s="19"/>
      <c r="G377" s="53"/>
      <c r="H377" s="52">
        <v>2012</v>
      </c>
      <c r="I377" s="5">
        <v>7.0000000000000007E-2</v>
      </c>
      <c r="J377" s="52" t="str" cm="1">
        <f t="array" ref="J37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77" s="56" t="s">
        <v>528</v>
      </c>
      <c r="L377" s="54" t="s">
        <v>76</v>
      </c>
      <c r="M377" t="s">
        <v>100</v>
      </c>
      <c r="N377" s="15" t="s">
        <v>863</v>
      </c>
      <c r="O377" s="5" t="s">
        <v>145</v>
      </c>
      <c r="P377" s="17" t="s">
        <v>46</v>
      </c>
      <c r="Q377" s="10"/>
      <c r="R377" s="11"/>
      <c r="S377" s="10"/>
      <c r="T377" s="3" t="str">
        <f>IF(AND(ProtocolosAF[[#This Row],[STATUS]]="APROVADO",ProtocolosAF[[#This Row],[WAIVER]]=""),"Y","")</f>
        <v/>
      </c>
      <c r="U377" t="s">
        <v>898</v>
      </c>
      <c r="V377" s="16" t="str">
        <f t="shared" si="20"/>
        <v xml:space="preserve">67TSL3PERES/LEANDROMR </v>
      </c>
      <c r="W377">
        <v>324</v>
      </c>
    </row>
    <row r="378" spans="1:23" hidden="1">
      <c r="A378" s="1">
        <v>45254</v>
      </c>
      <c r="B378" t="s">
        <v>10</v>
      </c>
      <c r="C378" t="s">
        <v>899</v>
      </c>
      <c r="D378" s="23" t="s">
        <v>899</v>
      </c>
      <c r="E378" t="s">
        <v>73</v>
      </c>
      <c r="F378" s="19">
        <v>57564931</v>
      </c>
      <c r="G378" s="53">
        <v>574200484924</v>
      </c>
      <c r="H378" s="52">
        <v>356</v>
      </c>
      <c r="I378" s="5" t="s">
        <v>74</v>
      </c>
      <c r="J378" s="52" cm="1">
        <f t="array" ref="J37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356</v>
      </c>
      <c r="K378" s="56" t="s">
        <v>237</v>
      </c>
      <c r="L378" s="54" t="s">
        <v>66</v>
      </c>
      <c r="M378" t="s">
        <v>43</v>
      </c>
      <c r="N378" s="15" t="s">
        <v>863</v>
      </c>
      <c r="O378" s="5" t="s">
        <v>669</v>
      </c>
      <c r="P378" s="17" t="s">
        <v>69</v>
      </c>
      <c r="Q378" s="10" t="s">
        <v>239</v>
      </c>
      <c r="R378" s="11">
        <v>45258</v>
      </c>
      <c r="S378" s="10" t="s">
        <v>173</v>
      </c>
      <c r="T378" s="3" t="str">
        <f>IF(AND(ProtocolosAF[[#This Row],[STATUS]]="APROVADO",ProtocolosAF[[#This Row],[WAIVER]]=""),"Y","")</f>
        <v/>
      </c>
      <c r="U378" t="s">
        <v>900</v>
      </c>
      <c r="V378" s="16" t="str">
        <f t="shared" si="20"/>
        <v>4OWSG5NAKAJIMA/MASAHIRO MR</v>
      </c>
      <c r="W378">
        <v>327</v>
      </c>
    </row>
    <row r="379" spans="1:23" hidden="1">
      <c r="A379" s="1">
        <v>45257</v>
      </c>
      <c r="B379" t="s">
        <v>10</v>
      </c>
      <c r="C379" t="s">
        <v>901</v>
      </c>
      <c r="D379" s="23" t="s">
        <v>902</v>
      </c>
      <c r="E379" t="s">
        <v>41</v>
      </c>
      <c r="F379" s="19">
        <v>57564931</v>
      </c>
      <c r="G379" s="53">
        <v>572935944114</v>
      </c>
      <c r="H379" s="52">
        <v>1188</v>
      </c>
      <c r="I379" s="5">
        <v>0.15</v>
      </c>
      <c r="J379" s="52" cm="1">
        <f t="array" ref="J37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179</v>
      </c>
      <c r="K379" s="56" t="s">
        <v>903</v>
      </c>
      <c r="L379" s="54" t="s">
        <v>76</v>
      </c>
      <c r="M379" t="s">
        <v>43</v>
      </c>
      <c r="N379" s="15" t="s">
        <v>863</v>
      </c>
      <c r="O379" s="5" t="s">
        <v>391</v>
      </c>
      <c r="P379" s="17" t="s">
        <v>255</v>
      </c>
      <c r="Q379" s="10" t="s">
        <v>239</v>
      </c>
      <c r="R379" s="11">
        <v>45258</v>
      </c>
      <c r="S379" s="10" t="s">
        <v>48</v>
      </c>
      <c r="T379" s="3" t="str">
        <f>IF(AND(ProtocolosAF[[#This Row],[STATUS]]="APROVADO",ProtocolosAF[[#This Row],[WAIVER]]=""),"Y","")</f>
        <v/>
      </c>
      <c r="U379" t="s">
        <v>904</v>
      </c>
      <c r="V379" s="16" t="str">
        <f t="shared" si="20"/>
        <v>68PTP4KAORI SIYA/PAULA</v>
      </c>
      <c r="W379">
        <v>331</v>
      </c>
    </row>
    <row r="380" spans="1:23" hidden="1">
      <c r="A380" s="1">
        <v>45257</v>
      </c>
      <c r="B380" t="s">
        <v>10</v>
      </c>
      <c r="C380" t="s">
        <v>901</v>
      </c>
      <c r="D380" s="23" t="s">
        <v>902</v>
      </c>
      <c r="E380" t="s">
        <v>41</v>
      </c>
      <c r="F380" s="19">
        <v>57564931</v>
      </c>
      <c r="G380" s="53">
        <v>572935944116</v>
      </c>
      <c r="H380" s="52">
        <v>1188</v>
      </c>
      <c r="I380" s="5">
        <v>0.15</v>
      </c>
      <c r="J380" s="52" cm="1">
        <f t="array" ref="J38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179</v>
      </c>
      <c r="K380" s="56" t="s">
        <v>903</v>
      </c>
      <c r="L380" s="54" t="s">
        <v>76</v>
      </c>
      <c r="M380" t="s">
        <v>43</v>
      </c>
      <c r="N380" s="15" t="s">
        <v>863</v>
      </c>
      <c r="O380" s="5" t="s">
        <v>391</v>
      </c>
      <c r="P380" s="17" t="s">
        <v>255</v>
      </c>
      <c r="Q380" s="10" t="s">
        <v>239</v>
      </c>
      <c r="R380" s="11">
        <v>45258</v>
      </c>
      <c r="S380" s="10" t="s">
        <v>48</v>
      </c>
      <c r="T380" s="3" t="str">
        <f>IF(AND(ProtocolosAF[[#This Row],[STATUS]]="APROVADO",ProtocolosAF[[#This Row],[WAIVER]]=""),"Y","")</f>
        <v/>
      </c>
      <c r="U380" t="s">
        <v>905</v>
      </c>
      <c r="V380" s="16" t="str">
        <f t="shared" si="20"/>
        <v>68PTP4ARAUJO COSTA DE OLIVEIRA/RAFAEL</v>
      </c>
      <c r="W380">
        <v>331</v>
      </c>
    </row>
    <row r="381" spans="1:23" hidden="1">
      <c r="A381" s="1">
        <v>45257</v>
      </c>
      <c r="B381" t="s">
        <v>15</v>
      </c>
      <c r="C381" t="s">
        <v>906</v>
      </c>
      <c r="D381" s="23" t="s">
        <v>907</v>
      </c>
      <c r="E381" t="s">
        <v>41</v>
      </c>
      <c r="F381" s="19">
        <v>57564931</v>
      </c>
      <c r="G381" s="53">
        <v>572935944210</v>
      </c>
      <c r="H381" s="52">
        <v>1696</v>
      </c>
      <c r="I381" s="5">
        <v>0.1</v>
      </c>
      <c r="J381" s="52" cm="1">
        <f t="array" ref="J38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170</v>
      </c>
      <c r="K381" s="56" t="s">
        <v>75</v>
      </c>
      <c r="L381" s="54" t="s">
        <v>76</v>
      </c>
      <c r="M381" t="s">
        <v>43</v>
      </c>
      <c r="N381" s="15" t="s">
        <v>863</v>
      </c>
      <c r="O381" s="5" t="s">
        <v>417</v>
      </c>
      <c r="P381" s="17" t="s">
        <v>46</v>
      </c>
      <c r="Q381" s="10" t="s">
        <v>79</v>
      </c>
      <c r="R381" s="11">
        <v>45257</v>
      </c>
      <c r="S381" s="10" t="s">
        <v>48</v>
      </c>
      <c r="T381" s="3" t="str">
        <f>IF(AND(ProtocolosAF[[#This Row],[STATUS]]="APROVADO",ProtocolosAF[[#This Row],[WAIVER]]=""),"Y","")</f>
        <v/>
      </c>
      <c r="U381" t="s">
        <v>908</v>
      </c>
      <c r="V381" s="16" t="str">
        <f t="shared" si="20"/>
        <v>67WH89CORTEZ/BRUNA</v>
      </c>
      <c r="W381">
        <v>332</v>
      </c>
    </row>
    <row r="382" spans="1:23" hidden="1">
      <c r="A382" s="1">
        <v>45257</v>
      </c>
      <c r="B382" t="s">
        <v>15</v>
      </c>
      <c r="C382" t="s">
        <v>906</v>
      </c>
      <c r="D382" s="23" t="s">
        <v>907</v>
      </c>
      <c r="E382" t="s">
        <v>41</v>
      </c>
      <c r="F382" s="19">
        <v>57564931</v>
      </c>
      <c r="G382" s="53">
        <v>572935944208</v>
      </c>
      <c r="H382" s="52">
        <v>1696</v>
      </c>
      <c r="I382" s="5">
        <v>0.1</v>
      </c>
      <c r="J382" s="52" cm="1">
        <f t="array" ref="J38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170</v>
      </c>
      <c r="K382" s="56" t="s">
        <v>75</v>
      </c>
      <c r="L382" s="54" t="s">
        <v>76</v>
      </c>
      <c r="M382" t="s">
        <v>43</v>
      </c>
      <c r="N382" s="15" t="s">
        <v>863</v>
      </c>
      <c r="O382" s="5" t="s">
        <v>417</v>
      </c>
      <c r="P382" s="17" t="s">
        <v>46</v>
      </c>
      <c r="Q382" s="10" t="s">
        <v>79</v>
      </c>
      <c r="R382" s="11">
        <v>45257</v>
      </c>
      <c r="S382" s="10" t="s">
        <v>48</v>
      </c>
      <c r="T382" s="3" t="str">
        <f>IF(AND(ProtocolosAF[[#This Row],[STATUS]]="APROVADO",ProtocolosAF[[#This Row],[WAIVER]]=""),"Y","")</f>
        <v/>
      </c>
      <c r="U382" t="s">
        <v>909</v>
      </c>
      <c r="V382" s="16" t="str">
        <f t="shared" si="20"/>
        <v>67WH89CORTEZ/PAULO</v>
      </c>
      <c r="W382">
        <v>332</v>
      </c>
    </row>
    <row r="383" spans="1:23" hidden="1">
      <c r="A383" s="1">
        <v>45258</v>
      </c>
      <c r="B383" t="s">
        <v>13</v>
      </c>
      <c r="C383" t="s">
        <v>910</v>
      </c>
      <c r="D383" s="23" t="s">
        <v>910</v>
      </c>
      <c r="E383" t="s">
        <v>41</v>
      </c>
      <c r="F383" s="19"/>
      <c r="G383" s="53"/>
      <c r="H383" s="52">
        <v>1433</v>
      </c>
      <c r="I383" s="5">
        <v>0.1</v>
      </c>
      <c r="J383" s="52" t="str" cm="1">
        <f t="array" ref="J38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83" s="56" t="s">
        <v>151</v>
      </c>
      <c r="L383" s="54" t="s">
        <v>76</v>
      </c>
      <c r="M383" t="s">
        <v>100</v>
      </c>
      <c r="N383" s="15" t="s">
        <v>863</v>
      </c>
      <c r="O383" s="5" t="s">
        <v>614</v>
      </c>
      <c r="P383" s="17" t="s">
        <v>503</v>
      </c>
      <c r="Q383" s="10"/>
      <c r="R383" s="11"/>
      <c r="S383" s="10"/>
      <c r="T383" s="3" t="str">
        <f>IF(AND(ProtocolosAF[[#This Row],[STATUS]]="APROVADO",ProtocolosAF[[#This Row],[WAIVER]]=""),"Y","")</f>
        <v/>
      </c>
      <c r="U383" t="s">
        <v>911</v>
      </c>
      <c r="V383" s="16" t="str">
        <f t="shared" si="20"/>
        <v>2OZKBCBEVILACQUA/ANDRE LUIZ MR</v>
      </c>
      <c r="W383">
        <v>333</v>
      </c>
    </row>
    <row r="384" spans="1:23" hidden="1">
      <c r="A384" s="1">
        <v>45258</v>
      </c>
      <c r="B384" t="s">
        <v>13</v>
      </c>
      <c r="C384" t="s">
        <v>910</v>
      </c>
      <c r="D384" s="23" t="s">
        <v>910</v>
      </c>
      <c r="E384" t="s">
        <v>41</v>
      </c>
      <c r="F384" s="19"/>
      <c r="G384" s="53"/>
      <c r="H384" s="52">
        <v>1433</v>
      </c>
      <c r="I384" s="5">
        <v>0.1</v>
      </c>
      <c r="J384" s="52" t="str" cm="1">
        <f t="array" ref="J38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84" s="56" t="s">
        <v>151</v>
      </c>
      <c r="L384" s="54" t="s">
        <v>76</v>
      </c>
      <c r="M384" t="s">
        <v>100</v>
      </c>
      <c r="N384" s="15" t="s">
        <v>863</v>
      </c>
      <c r="O384" s="5" t="s">
        <v>614</v>
      </c>
      <c r="P384" s="17" t="s">
        <v>503</v>
      </c>
      <c r="Q384" s="10"/>
      <c r="R384" s="11"/>
      <c r="S384" s="10"/>
      <c r="T384" s="3" t="str">
        <f>IF(AND(ProtocolosAF[[#This Row],[STATUS]]="APROVADO",ProtocolosAF[[#This Row],[WAIVER]]=""),"Y","")</f>
        <v/>
      </c>
      <c r="U384" t="s">
        <v>912</v>
      </c>
      <c r="V384" s="16" t="str">
        <f t="shared" si="20"/>
        <v>2OZKBCBEVILACQUA/HELENICE MRS</v>
      </c>
      <c r="W384">
        <v>333</v>
      </c>
    </row>
    <row r="385" spans="1:23" hidden="1">
      <c r="A385" s="1">
        <v>45259</v>
      </c>
      <c r="B385" t="s">
        <v>10</v>
      </c>
      <c r="C385" t="s">
        <v>913</v>
      </c>
      <c r="D385" s="23" t="s">
        <v>914</v>
      </c>
      <c r="E385" t="s">
        <v>41</v>
      </c>
      <c r="F385" s="19"/>
      <c r="G385" s="53"/>
      <c r="H385" s="52">
        <v>1378</v>
      </c>
      <c r="I385" s="5">
        <v>0.05</v>
      </c>
      <c r="J385" s="52" t="str" cm="1">
        <f t="array" ref="J38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85" s="56" t="s">
        <v>345</v>
      </c>
      <c r="L385" s="54" t="s">
        <v>76</v>
      </c>
      <c r="M385" t="s">
        <v>100</v>
      </c>
      <c r="N385" s="15" t="s">
        <v>863</v>
      </c>
      <c r="O385" s="5" t="s">
        <v>915</v>
      </c>
      <c r="P385" s="17" t="s">
        <v>69</v>
      </c>
      <c r="Q385" s="10"/>
      <c r="R385" s="11"/>
      <c r="S385" s="10"/>
      <c r="T385" s="3" t="str">
        <f>IF(AND(ProtocolosAF[[#This Row],[STATUS]]="APROVADO",ProtocolosAF[[#This Row],[WAIVER]]=""),"Y","")</f>
        <v/>
      </c>
      <c r="U385" t="s">
        <v>916</v>
      </c>
      <c r="V385" s="16" t="str">
        <f t="shared" si="20"/>
        <v>DXSKXVGUEBARRA/GISLEINE MRS</v>
      </c>
      <c r="W385">
        <v>334</v>
      </c>
    </row>
    <row r="386" spans="1:23" hidden="1">
      <c r="A386" s="1">
        <v>45259</v>
      </c>
      <c r="B386" t="s">
        <v>10</v>
      </c>
      <c r="C386" t="s">
        <v>913</v>
      </c>
      <c r="D386" s="23" t="s">
        <v>914</v>
      </c>
      <c r="E386" t="s">
        <v>41</v>
      </c>
      <c r="F386" s="19"/>
      <c r="G386" s="53"/>
      <c r="H386" s="52">
        <v>1378</v>
      </c>
      <c r="I386" s="5">
        <v>0.05</v>
      </c>
      <c r="J386" s="52" t="str" cm="1">
        <f t="array" ref="J38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86" s="56" t="s">
        <v>345</v>
      </c>
      <c r="L386" s="54" t="s">
        <v>76</v>
      </c>
      <c r="M386" t="s">
        <v>100</v>
      </c>
      <c r="N386" s="15" t="s">
        <v>863</v>
      </c>
      <c r="O386" s="5" t="s">
        <v>915</v>
      </c>
      <c r="P386" s="17" t="s">
        <v>69</v>
      </c>
      <c r="Q386" s="10"/>
      <c r="R386" s="11"/>
      <c r="S386" s="10"/>
      <c r="T386" s="3" t="str">
        <f>IF(AND(ProtocolosAF[[#This Row],[STATUS]]="APROVADO",ProtocolosAF[[#This Row],[WAIVER]]=""),"Y","")</f>
        <v/>
      </c>
      <c r="U386" t="s">
        <v>917</v>
      </c>
      <c r="V386" s="16" t="str">
        <f t="shared" si="20"/>
        <v>DXSKXVGUEBARRA/HENRIQUE MR</v>
      </c>
      <c r="W386">
        <v>334</v>
      </c>
    </row>
    <row r="387" spans="1:23" hidden="1">
      <c r="A387" s="1">
        <v>45259</v>
      </c>
      <c r="B387" t="s">
        <v>10</v>
      </c>
      <c r="C387" t="s">
        <v>913</v>
      </c>
      <c r="D387" s="23" t="s">
        <v>914</v>
      </c>
      <c r="E387" t="s">
        <v>41</v>
      </c>
      <c r="F387" s="19"/>
      <c r="G387" s="53"/>
      <c r="H387" s="52">
        <v>1378</v>
      </c>
      <c r="I387" s="5">
        <v>0.05</v>
      </c>
      <c r="J387" s="52" t="str" cm="1">
        <f t="array" ref="J38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87" s="56" t="s">
        <v>345</v>
      </c>
      <c r="L387" s="54" t="s">
        <v>76</v>
      </c>
      <c r="M387" t="s">
        <v>100</v>
      </c>
      <c r="N387" s="15" t="s">
        <v>863</v>
      </c>
      <c r="O387" s="5" t="s">
        <v>915</v>
      </c>
      <c r="P387" s="17" t="s">
        <v>69</v>
      </c>
      <c r="Q387" s="10"/>
      <c r="R387" s="11"/>
      <c r="S387" s="10"/>
      <c r="T387" s="3" t="str">
        <f>IF(AND(ProtocolosAF[[#This Row],[STATUS]]="APROVADO",ProtocolosAF[[#This Row],[WAIVER]]=""),"Y","")</f>
        <v/>
      </c>
      <c r="U387" t="s">
        <v>918</v>
      </c>
      <c r="V387" s="16" t="str">
        <f t="shared" si="20"/>
        <v>DXSKXVGUEBARRA/LARA MRS</v>
      </c>
      <c r="W387">
        <v>334</v>
      </c>
    </row>
    <row r="388" spans="1:23" hidden="1">
      <c r="A388" s="1">
        <v>45260</v>
      </c>
      <c r="B388" t="s">
        <v>11</v>
      </c>
      <c r="C388" t="s">
        <v>919</v>
      </c>
      <c r="D388" s="23" t="s">
        <v>920</v>
      </c>
      <c r="E388" t="s">
        <v>41</v>
      </c>
      <c r="F388" s="19">
        <v>57564931</v>
      </c>
      <c r="G388" s="53">
        <v>573204699751</v>
      </c>
      <c r="H388" s="52">
        <v>1122</v>
      </c>
      <c r="I388" s="5">
        <v>0.1</v>
      </c>
      <c r="J388" s="52" cm="1">
        <f t="array" ref="J38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113</v>
      </c>
      <c r="K388" s="56" t="s">
        <v>921</v>
      </c>
      <c r="L388" s="54" t="s">
        <v>76</v>
      </c>
      <c r="M388" t="s">
        <v>43</v>
      </c>
      <c r="N388" s="15" t="s">
        <v>863</v>
      </c>
      <c r="O388" s="5" t="s">
        <v>922</v>
      </c>
      <c r="P388" s="17" t="s">
        <v>146</v>
      </c>
      <c r="Q388" s="10" t="s">
        <v>923</v>
      </c>
      <c r="R388" s="11">
        <v>45260</v>
      </c>
      <c r="S388" s="10" t="s">
        <v>48</v>
      </c>
      <c r="T388" s="3" t="str">
        <f>IF(AND(ProtocolosAF[[#This Row],[STATUS]]="APROVADO",ProtocolosAF[[#This Row],[WAIVER]]=""),"Y","")</f>
        <v/>
      </c>
      <c r="U388" t="s">
        <v>924</v>
      </c>
      <c r="V388" s="16" t="str">
        <f t="shared" si="20"/>
        <v>WAESIPVALERIO DE SOUSA/SANDRA MARA</v>
      </c>
      <c r="W388">
        <v>335</v>
      </c>
    </row>
    <row r="389" spans="1:23" hidden="1">
      <c r="A389" s="1">
        <v>45260</v>
      </c>
      <c r="B389" t="s">
        <v>11</v>
      </c>
      <c r="C389" t="s">
        <v>925</v>
      </c>
      <c r="D389" s="23" t="s">
        <v>926</v>
      </c>
      <c r="E389" t="s">
        <v>41</v>
      </c>
      <c r="F389" s="19">
        <v>57564931</v>
      </c>
      <c r="G389" s="53">
        <v>573204699750</v>
      </c>
      <c r="H389" s="52">
        <v>1122</v>
      </c>
      <c r="I389" s="5">
        <v>0.1</v>
      </c>
      <c r="J389" s="52" cm="1">
        <f t="array" ref="J38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113</v>
      </c>
      <c r="K389" s="56" t="s">
        <v>921</v>
      </c>
      <c r="L389" s="54" t="s">
        <v>76</v>
      </c>
      <c r="M389" t="s">
        <v>43</v>
      </c>
      <c r="N389" s="15" t="s">
        <v>863</v>
      </c>
      <c r="O389" s="5" t="s">
        <v>922</v>
      </c>
      <c r="P389" s="17" t="s">
        <v>146</v>
      </c>
      <c r="Q389" s="10" t="s">
        <v>923</v>
      </c>
      <c r="R389" s="11">
        <v>45260</v>
      </c>
      <c r="S389" s="10" t="s">
        <v>48</v>
      </c>
      <c r="T389" s="3" t="str">
        <f>IF(AND(ProtocolosAF[[#This Row],[STATUS]]="APROVADO",ProtocolosAF[[#This Row],[WAIVER]]=""),"Y","")</f>
        <v/>
      </c>
      <c r="U389" t="s">
        <v>927</v>
      </c>
      <c r="V389" s="16" t="str">
        <f t="shared" si="20"/>
        <v>WAFYUHCALDEIRON LIMA/TANIA PAULA</v>
      </c>
      <c r="W389">
        <v>336</v>
      </c>
    </row>
    <row r="390" spans="1:23" hidden="1">
      <c r="A390" s="1">
        <v>45260</v>
      </c>
      <c r="B390" t="s">
        <v>10</v>
      </c>
      <c r="C390" t="s">
        <v>913</v>
      </c>
      <c r="D390" s="23" t="s">
        <v>914</v>
      </c>
      <c r="E390" t="s">
        <v>41</v>
      </c>
      <c r="F390" s="19"/>
      <c r="G390" s="53"/>
      <c r="H390" s="52">
        <v>1375</v>
      </c>
      <c r="I390" s="5">
        <v>0.1</v>
      </c>
      <c r="J390" s="52" t="str" cm="1">
        <f t="array" ref="J39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90" s="56" t="s">
        <v>345</v>
      </c>
      <c r="L390" s="54" t="s">
        <v>76</v>
      </c>
      <c r="M390" t="s">
        <v>100</v>
      </c>
      <c r="N390" s="15" t="s">
        <v>863</v>
      </c>
      <c r="O390" s="5" t="s">
        <v>915</v>
      </c>
      <c r="P390" s="17" t="s">
        <v>69</v>
      </c>
      <c r="Q390" s="10"/>
      <c r="R390" s="11"/>
      <c r="S390" s="10"/>
      <c r="T390" s="3" t="str">
        <f>IF(AND(ProtocolosAF[[#This Row],[STATUS]]="APROVADO",ProtocolosAF[[#This Row],[WAIVER]]=""),"Y","")</f>
        <v/>
      </c>
      <c r="U390" t="s">
        <v>916</v>
      </c>
      <c r="V390" s="16" t="str">
        <f t="shared" si="20"/>
        <v>DXSKXVGUEBARRA/GISLEINE MRS</v>
      </c>
      <c r="W390">
        <v>338</v>
      </c>
    </row>
    <row r="391" spans="1:23" hidden="1">
      <c r="A391" s="1">
        <v>45260</v>
      </c>
      <c r="B391" t="s">
        <v>10</v>
      </c>
      <c r="C391" t="s">
        <v>913</v>
      </c>
      <c r="D391" s="23" t="s">
        <v>914</v>
      </c>
      <c r="E391" t="s">
        <v>41</v>
      </c>
      <c r="F391" s="19"/>
      <c r="G391" s="53"/>
      <c r="H391" s="52">
        <v>1375</v>
      </c>
      <c r="I391" s="5">
        <v>0.1</v>
      </c>
      <c r="J391" s="52" t="str" cm="1">
        <f t="array" ref="J39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91" s="56" t="s">
        <v>345</v>
      </c>
      <c r="L391" s="54" t="s">
        <v>76</v>
      </c>
      <c r="M391" t="s">
        <v>100</v>
      </c>
      <c r="N391" s="15" t="s">
        <v>863</v>
      </c>
      <c r="O391" s="5" t="s">
        <v>915</v>
      </c>
      <c r="P391" s="17" t="s">
        <v>69</v>
      </c>
      <c r="Q391" s="10"/>
      <c r="R391" s="11"/>
      <c r="S391" s="10"/>
      <c r="T391" s="3" t="str">
        <f>IF(AND(ProtocolosAF[[#This Row],[STATUS]]="APROVADO",ProtocolosAF[[#This Row],[WAIVER]]=""),"Y","")</f>
        <v/>
      </c>
      <c r="U391" t="s">
        <v>917</v>
      </c>
      <c r="V391" s="16" t="str">
        <f t="shared" ref="V391:V454" si="21">_xlfn.CONCAT(C391,U391)</f>
        <v>DXSKXVGUEBARRA/HENRIQUE MR</v>
      </c>
      <c r="W391">
        <v>338</v>
      </c>
    </row>
    <row r="392" spans="1:23" hidden="1">
      <c r="A392" s="1">
        <v>45260</v>
      </c>
      <c r="B392" t="s">
        <v>10</v>
      </c>
      <c r="C392" t="s">
        <v>913</v>
      </c>
      <c r="D392" s="23" t="s">
        <v>914</v>
      </c>
      <c r="E392" t="s">
        <v>41</v>
      </c>
      <c r="F392" s="19"/>
      <c r="G392" s="53"/>
      <c r="H392" s="52">
        <v>1375</v>
      </c>
      <c r="I392" s="5">
        <v>0.1</v>
      </c>
      <c r="J392" s="52" t="str" cm="1">
        <f t="array" ref="J39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392" s="56" t="s">
        <v>345</v>
      </c>
      <c r="L392" s="54" t="s">
        <v>76</v>
      </c>
      <c r="M392" t="s">
        <v>100</v>
      </c>
      <c r="N392" s="15" t="s">
        <v>863</v>
      </c>
      <c r="O392" s="5" t="s">
        <v>915</v>
      </c>
      <c r="P392" s="17" t="s">
        <v>69</v>
      </c>
      <c r="Q392" s="10"/>
      <c r="R392" s="11"/>
      <c r="S392" s="10"/>
      <c r="T392" s="3" t="str">
        <f>IF(AND(ProtocolosAF[[#This Row],[STATUS]]="APROVADO",ProtocolosAF[[#This Row],[WAIVER]]=""),"Y","")</f>
        <v/>
      </c>
      <c r="U392" t="s">
        <v>918</v>
      </c>
      <c r="V392" s="16" t="str">
        <f t="shared" si="21"/>
        <v>DXSKXVGUEBARRA/LARA MRS</v>
      </c>
      <c r="W392">
        <v>338</v>
      </c>
    </row>
    <row r="393" spans="1:23" hidden="1">
      <c r="A393" s="1">
        <v>45261</v>
      </c>
      <c r="B393" t="s">
        <v>10</v>
      </c>
      <c r="C393" t="s">
        <v>876</v>
      </c>
      <c r="D393" s="23" t="s">
        <v>877</v>
      </c>
      <c r="E393" t="s">
        <v>73</v>
      </c>
      <c r="F393" s="19">
        <v>57994602</v>
      </c>
      <c r="G393" s="53">
        <v>574200484964</v>
      </c>
      <c r="H393" s="52">
        <v>179</v>
      </c>
      <c r="I393" s="5" t="s">
        <v>74</v>
      </c>
      <c r="J393" s="52" cm="1">
        <f t="array" ref="J39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179</v>
      </c>
      <c r="K393" s="56" t="s">
        <v>306</v>
      </c>
      <c r="L393" s="54" t="s">
        <v>172</v>
      </c>
      <c r="M393" t="s">
        <v>43</v>
      </c>
      <c r="N393" s="15" t="s">
        <v>863</v>
      </c>
      <c r="O393" s="5" t="s">
        <v>78</v>
      </c>
      <c r="P393" s="17" t="s">
        <v>255</v>
      </c>
      <c r="Q393" s="10" t="s">
        <v>291</v>
      </c>
      <c r="R393" s="11">
        <v>45261</v>
      </c>
      <c r="S393" s="10" t="s">
        <v>520</v>
      </c>
      <c r="T393" s="3" t="str">
        <f>IF(AND(ProtocolosAF[[#This Row],[STATUS]]="APROVADO",ProtocolosAF[[#This Row],[WAIVER]]=""),"Y","")</f>
        <v/>
      </c>
      <c r="U393" t="s">
        <v>928</v>
      </c>
      <c r="V393" s="16" t="str">
        <f t="shared" si="21"/>
        <v>LLNDYNSALLUM NAHAS/ISABELLA TERESA</v>
      </c>
      <c r="W393">
        <v>337</v>
      </c>
    </row>
    <row r="394" spans="1:23" hidden="1">
      <c r="A394" s="1">
        <v>45261</v>
      </c>
      <c r="B394" t="s">
        <v>10</v>
      </c>
      <c r="C394" t="s">
        <v>876</v>
      </c>
      <c r="D394" s="23" t="s">
        <v>877</v>
      </c>
      <c r="E394" t="s">
        <v>73</v>
      </c>
      <c r="F394" s="19">
        <v>57994602</v>
      </c>
      <c r="G394" s="53">
        <v>574200484965</v>
      </c>
      <c r="H394" s="52">
        <v>179</v>
      </c>
      <c r="I394" s="5" t="s">
        <v>74</v>
      </c>
      <c r="J394" s="52" cm="1">
        <f t="array" ref="J39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179</v>
      </c>
      <c r="K394" s="56" t="s">
        <v>306</v>
      </c>
      <c r="L394" s="54" t="s">
        <v>172</v>
      </c>
      <c r="M394" t="s">
        <v>43</v>
      </c>
      <c r="N394" s="15" t="s">
        <v>863</v>
      </c>
      <c r="O394" s="5" t="s">
        <v>78</v>
      </c>
      <c r="P394" s="17" t="s">
        <v>255</v>
      </c>
      <c r="Q394" s="10" t="s">
        <v>291</v>
      </c>
      <c r="R394" s="11">
        <v>45261</v>
      </c>
      <c r="S394" s="10" t="s">
        <v>520</v>
      </c>
      <c r="T394" s="3" t="str">
        <f>IF(AND(ProtocolosAF[[#This Row],[STATUS]]="APROVADO",ProtocolosAF[[#This Row],[WAIVER]]=""),"Y","")</f>
        <v/>
      </c>
      <c r="U394" t="s">
        <v>929</v>
      </c>
      <c r="V394" s="16" t="str">
        <f t="shared" si="21"/>
        <v>LLNDYNBARROS BARRETO AIDAR/FELIPE</v>
      </c>
      <c r="W394">
        <v>337</v>
      </c>
    </row>
    <row r="395" spans="1:23" hidden="1">
      <c r="A395" s="1">
        <v>45261</v>
      </c>
      <c r="B395" t="s">
        <v>10</v>
      </c>
      <c r="C395" t="s">
        <v>930</v>
      </c>
      <c r="D395" s="23" t="s">
        <v>930</v>
      </c>
      <c r="E395" t="s">
        <v>41</v>
      </c>
      <c r="F395" s="19">
        <v>57564931</v>
      </c>
      <c r="G395" s="53">
        <v>573542114449</v>
      </c>
      <c r="H395" s="52">
        <v>1256</v>
      </c>
      <c r="I395" s="5">
        <v>0.06</v>
      </c>
      <c r="J395" s="52" cm="1">
        <f t="array" ref="J39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76</v>
      </c>
      <c r="K395" s="56" t="s">
        <v>345</v>
      </c>
      <c r="L395" s="54" t="s">
        <v>76</v>
      </c>
      <c r="M395" t="s">
        <v>43</v>
      </c>
      <c r="N395" s="15" t="s">
        <v>863</v>
      </c>
      <c r="O395" s="5" t="s">
        <v>915</v>
      </c>
      <c r="P395" s="17" t="s">
        <v>69</v>
      </c>
      <c r="Q395" s="10" t="s">
        <v>743</v>
      </c>
      <c r="R395" s="11">
        <v>45264</v>
      </c>
      <c r="S395" s="10" t="s">
        <v>48</v>
      </c>
      <c r="T395" s="3" t="str">
        <f>IF(AND(ProtocolosAF[[#This Row],[STATUS]]="APROVADO",ProtocolosAF[[#This Row],[WAIVER]]=""),"Y","")</f>
        <v/>
      </c>
      <c r="U395" t="s">
        <v>916</v>
      </c>
      <c r="V395" s="16" t="str">
        <f t="shared" si="21"/>
        <v>38SQV8GUEBARRA/GISLEINE MRS</v>
      </c>
      <c r="W395">
        <v>340</v>
      </c>
    </row>
    <row r="396" spans="1:23" hidden="1">
      <c r="A396" s="1">
        <v>45261</v>
      </c>
      <c r="B396" t="s">
        <v>10</v>
      </c>
      <c r="C396" t="s">
        <v>930</v>
      </c>
      <c r="D396" s="23" t="s">
        <v>930</v>
      </c>
      <c r="E396" t="s">
        <v>41</v>
      </c>
      <c r="F396" s="19">
        <v>57564931</v>
      </c>
      <c r="G396" s="53">
        <v>573542114450</v>
      </c>
      <c r="H396" s="52">
        <v>1256</v>
      </c>
      <c r="I396" s="5">
        <v>0.06</v>
      </c>
      <c r="J396" s="52" cm="1">
        <f t="array" ref="J39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76</v>
      </c>
      <c r="K396" s="56" t="s">
        <v>345</v>
      </c>
      <c r="L396" s="54" t="s">
        <v>76</v>
      </c>
      <c r="M396" t="s">
        <v>43</v>
      </c>
      <c r="N396" s="15" t="s">
        <v>863</v>
      </c>
      <c r="O396" s="5" t="s">
        <v>915</v>
      </c>
      <c r="P396" s="17" t="s">
        <v>69</v>
      </c>
      <c r="Q396" s="10" t="s">
        <v>743</v>
      </c>
      <c r="R396" s="11">
        <v>45264</v>
      </c>
      <c r="S396" s="10" t="s">
        <v>48</v>
      </c>
      <c r="T396" s="3" t="str">
        <f>IF(AND(ProtocolosAF[[#This Row],[STATUS]]="APROVADO",ProtocolosAF[[#This Row],[WAIVER]]=""),"Y","")</f>
        <v/>
      </c>
      <c r="U396" t="s">
        <v>917</v>
      </c>
      <c r="V396" s="16" t="str">
        <f t="shared" si="21"/>
        <v>38SQV8GUEBARRA/HENRIQUE MR</v>
      </c>
      <c r="W396">
        <v>340</v>
      </c>
    </row>
    <row r="397" spans="1:23" hidden="1">
      <c r="A397" s="1">
        <v>45261</v>
      </c>
      <c r="B397" t="s">
        <v>10</v>
      </c>
      <c r="C397" t="s">
        <v>930</v>
      </c>
      <c r="D397" s="23" t="s">
        <v>930</v>
      </c>
      <c r="E397" t="s">
        <v>41</v>
      </c>
      <c r="F397" s="19">
        <v>57564931</v>
      </c>
      <c r="G397" s="53">
        <v>573542114451</v>
      </c>
      <c r="H397" s="52">
        <v>1256</v>
      </c>
      <c r="I397" s="5">
        <v>0.06</v>
      </c>
      <c r="J397" s="52" cm="1">
        <f t="array" ref="J39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76</v>
      </c>
      <c r="K397" s="56" t="s">
        <v>345</v>
      </c>
      <c r="L397" s="54" t="s">
        <v>76</v>
      </c>
      <c r="M397" t="s">
        <v>43</v>
      </c>
      <c r="N397" s="15" t="s">
        <v>863</v>
      </c>
      <c r="O397" s="5" t="s">
        <v>915</v>
      </c>
      <c r="P397" s="17" t="s">
        <v>69</v>
      </c>
      <c r="Q397" s="10" t="s">
        <v>743</v>
      </c>
      <c r="R397" s="11">
        <v>45264</v>
      </c>
      <c r="S397" s="10" t="s">
        <v>48</v>
      </c>
      <c r="T397" s="3" t="str">
        <f>IF(AND(ProtocolosAF[[#This Row],[STATUS]]="APROVADO",ProtocolosAF[[#This Row],[WAIVER]]=""),"Y","")</f>
        <v/>
      </c>
      <c r="U397" t="s">
        <v>918</v>
      </c>
      <c r="V397" s="16" t="str">
        <f t="shared" si="21"/>
        <v>38SQV8GUEBARRA/LARA MRS</v>
      </c>
      <c r="W397">
        <v>340</v>
      </c>
    </row>
    <row r="398" spans="1:23" hidden="1">
      <c r="A398" s="1">
        <v>45265</v>
      </c>
      <c r="B398" t="s">
        <v>10</v>
      </c>
      <c r="C398" t="s">
        <v>931</v>
      </c>
      <c r="D398" s="23" t="s">
        <v>932</v>
      </c>
      <c r="E398" t="s">
        <v>41</v>
      </c>
      <c r="F398" s="19">
        <v>57564931</v>
      </c>
      <c r="G398" s="53">
        <v>573204726752</v>
      </c>
      <c r="H398" s="52">
        <v>2629</v>
      </c>
      <c r="I398" s="5">
        <v>0.12</v>
      </c>
      <c r="J398" s="52" cm="1">
        <f t="array" ref="J39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316</v>
      </c>
      <c r="K398" s="56" t="s">
        <v>105</v>
      </c>
      <c r="L398" s="54" t="s">
        <v>76</v>
      </c>
      <c r="M398" t="s">
        <v>43</v>
      </c>
      <c r="N398" s="15" t="s">
        <v>863</v>
      </c>
      <c r="O398" s="5" t="s">
        <v>484</v>
      </c>
      <c r="P398" s="17" t="s">
        <v>46</v>
      </c>
      <c r="Q398" s="10" t="s">
        <v>933</v>
      </c>
      <c r="R398" s="11">
        <v>45265</v>
      </c>
      <c r="S398" s="10" t="s">
        <v>48</v>
      </c>
      <c r="T398" s="3" t="str">
        <f>IF(AND(ProtocolosAF[[#This Row],[STATUS]]="APROVADO",ProtocolosAF[[#This Row],[WAIVER]]=""),"Y","")</f>
        <v/>
      </c>
      <c r="U398" t="s">
        <v>934</v>
      </c>
      <c r="V398" s="16" t="str">
        <f t="shared" si="21"/>
        <v>KGPDJXRUSSO/LILIANA</v>
      </c>
      <c r="W398">
        <v>341</v>
      </c>
    </row>
    <row r="399" spans="1:23" hidden="1">
      <c r="A399" s="1">
        <v>45265</v>
      </c>
      <c r="B399" t="s">
        <v>10</v>
      </c>
      <c r="C399" t="s">
        <v>931</v>
      </c>
      <c r="D399" s="23" t="s">
        <v>932</v>
      </c>
      <c r="E399" t="s">
        <v>41</v>
      </c>
      <c r="F399" s="19">
        <v>57564931</v>
      </c>
      <c r="G399" s="53">
        <v>573204726753</v>
      </c>
      <c r="H399" s="52">
        <v>2629</v>
      </c>
      <c r="I399" s="5">
        <v>0.12</v>
      </c>
      <c r="J399" s="52" cm="1">
        <f t="array" ref="J39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316</v>
      </c>
      <c r="K399" s="56" t="s">
        <v>105</v>
      </c>
      <c r="L399" s="54" t="s">
        <v>76</v>
      </c>
      <c r="M399" t="s">
        <v>43</v>
      </c>
      <c r="N399" s="15" t="s">
        <v>863</v>
      </c>
      <c r="O399" s="5" t="s">
        <v>484</v>
      </c>
      <c r="P399" s="17" t="s">
        <v>46</v>
      </c>
      <c r="Q399" s="10" t="s">
        <v>933</v>
      </c>
      <c r="R399" s="11">
        <v>45265</v>
      </c>
      <c r="S399" s="10" t="s">
        <v>48</v>
      </c>
      <c r="T399" s="3" t="str">
        <f>IF(AND(ProtocolosAF[[#This Row],[STATUS]]="APROVADO",ProtocolosAF[[#This Row],[WAIVER]]=""),"Y","")</f>
        <v/>
      </c>
      <c r="U399" t="s">
        <v>935</v>
      </c>
      <c r="V399" s="16" t="str">
        <f t="shared" si="21"/>
        <v>KGPDJXBRANDAO DE GIACOMO/MARIA CRISTINA</v>
      </c>
      <c r="W399">
        <v>341</v>
      </c>
    </row>
    <row r="400" spans="1:23" hidden="1">
      <c r="A400" s="1">
        <v>45268</v>
      </c>
      <c r="B400" t="s">
        <v>10</v>
      </c>
      <c r="C400" t="s">
        <v>936</v>
      </c>
      <c r="D400" s="23" t="s">
        <v>936</v>
      </c>
      <c r="E400" t="s">
        <v>73</v>
      </c>
      <c r="F400" s="19">
        <v>57994602</v>
      </c>
      <c r="G400" s="53">
        <v>574207248707</v>
      </c>
      <c r="H400" s="52">
        <v>179</v>
      </c>
      <c r="I400" s="5" t="s">
        <v>74</v>
      </c>
      <c r="J400" s="52" cm="1">
        <f t="array" ref="J40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179</v>
      </c>
      <c r="K400" s="56" t="s">
        <v>306</v>
      </c>
      <c r="L400" s="54" t="s">
        <v>76</v>
      </c>
      <c r="M400" t="s">
        <v>43</v>
      </c>
      <c r="N400" s="15" t="s">
        <v>863</v>
      </c>
      <c r="O400" s="5" t="s">
        <v>307</v>
      </c>
      <c r="P400" s="17" t="s">
        <v>503</v>
      </c>
      <c r="Q400" s="10" t="s">
        <v>291</v>
      </c>
      <c r="R400" s="11">
        <v>45271</v>
      </c>
      <c r="S400" s="10" t="s">
        <v>520</v>
      </c>
      <c r="T400" s="3" t="str">
        <f>IF(AND(ProtocolosAF[[#This Row],[STATUS]]="APROVADO",ProtocolosAF[[#This Row],[WAIVER]]=""),"Y","")</f>
        <v/>
      </c>
      <c r="U400" t="s">
        <v>937</v>
      </c>
      <c r="V400" s="16" t="str">
        <f t="shared" si="21"/>
        <v>32LR8BSCHULTZ/JULIANA</v>
      </c>
      <c r="W400">
        <v>346</v>
      </c>
    </row>
    <row r="401" spans="1:23" hidden="1">
      <c r="A401" s="1">
        <v>45271</v>
      </c>
      <c r="B401" t="s">
        <v>10</v>
      </c>
      <c r="C401" t="s">
        <v>938</v>
      </c>
      <c r="D401" s="23" t="s">
        <v>939</v>
      </c>
      <c r="E401" t="s">
        <v>41</v>
      </c>
      <c r="F401" s="19">
        <v>57564931</v>
      </c>
      <c r="G401" s="53">
        <v>573204755282</v>
      </c>
      <c r="H401" s="52">
        <v>2878</v>
      </c>
      <c r="I401" s="5">
        <v>0.12</v>
      </c>
      <c r="J401" s="52" cm="1">
        <f t="array" ref="J40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346</v>
      </c>
      <c r="K401" s="56" t="s">
        <v>189</v>
      </c>
      <c r="L401" s="54" t="s">
        <v>76</v>
      </c>
      <c r="M401" t="s">
        <v>43</v>
      </c>
      <c r="N401" s="15" t="s">
        <v>863</v>
      </c>
      <c r="O401" s="5" t="s">
        <v>249</v>
      </c>
      <c r="P401" s="17" t="s">
        <v>69</v>
      </c>
      <c r="Q401" s="10" t="s">
        <v>940</v>
      </c>
      <c r="R401" s="11">
        <v>45272</v>
      </c>
      <c r="S401" s="10" t="s">
        <v>48</v>
      </c>
      <c r="T401" s="3" t="str">
        <f>IF(AND(ProtocolosAF[[#This Row],[STATUS]]="APROVADO",ProtocolosAF[[#This Row],[WAIVER]]=""),"Y","")</f>
        <v/>
      </c>
      <c r="U401" t="s">
        <v>941</v>
      </c>
      <c r="V401" s="16" t="str">
        <f t="shared" si="21"/>
        <v>WGXMMBSAAB/NELY</v>
      </c>
      <c r="W401">
        <v>348</v>
      </c>
    </row>
    <row r="402" spans="1:23" hidden="1">
      <c r="A402" s="1">
        <v>45271</v>
      </c>
      <c r="B402" t="s">
        <v>10</v>
      </c>
      <c r="C402" t="s">
        <v>938</v>
      </c>
      <c r="D402" s="23" t="s">
        <v>939</v>
      </c>
      <c r="E402" t="s">
        <v>41</v>
      </c>
      <c r="F402" s="19">
        <v>57564931</v>
      </c>
      <c r="G402" s="53">
        <v>573204755280</v>
      </c>
      <c r="H402" s="52">
        <v>2878</v>
      </c>
      <c r="I402" s="5">
        <v>0.12</v>
      </c>
      <c r="J402" s="52" cm="1">
        <f t="array" ref="J40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346</v>
      </c>
      <c r="K402" s="56" t="s">
        <v>189</v>
      </c>
      <c r="L402" s="54" t="s">
        <v>76</v>
      </c>
      <c r="M402" t="s">
        <v>43</v>
      </c>
      <c r="N402" s="15" t="s">
        <v>863</v>
      </c>
      <c r="O402" s="5" t="s">
        <v>249</v>
      </c>
      <c r="P402" s="17" t="s">
        <v>69</v>
      </c>
      <c r="Q402" s="10" t="s">
        <v>940</v>
      </c>
      <c r="R402" s="11">
        <v>45272</v>
      </c>
      <c r="S402" s="10" t="s">
        <v>48</v>
      </c>
      <c r="T402" s="3" t="str">
        <f>IF(AND(ProtocolosAF[[#This Row],[STATUS]]="APROVADO",ProtocolosAF[[#This Row],[WAIVER]]=""),"Y","")</f>
        <v/>
      </c>
      <c r="U402" t="s">
        <v>942</v>
      </c>
      <c r="V402" s="16" t="str">
        <f t="shared" si="21"/>
        <v>WGXMMBSAAB/JOSE</v>
      </c>
      <c r="W402">
        <v>348</v>
      </c>
    </row>
    <row r="403" spans="1:23" hidden="1">
      <c r="A403" s="1">
        <v>45271</v>
      </c>
      <c r="B403" t="s">
        <v>10</v>
      </c>
      <c r="C403" t="s">
        <v>943</v>
      </c>
      <c r="D403" s="23" t="s">
        <v>944</v>
      </c>
      <c r="E403" t="s">
        <v>73</v>
      </c>
      <c r="F403" s="19">
        <v>57994602</v>
      </c>
      <c r="G403" s="53">
        <v>574207248713</v>
      </c>
      <c r="H403" s="52">
        <v>178</v>
      </c>
      <c r="I403" s="5" t="s">
        <v>74</v>
      </c>
      <c r="J403" s="52" cm="1">
        <f t="array" ref="J40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</v>
      </c>
      <c r="K403" s="56" t="s">
        <v>144</v>
      </c>
      <c r="L403" s="54" t="s">
        <v>172</v>
      </c>
      <c r="M403" t="s">
        <v>43</v>
      </c>
      <c r="N403" s="15" t="s">
        <v>863</v>
      </c>
      <c r="O403" s="5" t="s">
        <v>78</v>
      </c>
      <c r="P403" s="17" t="s">
        <v>255</v>
      </c>
      <c r="Q403" s="10" t="s">
        <v>222</v>
      </c>
      <c r="R403" s="11">
        <v>45279</v>
      </c>
      <c r="S403" s="10" t="s">
        <v>48</v>
      </c>
      <c r="T403" s="3" t="str">
        <f>IF(AND(ProtocolosAF[[#This Row],[STATUS]]="APROVADO",ProtocolosAF[[#This Row],[WAIVER]]=""),"Y","")</f>
        <v/>
      </c>
      <c r="U403" t="s">
        <v>945</v>
      </c>
      <c r="V403" s="16" t="str">
        <f t="shared" si="21"/>
        <v>HPBAHXLEONY CAMPOS/LETICIA MAIA</v>
      </c>
      <c r="W403">
        <v>349</v>
      </c>
    </row>
    <row r="404" spans="1:23" hidden="1">
      <c r="A404" s="1">
        <v>45271</v>
      </c>
      <c r="B404" t="s">
        <v>10</v>
      </c>
      <c r="C404" t="s">
        <v>943</v>
      </c>
      <c r="D404" s="23" t="s">
        <v>944</v>
      </c>
      <c r="E404" t="s">
        <v>73</v>
      </c>
      <c r="F404" s="19">
        <v>57994602</v>
      </c>
      <c r="G404" s="53">
        <v>574207248714</v>
      </c>
      <c r="H404" s="52">
        <v>178</v>
      </c>
      <c r="I404" s="5" t="s">
        <v>74</v>
      </c>
      <c r="J404" s="52" cm="1">
        <f t="array" ref="J40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</v>
      </c>
      <c r="K404" s="56" t="s">
        <v>144</v>
      </c>
      <c r="L404" s="54" t="s">
        <v>172</v>
      </c>
      <c r="M404" t="s">
        <v>43</v>
      </c>
      <c r="N404" s="15" t="s">
        <v>863</v>
      </c>
      <c r="O404" s="5" t="s">
        <v>78</v>
      </c>
      <c r="P404" s="17" t="s">
        <v>255</v>
      </c>
      <c r="Q404" s="10" t="s">
        <v>222</v>
      </c>
      <c r="R404" s="11">
        <v>45279</v>
      </c>
      <c r="S404" s="10" t="s">
        <v>48</v>
      </c>
      <c r="T404" s="3" t="str">
        <f>IF(AND(ProtocolosAF[[#This Row],[STATUS]]="APROVADO",ProtocolosAF[[#This Row],[WAIVER]]=""),"Y","")</f>
        <v/>
      </c>
      <c r="U404" t="s">
        <v>946</v>
      </c>
      <c r="V404" s="16" t="str">
        <f t="shared" si="21"/>
        <v>HPBAHXRODRIGUES CAMPOS/PEDRO HENRIQUE</v>
      </c>
      <c r="W404">
        <v>349</v>
      </c>
    </row>
    <row r="405" spans="1:23" hidden="1">
      <c r="A405" s="1">
        <v>45271</v>
      </c>
      <c r="B405" t="s">
        <v>10</v>
      </c>
      <c r="C405" t="s">
        <v>930</v>
      </c>
      <c r="D405" s="23" t="s">
        <v>930</v>
      </c>
      <c r="E405" t="s">
        <v>73</v>
      </c>
      <c r="F405" s="19">
        <v>57994602</v>
      </c>
      <c r="G405" s="53">
        <v>574207248716</v>
      </c>
      <c r="H405" s="52">
        <v>42</v>
      </c>
      <c r="I405" s="5" t="s">
        <v>74</v>
      </c>
      <c r="J405" s="52" cm="1">
        <f t="array" ref="J40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42</v>
      </c>
      <c r="K405" s="56" t="s">
        <v>144</v>
      </c>
      <c r="L405" s="54" t="s">
        <v>172</v>
      </c>
      <c r="M405" t="s">
        <v>43</v>
      </c>
      <c r="N405" s="15" t="s">
        <v>863</v>
      </c>
      <c r="O405" s="5" t="s">
        <v>915</v>
      </c>
      <c r="P405" s="17" t="s">
        <v>69</v>
      </c>
      <c r="Q405" s="10" t="s">
        <v>291</v>
      </c>
      <c r="R405" s="11">
        <v>45273</v>
      </c>
      <c r="S405" s="10" t="s">
        <v>520</v>
      </c>
      <c r="T405" s="3" t="str">
        <f>IF(AND(ProtocolosAF[[#This Row],[STATUS]]="APROVADO",ProtocolosAF[[#This Row],[WAIVER]]=""),"Y","")</f>
        <v/>
      </c>
      <c r="U405" t="s">
        <v>916</v>
      </c>
      <c r="V405" s="16" t="str">
        <f t="shared" si="21"/>
        <v>38SQV8GUEBARRA/GISLEINE MRS</v>
      </c>
      <c r="W405">
        <v>351</v>
      </c>
    </row>
    <row r="406" spans="1:23" hidden="1">
      <c r="A406" s="1">
        <v>45271</v>
      </c>
      <c r="B406" t="s">
        <v>10</v>
      </c>
      <c r="C406" t="s">
        <v>930</v>
      </c>
      <c r="D406" s="23" t="s">
        <v>930</v>
      </c>
      <c r="E406" t="s">
        <v>73</v>
      </c>
      <c r="F406" s="19">
        <v>57994602</v>
      </c>
      <c r="G406" s="53">
        <v>574207248717</v>
      </c>
      <c r="H406" s="52">
        <v>42</v>
      </c>
      <c r="I406" s="5" t="s">
        <v>74</v>
      </c>
      <c r="J406" s="52" cm="1">
        <f t="array" ref="J40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42</v>
      </c>
      <c r="K406" s="56" t="s">
        <v>144</v>
      </c>
      <c r="L406" s="54" t="s">
        <v>172</v>
      </c>
      <c r="M406" t="s">
        <v>43</v>
      </c>
      <c r="N406" s="15" t="s">
        <v>863</v>
      </c>
      <c r="O406" s="5" t="s">
        <v>915</v>
      </c>
      <c r="P406" s="17" t="s">
        <v>69</v>
      </c>
      <c r="Q406" s="10" t="s">
        <v>291</v>
      </c>
      <c r="R406" s="11">
        <v>45273</v>
      </c>
      <c r="S406" s="10" t="s">
        <v>520</v>
      </c>
      <c r="T406" s="3" t="str">
        <f>IF(AND(ProtocolosAF[[#This Row],[STATUS]]="APROVADO",ProtocolosAF[[#This Row],[WAIVER]]=""),"Y","")</f>
        <v/>
      </c>
      <c r="U406" t="s">
        <v>917</v>
      </c>
      <c r="V406" s="16" t="str">
        <f t="shared" si="21"/>
        <v>38SQV8GUEBARRA/HENRIQUE MR</v>
      </c>
      <c r="W406">
        <v>351</v>
      </c>
    </row>
    <row r="407" spans="1:23" hidden="1">
      <c r="A407" s="1">
        <v>45271</v>
      </c>
      <c r="B407" t="s">
        <v>10</v>
      </c>
      <c r="C407" t="s">
        <v>930</v>
      </c>
      <c r="D407" s="23" t="s">
        <v>930</v>
      </c>
      <c r="E407" t="s">
        <v>73</v>
      </c>
      <c r="F407" s="19">
        <v>57994602</v>
      </c>
      <c r="G407" s="53">
        <v>574207248718</v>
      </c>
      <c r="H407" s="52">
        <v>42</v>
      </c>
      <c r="I407" s="5" t="s">
        <v>74</v>
      </c>
      <c r="J407" s="52" cm="1">
        <f t="array" ref="J40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42</v>
      </c>
      <c r="K407" s="56" t="s">
        <v>144</v>
      </c>
      <c r="L407" s="54" t="s">
        <v>172</v>
      </c>
      <c r="M407" t="s">
        <v>43</v>
      </c>
      <c r="N407" s="15" t="s">
        <v>863</v>
      </c>
      <c r="O407" s="5" t="s">
        <v>915</v>
      </c>
      <c r="P407" s="17" t="s">
        <v>69</v>
      </c>
      <c r="Q407" s="10" t="s">
        <v>291</v>
      </c>
      <c r="R407" s="11">
        <v>45273</v>
      </c>
      <c r="S407" s="10" t="s">
        <v>520</v>
      </c>
      <c r="T407" s="3" t="str">
        <f>IF(AND(ProtocolosAF[[#This Row],[STATUS]]="APROVADO",ProtocolosAF[[#This Row],[WAIVER]]=""),"Y","")</f>
        <v/>
      </c>
      <c r="U407" t="s">
        <v>918</v>
      </c>
      <c r="V407" s="16" t="str">
        <f t="shared" si="21"/>
        <v>38SQV8GUEBARRA/LARA MRS</v>
      </c>
      <c r="W407">
        <v>351</v>
      </c>
    </row>
    <row r="408" spans="1:23" hidden="1">
      <c r="A408" s="1">
        <v>45271</v>
      </c>
      <c r="B408" t="s">
        <v>10</v>
      </c>
      <c r="C408" t="s">
        <v>947</v>
      </c>
      <c r="D408" s="23" t="s">
        <v>947</v>
      </c>
      <c r="E408" t="s">
        <v>41</v>
      </c>
      <c r="F408" s="19">
        <v>57564931</v>
      </c>
      <c r="G408" s="53">
        <v>573542165331</v>
      </c>
      <c r="H408" s="52">
        <v>758</v>
      </c>
      <c r="I408" s="5">
        <v>0.2</v>
      </c>
      <c r="J408" s="52" cm="1">
        <f t="array" ref="J40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152</v>
      </c>
      <c r="K408" s="56" t="s">
        <v>345</v>
      </c>
      <c r="L408" s="54" t="s">
        <v>76</v>
      </c>
      <c r="M408" t="s">
        <v>43</v>
      </c>
      <c r="N408" s="15" t="s">
        <v>863</v>
      </c>
      <c r="O408" s="5" t="s">
        <v>948</v>
      </c>
      <c r="P408" s="17" t="s">
        <v>69</v>
      </c>
      <c r="Q408" s="10" t="s">
        <v>743</v>
      </c>
      <c r="R408" s="11">
        <v>45272</v>
      </c>
      <c r="S408" s="10" t="s">
        <v>48</v>
      </c>
      <c r="T408" s="3" t="str">
        <f>IF(AND(ProtocolosAF[[#This Row],[STATUS]]="APROVADO",ProtocolosAF[[#This Row],[WAIVER]]=""),"Y","")</f>
        <v/>
      </c>
      <c r="U408" t="s">
        <v>949</v>
      </c>
      <c r="V408" s="16" t="str">
        <f t="shared" si="21"/>
        <v xml:space="preserve">494N7QCIONE SILVA OLIVEIRA/MARCOS	</v>
      </c>
      <c r="W408">
        <v>352</v>
      </c>
    </row>
    <row r="409" spans="1:23" hidden="1">
      <c r="A409" s="1">
        <v>45274</v>
      </c>
      <c r="B409" t="s">
        <v>13</v>
      </c>
      <c r="C409" t="s">
        <v>950</v>
      </c>
      <c r="D409" s="23" t="s">
        <v>951</v>
      </c>
      <c r="E409" t="s">
        <v>41</v>
      </c>
      <c r="F409" s="19"/>
      <c r="G409" s="53"/>
      <c r="H409" s="52">
        <v>1708</v>
      </c>
      <c r="I409" s="5">
        <v>0.1</v>
      </c>
      <c r="J409" s="52" t="str" cm="1">
        <f t="array" ref="J40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09" s="56" t="s">
        <v>151</v>
      </c>
      <c r="L409" s="54" t="s">
        <v>76</v>
      </c>
      <c r="M409" t="s">
        <v>100</v>
      </c>
      <c r="N409" s="15" t="s">
        <v>171</v>
      </c>
      <c r="O409" s="5" t="s">
        <v>724</v>
      </c>
      <c r="P409" s="17" t="s">
        <v>46</v>
      </c>
      <c r="Q409" s="10"/>
      <c r="R409" s="11"/>
      <c r="S409" s="10"/>
      <c r="T409" s="3" t="str">
        <f>IF(AND(ProtocolosAF[[#This Row],[STATUS]]="APROVADO",ProtocolosAF[[#This Row],[WAIVER]]=""),"Y","")</f>
        <v/>
      </c>
      <c r="U409" t="s">
        <v>952</v>
      </c>
      <c r="V409" s="16" t="str">
        <f t="shared" si="21"/>
        <v>IQWVVCSOARES SILVEIRA/BRUNA BEATRICE</v>
      </c>
      <c r="W409">
        <v>354</v>
      </c>
    </row>
    <row r="410" spans="1:23" hidden="1">
      <c r="A410" s="1">
        <v>45274</v>
      </c>
      <c r="B410" t="s">
        <v>13</v>
      </c>
      <c r="C410" t="s">
        <v>953</v>
      </c>
      <c r="D410" s="23" t="s">
        <v>954</v>
      </c>
      <c r="E410" t="s">
        <v>41</v>
      </c>
      <c r="F410" s="19"/>
      <c r="G410" s="53"/>
      <c r="H410" s="52">
        <v>1466</v>
      </c>
      <c r="I410" s="5">
        <v>0.1</v>
      </c>
      <c r="J410" s="52" t="str" cm="1">
        <f t="array" ref="J41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10" s="56" t="s">
        <v>151</v>
      </c>
      <c r="L410" s="54" t="s">
        <v>76</v>
      </c>
      <c r="M410" t="s">
        <v>100</v>
      </c>
      <c r="N410" s="15" t="s">
        <v>171</v>
      </c>
      <c r="O410" s="5" t="s">
        <v>955</v>
      </c>
      <c r="P410" s="17" t="s">
        <v>46</v>
      </c>
      <c r="Q410" s="10"/>
      <c r="R410" s="11"/>
      <c r="S410" s="10"/>
      <c r="T410" s="3" t="str">
        <f>IF(AND(ProtocolosAF[[#This Row],[STATUS]]="APROVADO",ProtocolosAF[[#This Row],[WAIVER]]=""),"Y","")</f>
        <v/>
      </c>
      <c r="U410" t="s">
        <v>956</v>
      </c>
      <c r="V410" s="16" t="str">
        <f t="shared" si="21"/>
        <v>YQXDXUE SILVA/PAULO SERGIO</v>
      </c>
      <c r="W410">
        <v>355</v>
      </c>
    </row>
    <row r="411" spans="1:23" hidden="1">
      <c r="A411" s="1">
        <v>45274</v>
      </c>
      <c r="B411" t="s">
        <v>13</v>
      </c>
      <c r="C411" t="s">
        <v>953</v>
      </c>
      <c r="D411" s="23" t="s">
        <v>954</v>
      </c>
      <c r="E411" t="s">
        <v>41</v>
      </c>
      <c r="F411" s="19"/>
      <c r="G411" s="53"/>
      <c r="H411" s="52">
        <v>1466</v>
      </c>
      <c r="I411" s="5">
        <v>0.1</v>
      </c>
      <c r="J411" s="52" t="str" cm="1">
        <f t="array" ref="J41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11" s="56" t="s">
        <v>151</v>
      </c>
      <c r="L411" s="54" t="s">
        <v>76</v>
      </c>
      <c r="M411" t="s">
        <v>100</v>
      </c>
      <c r="N411" s="15" t="s">
        <v>171</v>
      </c>
      <c r="O411" s="5" t="s">
        <v>955</v>
      </c>
      <c r="P411" s="17" t="s">
        <v>46</v>
      </c>
      <c r="Q411" s="10"/>
      <c r="R411" s="11"/>
      <c r="S411" s="10"/>
      <c r="T411" s="3" t="str">
        <f>IF(AND(ProtocolosAF[[#This Row],[STATUS]]="APROVADO",ProtocolosAF[[#This Row],[WAIVER]]=""),"Y","")</f>
        <v/>
      </c>
      <c r="U411" t="s">
        <v>957</v>
      </c>
      <c r="V411" s="16" t="str">
        <f t="shared" si="21"/>
        <v>YQXDXUDE JESUS FROTA E SILVA/TEREZINHA</v>
      </c>
      <c r="W411">
        <v>355</v>
      </c>
    </row>
    <row r="412" spans="1:23" hidden="1">
      <c r="A412" s="1">
        <v>45274</v>
      </c>
      <c r="B412" t="s">
        <v>13</v>
      </c>
      <c r="C412" t="s">
        <v>958</v>
      </c>
      <c r="D412" s="23" t="s">
        <v>958</v>
      </c>
      <c r="E412" t="s">
        <v>41</v>
      </c>
      <c r="F412" s="19">
        <v>57564931</v>
      </c>
      <c r="G412" s="53">
        <v>573542186937</v>
      </c>
      <c r="H412" s="52">
        <v>6370</v>
      </c>
      <c r="I412" s="5">
        <v>0.08</v>
      </c>
      <c r="J412" s="52" cm="1">
        <f t="array" ref="J41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510</v>
      </c>
      <c r="K412" s="56" t="s">
        <v>151</v>
      </c>
      <c r="L412" s="54" t="s">
        <v>529</v>
      </c>
      <c r="M412" t="s">
        <v>43</v>
      </c>
      <c r="N412" s="15" t="s">
        <v>171</v>
      </c>
      <c r="O412" s="5" t="s">
        <v>959</v>
      </c>
      <c r="P412" s="17" t="s">
        <v>69</v>
      </c>
      <c r="Q412" s="10" t="s">
        <v>168</v>
      </c>
      <c r="R412" s="11">
        <v>45274</v>
      </c>
      <c r="S412" s="10" t="s">
        <v>48</v>
      </c>
      <c r="T412" s="3" t="str">
        <f>IF(AND(ProtocolosAF[[#This Row],[STATUS]]="APROVADO",ProtocolosAF[[#This Row],[WAIVER]]=""),"Y","")</f>
        <v/>
      </c>
      <c r="U412" t="s">
        <v>960</v>
      </c>
      <c r="V412" s="16" t="str">
        <f t="shared" si="21"/>
        <v>2GCTTMBIANCHI/SYMARA</v>
      </c>
      <c r="W412">
        <v>356</v>
      </c>
    </row>
    <row r="413" spans="1:23" hidden="1">
      <c r="A413" s="1">
        <v>45275</v>
      </c>
      <c r="B413" t="s">
        <v>10</v>
      </c>
      <c r="C413" t="s">
        <v>961</v>
      </c>
      <c r="D413" s="23" t="s">
        <v>962</v>
      </c>
      <c r="E413" t="s">
        <v>41</v>
      </c>
      <c r="F413" s="19">
        <v>57564931</v>
      </c>
      <c r="G413" s="53">
        <v>573204781912</v>
      </c>
      <c r="H413" s="52">
        <v>1643</v>
      </c>
      <c r="I413" s="5">
        <v>0.1</v>
      </c>
      <c r="J413" s="52" cm="1">
        <f t="array" ref="J41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165</v>
      </c>
      <c r="K413" s="56" t="s">
        <v>144</v>
      </c>
      <c r="L413" s="54" t="s">
        <v>76</v>
      </c>
      <c r="M413" t="s">
        <v>43</v>
      </c>
      <c r="N413" s="15" t="s">
        <v>171</v>
      </c>
      <c r="O413" s="5" t="s">
        <v>417</v>
      </c>
      <c r="P413" s="17" t="s">
        <v>69</v>
      </c>
      <c r="Q413" s="10" t="s">
        <v>147</v>
      </c>
      <c r="R413" s="11">
        <v>45275</v>
      </c>
      <c r="S413" s="10" t="s">
        <v>48</v>
      </c>
      <c r="T413" s="3" t="str">
        <f>IF(AND(ProtocolosAF[[#This Row],[STATUS]]="APROVADO",ProtocolosAF[[#This Row],[WAIVER]]=""),"Y","")</f>
        <v/>
      </c>
      <c r="U413" t="s">
        <v>963</v>
      </c>
      <c r="V413" s="16" t="str">
        <f t="shared" si="21"/>
        <v>DSHIKNPROFILI/THIAGO</v>
      </c>
      <c r="W413">
        <v>357</v>
      </c>
    </row>
    <row r="414" spans="1:23" hidden="1">
      <c r="A414" s="1">
        <v>45275</v>
      </c>
      <c r="B414" t="s">
        <v>13</v>
      </c>
      <c r="C414" t="s">
        <v>953</v>
      </c>
      <c r="D414" t="s">
        <v>964</v>
      </c>
      <c r="E414" t="s">
        <v>41</v>
      </c>
      <c r="F414" s="19">
        <v>57564931</v>
      </c>
      <c r="G414" s="53">
        <v>573204790078</v>
      </c>
      <c r="H414" s="52">
        <v>1143</v>
      </c>
      <c r="I414" s="5">
        <v>0.1</v>
      </c>
      <c r="J414" s="52" cm="1">
        <f t="array" ref="J41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115</v>
      </c>
      <c r="K414" s="56" t="s">
        <v>151</v>
      </c>
      <c r="L414" s="54" t="s">
        <v>76</v>
      </c>
      <c r="M414" t="s">
        <v>43</v>
      </c>
      <c r="N414" s="15" t="s">
        <v>171</v>
      </c>
      <c r="O414" s="5" t="s">
        <v>955</v>
      </c>
      <c r="P414" s="17" t="s">
        <v>46</v>
      </c>
      <c r="Q414" s="10" t="s">
        <v>168</v>
      </c>
      <c r="R414" s="11">
        <v>45275</v>
      </c>
      <c r="S414" s="10" t="s">
        <v>48</v>
      </c>
      <c r="T414" s="3" t="str">
        <f>IF(AND(ProtocolosAF[[#This Row],[STATUS]]="APROVADO",ProtocolosAF[[#This Row],[WAIVER]]=""),"Y","")</f>
        <v/>
      </c>
      <c r="U414" t="s">
        <v>965</v>
      </c>
      <c r="V414" s="16" t="str">
        <f t="shared" si="21"/>
        <v>YQXDXUSILVA/PAULO SERGIO</v>
      </c>
      <c r="W414">
        <v>358</v>
      </c>
    </row>
    <row r="415" spans="1:23" hidden="1">
      <c r="A415" s="1">
        <v>45275</v>
      </c>
      <c r="B415" t="s">
        <v>13</v>
      </c>
      <c r="C415" t="s">
        <v>953</v>
      </c>
      <c r="D415" t="s">
        <v>964</v>
      </c>
      <c r="E415" t="s">
        <v>41</v>
      </c>
      <c r="F415" s="19">
        <v>57564931</v>
      </c>
      <c r="G415" s="53">
        <v>573204790080</v>
      </c>
      <c r="H415" s="52">
        <v>1143</v>
      </c>
      <c r="I415" s="5">
        <v>0.1</v>
      </c>
      <c r="J415" s="52" cm="1">
        <f t="array" ref="J41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115</v>
      </c>
      <c r="K415" s="56" t="s">
        <v>151</v>
      </c>
      <c r="L415" s="54" t="s">
        <v>76</v>
      </c>
      <c r="M415" t="s">
        <v>43</v>
      </c>
      <c r="N415" s="15" t="s">
        <v>171</v>
      </c>
      <c r="O415" s="5" t="s">
        <v>955</v>
      </c>
      <c r="P415" s="17" t="s">
        <v>46</v>
      </c>
      <c r="Q415" s="10" t="s">
        <v>168</v>
      </c>
      <c r="R415" s="11">
        <v>45275</v>
      </c>
      <c r="S415" s="10" t="s">
        <v>48</v>
      </c>
      <c r="T415" s="3" t="str">
        <f>IF(AND(ProtocolosAF[[#This Row],[STATUS]]="APROVADO",ProtocolosAF[[#This Row],[WAIVER]]=""),"Y","")</f>
        <v/>
      </c>
      <c r="U415" t="s">
        <v>957</v>
      </c>
      <c r="V415" s="16" t="str">
        <f t="shared" si="21"/>
        <v>YQXDXUDE JESUS FROTA E SILVA/TEREZINHA</v>
      </c>
      <c r="W415">
        <v>358</v>
      </c>
    </row>
    <row r="416" spans="1:23" hidden="1">
      <c r="A416" s="1">
        <v>45275</v>
      </c>
      <c r="B416" t="s">
        <v>12</v>
      </c>
      <c r="C416" t="s">
        <v>966</v>
      </c>
      <c r="D416" s="23" t="s">
        <v>966</v>
      </c>
      <c r="E416" t="s">
        <v>41</v>
      </c>
      <c r="F416" s="19"/>
      <c r="G416" s="53"/>
      <c r="H416" s="52">
        <v>1275</v>
      </c>
      <c r="I416" s="5">
        <v>0.1</v>
      </c>
      <c r="J416" s="52" t="str" cm="1">
        <f t="array" ref="J41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16" s="56" t="s">
        <v>227</v>
      </c>
      <c r="L416" s="54" t="s">
        <v>172</v>
      </c>
      <c r="M416" t="s">
        <v>100</v>
      </c>
      <c r="N416" s="15" t="s">
        <v>171</v>
      </c>
      <c r="O416" s="5" t="s">
        <v>178</v>
      </c>
      <c r="P416" s="17" t="s">
        <v>69</v>
      </c>
      <c r="Q416" s="10"/>
      <c r="R416" s="11"/>
      <c r="S416" s="10"/>
      <c r="T416" s="3" t="str">
        <f>IF(AND(ProtocolosAF[[#This Row],[STATUS]]="APROVADO",ProtocolosAF[[#This Row],[WAIVER]]=""),"Y","")</f>
        <v/>
      </c>
      <c r="U416" t="s">
        <v>967</v>
      </c>
      <c r="V416" s="16" t="str">
        <f t="shared" si="21"/>
        <v>2LOZE8PANEGALLI ZIMMER/JULIANA</v>
      </c>
      <c r="W416">
        <v>359</v>
      </c>
    </row>
    <row r="417" spans="1:23" hidden="1">
      <c r="A417" s="1">
        <v>45278</v>
      </c>
      <c r="B417" t="s">
        <v>13</v>
      </c>
      <c r="C417" t="s">
        <v>950</v>
      </c>
      <c r="D417" s="23" t="s">
        <v>951</v>
      </c>
      <c r="E417" t="s">
        <v>41</v>
      </c>
      <c r="F417" s="19">
        <v>57564931</v>
      </c>
      <c r="G417" s="53">
        <v>573204805777</v>
      </c>
      <c r="H417" s="52">
        <v>1500</v>
      </c>
      <c r="I417" s="5">
        <v>0.1</v>
      </c>
      <c r="J417" s="52" cm="1">
        <f t="array" ref="J41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150</v>
      </c>
      <c r="K417" s="56" t="s">
        <v>151</v>
      </c>
      <c r="L417" s="54" t="s">
        <v>76</v>
      </c>
      <c r="M417" t="s">
        <v>43</v>
      </c>
      <c r="N417" s="15" t="s">
        <v>863</v>
      </c>
      <c r="O417" s="5" t="s">
        <v>724</v>
      </c>
      <c r="P417" s="17" t="s">
        <v>46</v>
      </c>
      <c r="Q417" s="10" t="s">
        <v>168</v>
      </c>
      <c r="R417" s="11">
        <v>45278</v>
      </c>
      <c r="S417" s="10" t="s">
        <v>48</v>
      </c>
      <c r="T417" s="3" t="str">
        <f>IF(AND(ProtocolosAF[[#This Row],[STATUS]]="APROVADO",ProtocolosAF[[#This Row],[WAIVER]]=""),"Y","")</f>
        <v/>
      </c>
      <c r="U417" t="s">
        <v>952</v>
      </c>
      <c r="V417" s="16" t="str">
        <f t="shared" si="21"/>
        <v>IQWVVCSOARES SILVEIRA/BRUNA BEATRICE</v>
      </c>
      <c r="W417">
        <v>361</v>
      </c>
    </row>
    <row r="418" spans="1:23" hidden="1">
      <c r="A418" s="1">
        <v>45279</v>
      </c>
      <c r="B418" t="s">
        <v>10</v>
      </c>
      <c r="C418" t="s">
        <v>968</v>
      </c>
      <c r="D418" s="23" t="s">
        <v>969</v>
      </c>
      <c r="E418" t="s">
        <v>41</v>
      </c>
      <c r="F418" s="19">
        <v>57564931</v>
      </c>
      <c r="G418" s="53">
        <v>573204805845</v>
      </c>
      <c r="H418" s="52">
        <v>3131</v>
      </c>
      <c r="I418" s="5">
        <v>0.1</v>
      </c>
      <c r="J418" s="52" cm="1">
        <f t="array" ref="J41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314</v>
      </c>
      <c r="K418" s="56" t="s">
        <v>345</v>
      </c>
      <c r="L418" s="54" t="s">
        <v>76</v>
      </c>
      <c r="M418" t="s">
        <v>43</v>
      </c>
      <c r="N418" s="15" t="s">
        <v>171</v>
      </c>
      <c r="O418" s="5" t="s">
        <v>539</v>
      </c>
      <c r="P418" s="17" t="s">
        <v>46</v>
      </c>
      <c r="Q418" s="10" t="s">
        <v>743</v>
      </c>
      <c r="R418" s="11">
        <v>45280</v>
      </c>
      <c r="S418" s="10" t="s">
        <v>48</v>
      </c>
      <c r="T418" s="3" t="str">
        <f>IF(AND(ProtocolosAF[[#This Row],[STATUS]]="APROVADO",ProtocolosAF[[#This Row],[WAIVER]]=""),"Y","")</f>
        <v/>
      </c>
      <c r="U418" t="s">
        <v>970</v>
      </c>
      <c r="V418" s="16" t="str">
        <f t="shared" si="21"/>
        <v>NGCKSFARAUJO SIMAL/CARLOS MR</v>
      </c>
      <c r="W418">
        <v>362</v>
      </c>
    </row>
    <row r="419" spans="1:23" hidden="1">
      <c r="A419" s="1">
        <v>45279</v>
      </c>
      <c r="B419" t="s">
        <v>13</v>
      </c>
      <c r="C419" t="s">
        <v>971</v>
      </c>
      <c r="D419" s="23" t="s">
        <v>972</v>
      </c>
      <c r="E419" t="s">
        <v>41</v>
      </c>
      <c r="F419" s="19"/>
      <c r="G419" s="53"/>
      <c r="H419" s="52">
        <v>495</v>
      </c>
      <c r="I419" s="5">
        <v>0.1</v>
      </c>
      <c r="J419" s="52" t="str" cm="1">
        <f t="array" ref="J41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19" s="56" t="s">
        <v>528</v>
      </c>
      <c r="L419" s="54" t="s">
        <v>76</v>
      </c>
      <c r="M419" t="s">
        <v>100</v>
      </c>
      <c r="N419" s="15" t="s">
        <v>863</v>
      </c>
      <c r="O419" s="5" t="s">
        <v>973</v>
      </c>
      <c r="P419" s="17" t="s">
        <v>503</v>
      </c>
      <c r="Q419" s="10"/>
      <c r="R419" s="11"/>
      <c r="S419" s="10"/>
      <c r="T419" s="3" t="str">
        <f>IF(AND(ProtocolosAF[[#This Row],[STATUS]]="APROVADO",ProtocolosAF[[#This Row],[WAIVER]]=""),"Y","")</f>
        <v/>
      </c>
      <c r="U419" t="s">
        <v>974</v>
      </c>
      <c r="V419" s="16" t="str">
        <f t="shared" si="21"/>
        <v xml:space="preserve">6G9DLJHYPOLITHO FINOTTI/GUILHERMEMR </v>
      </c>
      <c r="W419">
        <v>363</v>
      </c>
    </row>
    <row r="420" spans="1:23" hidden="1">
      <c r="A420" s="1">
        <v>45280</v>
      </c>
      <c r="B420" t="s">
        <v>11</v>
      </c>
      <c r="C420" t="s">
        <v>975</v>
      </c>
      <c r="D420" s="23" t="s">
        <v>976</v>
      </c>
      <c r="E420" t="s">
        <v>41</v>
      </c>
      <c r="F420" s="19">
        <v>57564931</v>
      </c>
      <c r="G420" s="53">
        <v>573204819460</v>
      </c>
      <c r="H420" s="52">
        <v>1294</v>
      </c>
      <c r="I420" s="5">
        <v>0.12</v>
      </c>
      <c r="J420" s="52" cm="1">
        <f t="array" ref="J42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156</v>
      </c>
      <c r="K420" s="56" t="s">
        <v>977</v>
      </c>
      <c r="L420" s="54" t="s">
        <v>76</v>
      </c>
      <c r="M420" t="s">
        <v>43</v>
      </c>
      <c r="N420" s="15" t="s">
        <v>171</v>
      </c>
      <c r="O420" s="5" t="s">
        <v>978</v>
      </c>
      <c r="P420" s="17" t="s">
        <v>69</v>
      </c>
      <c r="Q420" s="10" t="s">
        <v>979</v>
      </c>
      <c r="R420" s="11">
        <v>45281</v>
      </c>
      <c r="S420" s="10" t="s">
        <v>48</v>
      </c>
      <c r="T420" s="3" t="str">
        <f>IF(AND(ProtocolosAF[[#This Row],[STATUS]]="APROVADO",ProtocolosAF[[#This Row],[WAIVER]]=""),"Y","")</f>
        <v/>
      </c>
      <c r="U420" t="s">
        <v>980</v>
      </c>
      <c r="V420" s="16" t="str">
        <f t="shared" si="21"/>
        <v>WHEAGJFILHO/JULIO CEZAR-1/2</v>
      </c>
      <c r="W420">
        <v>366</v>
      </c>
    </row>
    <row r="421" spans="1:23" hidden="1">
      <c r="A421" s="1">
        <v>45280</v>
      </c>
      <c r="B421" t="s">
        <v>11</v>
      </c>
      <c r="C421" t="s">
        <v>975</v>
      </c>
      <c r="D421" s="23" t="s">
        <v>976</v>
      </c>
      <c r="E421" t="s">
        <v>41</v>
      </c>
      <c r="F421" s="19">
        <v>57564931</v>
      </c>
      <c r="G421" s="53">
        <v>573204819461</v>
      </c>
      <c r="H421" s="52">
        <v>1294</v>
      </c>
      <c r="I421" s="5">
        <v>0.12</v>
      </c>
      <c r="J421" s="52" cm="1">
        <f t="array" ref="J42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156</v>
      </c>
      <c r="K421" s="56" t="s">
        <v>977</v>
      </c>
      <c r="L421" s="54" t="s">
        <v>76</v>
      </c>
      <c r="M421" t="s">
        <v>43</v>
      </c>
      <c r="N421" s="15" t="s">
        <v>171</v>
      </c>
      <c r="O421" s="5" t="s">
        <v>978</v>
      </c>
      <c r="P421" s="17" t="s">
        <v>69</v>
      </c>
      <c r="Q421" s="10" t="s">
        <v>979</v>
      </c>
      <c r="R421" s="11">
        <v>45281</v>
      </c>
      <c r="S421" s="10" t="s">
        <v>48</v>
      </c>
      <c r="T421" s="3" t="str">
        <f>IF(AND(ProtocolosAF[[#This Row],[STATUS]]="APROVADO",ProtocolosAF[[#This Row],[WAIVER]]=""),"Y","")</f>
        <v/>
      </c>
      <c r="U421" t="s">
        <v>981</v>
      </c>
      <c r="V421" s="16" t="str">
        <f t="shared" si="21"/>
        <v>WHEAGJCARNEIRO FOLHA RIBEIRO/MAYARA-2/2</v>
      </c>
      <c r="W421">
        <v>366</v>
      </c>
    </row>
    <row r="422" spans="1:23" hidden="1">
      <c r="A422" s="1">
        <v>45280</v>
      </c>
      <c r="B422" t="s">
        <v>13</v>
      </c>
      <c r="C422" t="s">
        <v>982</v>
      </c>
      <c r="D422" s="23" t="s">
        <v>982</v>
      </c>
      <c r="E422" t="s">
        <v>73</v>
      </c>
      <c r="F422" s="19">
        <v>57994602</v>
      </c>
      <c r="G422" s="53">
        <v>574207248792</v>
      </c>
      <c r="H422" s="52">
        <v>178.03</v>
      </c>
      <c r="I422" s="5" t="s">
        <v>74</v>
      </c>
      <c r="J422" s="52" cm="1">
        <f t="array" ref="J42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178.03</v>
      </c>
      <c r="K422" s="56" t="s">
        <v>289</v>
      </c>
      <c r="L422" s="54" t="s">
        <v>172</v>
      </c>
      <c r="M422" t="s">
        <v>43</v>
      </c>
      <c r="N422" s="15" t="s">
        <v>863</v>
      </c>
      <c r="O422" s="5" t="s">
        <v>178</v>
      </c>
      <c r="P422" s="17" t="s">
        <v>69</v>
      </c>
      <c r="Q422" s="10" t="s">
        <v>291</v>
      </c>
      <c r="R422" s="11">
        <v>45282</v>
      </c>
      <c r="S422" s="10" t="s">
        <v>173</v>
      </c>
      <c r="T422" s="3" t="str">
        <f>IF(AND(ProtocolosAF[[#This Row],[STATUS]]="APROVADO",ProtocolosAF[[#This Row],[WAIVER]]=""),"Y","")</f>
        <v/>
      </c>
      <c r="U422" t="s">
        <v>983</v>
      </c>
      <c r="V422" s="16" t="str">
        <f t="shared" si="21"/>
        <v>2QYMZERICCI BARION/ANA MARIA</v>
      </c>
      <c r="W422">
        <v>365</v>
      </c>
    </row>
    <row r="423" spans="1:23" hidden="1">
      <c r="A423" s="1">
        <v>45280</v>
      </c>
      <c r="B423" t="s">
        <v>13</v>
      </c>
      <c r="C423" t="s">
        <v>982</v>
      </c>
      <c r="D423" s="23" t="s">
        <v>982</v>
      </c>
      <c r="E423" t="s">
        <v>73</v>
      </c>
      <c r="F423" s="19">
        <v>57994602</v>
      </c>
      <c r="G423" s="53">
        <v>574207248793</v>
      </c>
      <c r="H423" s="52">
        <v>178.03</v>
      </c>
      <c r="I423" s="5" t="s">
        <v>74</v>
      </c>
      <c r="J423" s="52" cm="1">
        <f t="array" ref="J42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178.03</v>
      </c>
      <c r="K423" s="56" t="s">
        <v>289</v>
      </c>
      <c r="L423" s="54" t="s">
        <v>172</v>
      </c>
      <c r="M423" t="s">
        <v>43</v>
      </c>
      <c r="N423" s="15" t="s">
        <v>863</v>
      </c>
      <c r="O423" s="5" t="s">
        <v>178</v>
      </c>
      <c r="P423" s="17" t="s">
        <v>69</v>
      </c>
      <c r="Q423" s="10" t="s">
        <v>291</v>
      </c>
      <c r="R423" s="11">
        <v>45282</v>
      </c>
      <c r="S423" s="10" t="s">
        <v>173</v>
      </c>
      <c r="T423" s="3" t="str">
        <f>IF(AND(ProtocolosAF[[#This Row],[STATUS]]="APROVADO",ProtocolosAF[[#This Row],[WAIVER]]=""),"Y","")</f>
        <v/>
      </c>
      <c r="U423" t="s">
        <v>984</v>
      </c>
      <c r="V423" s="16" t="str">
        <f t="shared" si="21"/>
        <v>2QYMZERICCI BARION/RAFAELA</v>
      </c>
      <c r="W423">
        <v>365</v>
      </c>
    </row>
    <row r="424" spans="1:23" hidden="1">
      <c r="A424" s="1">
        <v>45280</v>
      </c>
      <c r="B424" t="s">
        <v>13</v>
      </c>
      <c r="C424" t="s">
        <v>982</v>
      </c>
      <c r="D424" s="23" t="s">
        <v>982</v>
      </c>
      <c r="E424" t="s">
        <v>73</v>
      </c>
      <c r="F424" s="19">
        <v>57994602</v>
      </c>
      <c r="G424" s="53">
        <v>574207248794</v>
      </c>
      <c r="H424" s="52">
        <v>178.03</v>
      </c>
      <c r="I424" s="5" t="s">
        <v>74</v>
      </c>
      <c r="J424" s="52" cm="1">
        <f t="array" ref="J42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178.03</v>
      </c>
      <c r="K424" s="56" t="s">
        <v>289</v>
      </c>
      <c r="L424" s="54" t="s">
        <v>172</v>
      </c>
      <c r="M424" t="s">
        <v>43</v>
      </c>
      <c r="N424" s="15" t="s">
        <v>863</v>
      </c>
      <c r="O424" s="5" t="s">
        <v>178</v>
      </c>
      <c r="P424" s="17" t="s">
        <v>69</v>
      </c>
      <c r="Q424" s="10" t="s">
        <v>291</v>
      </c>
      <c r="R424" s="11">
        <v>45282</v>
      </c>
      <c r="S424" s="10" t="s">
        <v>173</v>
      </c>
      <c r="T424" s="3" t="str">
        <f>IF(AND(ProtocolosAF[[#This Row],[STATUS]]="APROVADO",ProtocolosAF[[#This Row],[WAIVER]]=""),"Y","")</f>
        <v/>
      </c>
      <c r="U424" t="s">
        <v>985</v>
      </c>
      <c r="V424" s="16" t="str">
        <f t="shared" si="21"/>
        <v>2QYMZERICCI BARION BASSAN/MARIANA</v>
      </c>
      <c r="W424">
        <v>365</v>
      </c>
    </row>
    <row r="425" spans="1:23" hidden="1">
      <c r="A425" s="1">
        <v>45280</v>
      </c>
      <c r="B425" t="s">
        <v>11</v>
      </c>
      <c r="C425" t="s">
        <v>986</v>
      </c>
      <c r="D425" s="23" t="s">
        <v>987</v>
      </c>
      <c r="E425" t="s">
        <v>41</v>
      </c>
      <c r="F425" s="19">
        <v>57564931</v>
      </c>
      <c r="G425" s="53">
        <v>573204823553</v>
      </c>
      <c r="H425" s="52">
        <v>1427.35</v>
      </c>
      <c r="I425" s="5">
        <v>0.1</v>
      </c>
      <c r="J425" s="52" cm="1">
        <f t="array" ref="J42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143</v>
      </c>
      <c r="K425" s="56" t="s">
        <v>988</v>
      </c>
      <c r="L425" s="54" t="s">
        <v>989</v>
      </c>
      <c r="M425" t="s">
        <v>43</v>
      </c>
      <c r="N425" s="15" t="s">
        <v>171</v>
      </c>
      <c r="O425" s="5" t="s">
        <v>78</v>
      </c>
      <c r="P425" s="17" t="s">
        <v>69</v>
      </c>
      <c r="Q425" s="10" t="s">
        <v>990</v>
      </c>
      <c r="R425" s="11">
        <v>45281</v>
      </c>
      <c r="S425" s="10" t="s">
        <v>48</v>
      </c>
      <c r="T425" s="3" t="str">
        <f>IF(AND(ProtocolosAF[[#This Row],[STATUS]]="APROVADO",ProtocolosAF[[#This Row],[WAIVER]]=""),"Y","")</f>
        <v/>
      </c>
      <c r="U425" t="s">
        <v>991</v>
      </c>
      <c r="V425" s="16" t="str">
        <f t="shared" si="21"/>
        <v>IOHHOMCHIOVAO ABDALA/EDUARDO HENRIQUE</v>
      </c>
      <c r="W425">
        <v>367</v>
      </c>
    </row>
    <row r="426" spans="1:23" hidden="1">
      <c r="A426" s="1">
        <v>45280</v>
      </c>
      <c r="B426" t="s">
        <v>13</v>
      </c>
      <c r="C426" t="s">
        <v>992</v>
      </c>
      <c r="D426" s="23" t="s">
        <v>993</v>
      </c>
      <c r="E426" t="s">
        <v>41</v>
      </c>
      <c r="F426" s="19">
        <v>57504591</v>
      </c>
      <c r="G426" s="53">
        <v>573204648530</v>
      </c>
      <c r="H426" s="52">
        <v>494</v>
      </c>
      <c r="I426" s="5">
        <v>0.1</v>
      </c>
      <c r="J426" s="52" cm="1">
        <f t="array" ref="J42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50</v>
      </c>
      <c r="K426" s="56" t="s">
        <v>528</v>
      </c>
      <c r="L426" s="54" t="s">
        <v>76</v>
      </c>
      <c r="M426" t="s">
        <v>43</v>
      </c>
      <c r="N426" s="15" t="s">
        <v>863</v>
      </c>
      <c r="O426" s="5" t="s">
        <v>78</v>
      </c>
      <c r="P426" s="17" t="s">
        <v>503</v>
      </c>
      <c r="Q426" s="10" t="s">
        <v>994</v>
      </c>
      <c r="R426" s="11">
        <v>45280</v>
      </c>
      <c r="S426" s="10" t="s">
        <v>48</v>
      </c>
      <c r="T426" s="3" t="str">
        <f>IF(AND(ProtocolosAF[[#This Row],[STATUS]]="APROVADO",ProtocolosAF[[#This Row],[WAIVER]]=""),"Y","")</f>
        <v/>
      </c>
      <c r="U426" t="s">
        <v>995</v>
      </c>
      <c r="V426" s="16" t="str">
        <f t="shared" si="21"/>
        <v>OAGBRKHYPOLITHO FINOTTI/GUILHERME</v>
      </c>
      <c r="W426">
        <v>368</v>
      </c>
    </row>
    <row r="427" spans="1:23" hidden="1">
      <c r="A427" s="1">
        <v>45281</v>
      </c>
      <c r="B427" t="s">
        <v>11</v>
      </c>
      <c r="C427" t="s">
        <v>996</v>
      </c>
      <c r="D427" s="23" t="s">
        <v>997</v>
      </c>
      <c r="E427" t="s">
        <v>41</v>
      </c>
      <c r="F427" s="19">
        <v>57564931</v>
      </c>
      <c r="G427" s="53">
        <v>573204827520</v>
      </c>
      <c r="H427" s="52">
        <v>1240.1600000000001</v>
      </c>
      <c r="I427" s="5">
        <v>0.1</v>
      </c>
      <c r="J427" s="52" cm="1">
        <f t="array" ref="J42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125</v>
      </c>
      <c r="K427" s="56" t="s">
        <v>988</v>
      </c>
      <c r="L427" s="54" t="s">
        <v>172</v>
      </c>
      <c r="M427" t="s">
        <v>43</v>
      </c>
      <c r="N427" s="15" t="s">
        <v>171</v>
      </c>
      <c r="O427" s="5" t="s">
        <v>307</v>
      </c>
      <c r="P427" s="17" t="s">
        <v>69</v>
      </c>
      <c r="Q427" s="10" t="s">
        <v>222</v>
      </c>
      <c r="R427" s="11">
        <v>45282</v>
      </c>
      <c r="S427" s="10" t="s">
        <v>48</v>
      </c>
      <c r="T427" s="3" t="str">
        <f>IF(AND(ProtocolosAF[[#This Row],[STATUS]]="APROVADO",ProtocolosAF[[#This Row],[WAIVER]]=""),"Y","")</f>
        <v/>
      </c>
      <c r="U427" t="s">
        <v>998</v>
      </c>
      <c r="V427" s="16" t="str">
        <f t="shared" si="21"/>
        <v>MIGQQBCARDOSO GRION/ANA CAROLINA</v>
      </c>
      <c r="W427">
        <v>369</v>
      </c>
    </row>
    <row r="428" spans="1:23" hidden="1">
      <c r="A428" s="1">
        <v>45281</v>
      </c>
      <c r="B428" t="s">
        <v>10</v>
      </c>
      <c r="C428" t="s">
        <v>999</v>
      </c>
      <c r="D428" s="23" t="s">
        <v>1000</v>
      </c>
      <c r="E428" t="s">
        <v>512</v>
      </c>
      <c r="F428" s="19">
        <v>57564931</v>
      </c>
      <c r="G428" s="53">
        <v>573204827524</v>
      </c>
      <c r="H428" s="52">
        <v>183</v>
      </c>
      <c r="I428" s="5" t="s">
        <v>74</v>
      </c>
      <c r="J428" s="52" cm="1">
        <f t="array" ref="J42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183</v>
      </c>
      <c r="K428" s="56" t="s">
        <v>144</v>
      </c>
      <c r="L428" s="54" t="s">
        <v>529</v>
      </c>
      <c r="M428" t="s">
        <v>43</v>
      </c>
      <c r="N428" s="15" t="s">
        <v>171</v>
      </c>
      <c r="O428" s="5" t="s">
        <v>221</v>
      </c>
      <c r="P428" s="17" t="s">
        <v>146</v>
      </c>
      <c r="Q428" s="10" t="s">
        <v>1001</v>
      </c>
      <c r="R428" s="11">
        <v>45282</v>
      </c>
      <c r="S428" s="10" t="s">
        <v>720</v>
      </c>
      <c r="T428" s="3" t="str">
        <f>IF(AND(ProtocolosAF[[#This Row],[STATUS]]="APROVADO",ProtocolosAF[[#This Row],[WAIVER]]=""),"Y","")</f>
        <v/>
      </c>
      <c r="U428" t="s">
        <v>1002</v>
      </c>
      <c r="V428" s="16" t="str">
        <f t="shared" si="21"/>
        <v>EDYRGMESPOSITO/ELLEN CRISTINA</v>
      </c>
      <c r="W428">
        <v>370</v>
      </c>
    </row>
    <row r="429" spans="1:23" hidden="1">
      <c r="A429" s="1">
        <v>45286</v>
      </c>
      <c r="B429" t="s">
        <v>13</v>
      </c>
      <c r="C429" t="s">
        <v>1003</v>
      </c>
      <c r="D429" s="23" t="s">
        <v>1004</v>
      </c>
      <c r="E429" t="s">
        <v>41</v>
      </c>
      <c r="F429" s="19">
        <v>57564931</v>
      </c>
      <c r="G429" s="53">
        <v>573204844681</v>
      </c>
      <c r="H429" s="52">
        <v>1031</v>
      </c>
      <c r="I429" s="5">
        <v>0.1</v>
      </c>
      <c r="J429" s="52" cm="1">
        <f t="array" ref="J42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104</v>
      </c>
      <c r="K429" s="56" t="s">
        <v>151</v>
      </c>
      <c r="L429" s="54" t="s">
        <v>76</v>
      </c>
      <c r="M429" t="s">
        <v>43</v>
      </c>
      <c r="N429" s="15" t="s">
        <v>171</v>
      </c>
      <c r="O429" s="5" t="s">
        <v>78</v>
      </c>
      <c r="P429" s="17" t="s">
        <v>69</v>
      </c>
      <c r="Q429" s="10" t="s">
        <v>168</v>
      </c>
      <c r="R429" s="11">
        <v>45287</v>
      </c>
      <c r="S429" s="10" t="s">
        <v>48</v>
      </c>
      <c r="T429" s="3" t="str">
        <f>IF(AND(ProtocolosAF[[#This Row],[STATUS]]="APROVADO",ProtocolosAF[[#This Row],[WAIVER]]=""),"Y","")</f>
        <v/>
      </c>
      <c r="U429" t="s">
        <v>1005</v>
      </c>
      <c r="V429" s="16" t="str">
        <f t="shared" si="21"/>
        <v>LTAUHSTOMAZELLI/GIOVANNI</v>
      </c>
      <c r="W429">
        <v>372</v>
      </c>
    </row>
    <row r="430" spans="1:23" hidden="1">
      <c r="A430" s="1">
        <v>45286</v>
      </c>
      <c r="B430" t="s">
        <v>11</v>
      </c>
      <c r="C430" t="s">
        <v>1006</v>
      </c>
      <c r="D430" s="23" t="s">
        <v>1006</v>
      </c>
      <c r="E430" t="s">
        <v>73</v>
      </c>
      <c r="F430" s="19">
        <v>57564931</v>
      </c>
      <c r="G430" s="53">
        <v>574207248807</v>
      </c>
      <c r="H430" s="52">
        <v>178</v>
      </c>
      <c r="I430" s="5" t="s">
        <v>74</v>
      </c>
      <c r="J430" s="52" cm="1">
        <f t="array" ref="J43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</v>
      </c>
      <c r="K430" s="56" t="s">
        <v>1007</v>
      </c>
      <c r="L430" s="54" t="s">
        <v>172</v>
      </c>
      <c r="M430" t="s">
        <v>43</v>
      </c>
      <c r="N430" s="15" t="s">
        <v>171</v>
      </c>
      <c r="O430" s="5" t="s">
        <v>178</v>
      </c>
      <c r="P430" s="17" t="s">
        <v>69</v>
      </c>
      <c r="Q430" s="10" t="s">
        <v>1008</v>
      </c>
      <c r="R430" s="11">
        <v>45318</v>
      </c>
      <c r="S430" s="10" t="s">
        <v>520</v>
      </c>
      <c r="T430" s="3" t="str">
        <f>IF(AND(ProtocolosAF[[#This Row],[STATUS]]="APROVADO",ProtocolosAF[[#This Row],[WAIVER]]=""),"Y","")</f>
        <v/>
      </c>
      <c r="U430" t="s">
        <v>1009</v>
      </c>
      <c r="V430" s="16" t="str">
        <f t="shared" si="21"/>
        <v>3WKNDXDANTAS/ELIZABETH</v>
      </c>
      <c r="W430">
        <v>374</v>
      </c>
    </row>
    <row r="431" spans="1:23" hidden="1">
      <c r="A431" s="1">
        <v>45288</v>
      </c>
      <c r="B431" t="s">
        <v>11</v>
      </c>
      <c r="C431" t="s">
        <v>1010</v>
      </c>
      <c r="D431" s="23" t="s">
        <v>1011</v>
      </c>
      <c r="E431" t="s">
        <v>73</v>
      </c>
      <c r="F431" s="19"/>
      <c r="G431" s="53"/>
      <c r="H431" s="52">
        <v>80</v>
      </c>
      <c r="I431" s="5" t="s">
        <v>74</v>
      </c>
      <c r="J431" s="52" t="str" cm="1">
        <f t="array" ref="J43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31" s="56" t="s">
        <v>892</v>
      </c>
      <c r="L431" s="54" t="s">
        <v>76</v>
      </c>
      <c r="M431" t="s">
        <v>100</v>
      </c>
      <c r="N431" s="15" t="s">
        <v>1012</v>
      </c>
      <c r="O431" s="5" t="s">
        <v>669</v>
      </c>
      <c r="P431" s="17" t="s">
        <v>69</v>
      </c>
      <c r="Q431" s="10"/>
      <c r="R431" s="11"/>
      <c r="S431" s="10"/>
      <c r="T431" s="3" t="str">
        <f>IF(AND(ProtocolosAF[[#This Row],[STATUS]]="APROVADO",ProtocolosAF[[#This Row],[WAIVER]]=""),"Y","")</f>
        <v/>
      </c>
      <c r="U431" t="s">
        <v>1013</v>
      </c>
      <c r="V431" s="16" t="str">
        <f t="shared" si="21"/>
        <v>6JFPYQNOJIRI/ CLAUDIO mr</v>
      </c>
      <c r="W431">
        <v>377</v>
      </c>
    </row>
    <row r="432" spans="1:23" hidden="1">
      <c r="A432" s="1">
        <v>45288</v>
      </c>
      <c r="B432" t="s">
        <v>11</v>
      </c>
      <c r="C432" t="s">
        <v>1014</v>
      </c>
      <c r="D432" s="23" t="s">
        <v>1015</v>
      </c>
      <c r="E432" t="s">
        <v>73</v>
      </c>
      <c r="F432" s="19"/>
      <c r="G432" s="53"/>
      <c r="H432" s="52">
        <v>160</v>
      </c>
      <c r="I432" s="5" t="s">
        <v>74</v>
      </c>
      <c r="J432" s="52" t="str" cm="1">
        <f t="array" ref="J43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32" s="56" t="s">
        <v>892</v>
      </c>
      <c r="L432" s="54" t="s">
        <v>76</v>
      </c>
      <c r="M432" t="s">
        <v>100</v>
      </c>
      <c r="N432" s="15" t="s">
        <v>1012</v>
      </c>
      <c r="O432" s="5" t="s">
        <v>669</v>
      </c>
      <c r="P432" s="17" t="s">
        <v>146</v>
      </c>
      <c r="Q432" s="10"/>
      <c r="R432" s="11"/>
      <c r="S432" s="10"/>
      <c r="T432" s="3" t="str">
        <f>IF(AND(ProtocolosAF[[#This Row],[STATUS]]="APROVADO",ProtocolosAF[[#This Row],[WAIVER]]=""),"Y","")</f>
        <v/>
      </c>
      <c r="U432" t="s">
        <v>1016</v>
      </c>
      <c r="V432" s="16" t="str">
        <f t="shared" si="21"/>
        <v xml:space="preserve">6JGT7BKUME/MILTON MR </v>
      </c>
      <c r="W432">
        <v>376</v>
      </c>
    </row>
    <row r="433" spans="1:23" hidden="1">
      <c r="A433" s="1">
        <v>45288</v>
      </c>
      <c r="B433" t="s">
        <v>11</v>
      </c>
      <c r="C433" t="s">
        <v>1017</v>
      </c>
      <c r="D433" s="23" t="s">
        <v>1018</v>
      </c>
      <c r="E433" t="s">
        <v>73</v>
      </c>
      <c r="F433" s="19"/>
      <c r="G433" s="53"/>
      <c r="H433" s="52">
        <v>160</v>
      </c>
      <c r="I433" s="5" t="s">
        <v>74</v>
      </c>
      <c r="J433" s="52" t="str" cm="1">
        <f t="array" ref="J43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33" s="56" t="s">
        <v>892</v>
      </c>
      <c r="L433" s="54" t="s">
        <v>76</v>
      </c>
      <c r="M433" t="s">
        <v>100</v>
      </c>
      <c r="N433" s="15" t="s">
        <v>1012</v>
      </c>
      <c r="O433" s="5" t="s">
        <v>669</v>
      </c>
      <c r="P433" s="17" t="s">
        <v>146</v>
      </c>
      <c r="Q433" s="10"/>
      <c r="R433" s="11"/>
      <c r="S433" s="10"/>
      <c r="T433" s="3" t="str">
        <f>IF(AND(ProtocolosAF[[#This Row],[STATUS]]="APROVADO",ProtocolosAF[[#This Row],[WAIVER]]=""),"Y","")</f>
        <v/>
      </c>
      <c r="U433" t="s">
        <v>1019</v>
      </c>
      <c r="V433" s="16" t="str">
        <f t="shared" si="21"/>
        <v>6JGS95 NOJIRI/RICARDO MR</v>
      </c>
      <c r="W433">
        <v>375</v>
      </c>
    </row>
    <row r="434" spans="1:23" hidden="1">
      <c r="A434" s="1">
        <v>45288</v>
      </c>
      <c r="B434" t="s">
        <v>15</v>
      </c>
      <c r="C434" t="s">
        <v>1020</v>
      </c>
      <c r="D434" s="23" t="s">
        <v>1020</v>
      </c>
      <c r="E434" t="s">
        <v>41</v>
      </c>
      <c r="F434" s="19">
        <v>57519652</v>
      </c>
      <c r="G434" s="53">
        <v>573542232703</v>
      </c>
      <c r="H434" s="52">
        <v>1492</v>
      </c>
      <c r="I434" s="5">
        <v>0.14000000000000001</v>
      </c>
      <c r="J434" s="52" cm="1">
        <f t="array" ref="J43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209</v>
      </c>
      <c r="K434" s="56" t="s">
        <v>75</v>
      </c>
      <c r="L434" s="54" t="s">
        <v>76</v>
      </c>
      <c r="M434" t="s">
        <v>43</v>
      </c>
      <c r="N434" s="15" t="s">
        <v>171</v>
      </c>
      <c r="O434" s="5" t="s">
        <v>1021</v>
      </c>
      <c r="P434" s="17" t="s">
        <v>69</v>
      </c>
      <c r="Q434" s="10" t="s">
        <v>79</v>
      </c>
      <c r="R434" s="11">
        <v>45289</v>
      </c>
      <c r="S434" s="10" t="s">
        <v>48</v>
      </c>
      <c r="T434" s="3" t="str">
        <f>IF(AND(ProtocolosAF[[#This Row],[STATUS]]="APROVADO",ProtocolosAF[[#This Row],[WAIVER]]=""),"Y","")</f>
        <v/>
      </c>
      <c r="U434" t="s">
        <v>1022</v>
      </c>
      <c r="V434" s="16" t="str">
        <f t="shared" si="21"/>
        <v>4SKVV7LEAL SANTIAGO/RAFAELLA</v>
      </c>
      <c r="W434">
        <v>378</v>
      </c>
    </row>
    <row r="435" spans="1:23" hidden="1">
      <c r="A435" s="1">
        <v>45288</v>
      </c>
      <c r="B435" t="s">
        <v>15</v>
      </c>
      <c r="C435" t="s">
        <v>1020</v>
      </c>
      <c r="D435" s="23" t="s">
        <v>1020</v>
      </c>
      <c r="E435" t="s">
        <v>41</v>
      </c>
      <c r="F435" s="19">
        <v>57519652</v>
      </c>
      <c r="G435" s="53">
        <v>573542232704</v>
      </c>
      <c r="H435" s="52">
        <v>1492</v>
      </c>
      <c r="I435" s="5">
        <v>0.14000000000000001</v>
      </c>
      <c r="J435" s="52" cm="1">
        <f t="array" ref="J43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209</v>
      </c>
      <c r="K435" s="56" t="s">
        <v>75</v>
      </c>
      <c r="L435" s="54" t="s">
        <v>76</v>
      </c>
      <c r="M435" t="s">
        <v>43</v>
      </c>
      <c r="N435" s="15" t="s">
        <v>171</v>
      </c>
      <c r="O435" s="5" t="s">
        <v>1021</v>
      </c>
      <c r="P435" s="17" t="s">
        <v>69</v>
      </c>
      <c r="Q435" s="10" t="s">
        <v>79</v>
      </c>
      <c r="R435" s="11">
        <v>45289</v>
      </c>
      <c r="S435" s="10" t="s">
        <v>48</v>
      </c>
      <c r="T435" s="3" t="str">
        <f>IF(AND(ProtocolosAF[[#This Row],[STATUS]]="APROVADO",ProtocolosAF[[#This Row],[WAIVER]]=""),"Y","")</f>
        <v/>
      </c>
      <c r="U435" t="s">
        <v>1023</v>
      </c>
      <c r="V435" s="16" t="str">
        <f t="shared" si="21"/>
        <v>4SKVV7SILVA MARTINS/EDSON</v>
      </c>
      <c r="W435">
        <v>378</v>
      </c>
    </row>
    <row r="436" spans="1:23" hidden="1">
      <c r="A436" s="1">
        <v>45288</v>
      </c>
      <c r="B436" t="s">
        <v>15</v>
      </c>
      <c r="C436" t="s">
        <v>1024</v>
      </c>
      <c r="D436" s="23" t="s">
        <v>1024</v>
      </c>
      <c r="E436" t="s">
        <v>41</v>
      </c>
      <c r="F436" s="19">
        <v>57519652</v>
      </c>
      <c r="G436" s="53">
        <v>573542232702</v>
      </c>
      <c r="H436" s="52">
        <v>1492</v>
      </c>
      <c r="I436" s="5">
        <v>0.14000000000000001</v>
      </c>
      <c r="J436" s="52" cm="1">
        <f t="array" ref="J43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209</v>
      </c>
      <c r="K436" s="56" t="s">
        <v>75</v>
      </c>
      <c r="L436" s="54" t="s">
        <v>76</v>
      </c>
      <c r="M436" t="s">
        <v>43</v>
      </c>
      <c r="N436" s="15" t="s">
        <v>171</v>
      </c>
      <c r="O436" s="5" t="s">
        <v>1021</v>
      </c>
      <c r="P436" s="17" t="s">
        <v>69</v>
      </c>
      <c r="Q436" s="10" t="s">
        <v>79</v>
      </c>
      <c r="R436" s="11">
        <v>45289</v>
      </c>
      <c r="S436" s="10" t="s">
        <v>48</v>
      </c>
      <c r="T436" s="3" t="str">
        <f>IF(AND(ProtocolosAF[[#This Row],[STATUS]]="APROVADO",ProtocolosAF[[#This Row],[WAIVER]]=""),"Y","")</f>
        <v/>
      </c>
      <c r="U436" t="s">
        <v>1025</v>
      </c>
      <c r="V436" s="16" t="str">
        <f t="shared" si="21"/>
        <v>4SMSWHMACHADO ALVES/DAVI</v>
      </c>
      <c r="W436">
        <v>379</v>
      </c>
    </row>
    <row r="437" spans="1:23" hidden="1">
      <c r="A437" s="1">
        <v>45288</v>
      </c>
      <c r="B437" t="s">
        <v>15</v>
      </c>
      <c r="C437" t="s">
        <v>1024</v>
      </c>
      <c r="D437" s="23" t="s">
        <v>1024</v>
      </c>
      <c r="E437" t="s">
        <v>41</v>
      </c>
      <c r="F437" s="19">
        <v>57519652</v>
      </c>
      <c r="G437" s="53">
        <v>573542232700</v>
      </c>
      <c r="H437" s="52">
        <v>1492</v>
      </c>
      <c r="I437" s="5">
        <v>0.14000000000000001</v>
      </c>
      <c r="J437" s="52" cm="1">
        <f t="array" ref="J43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209</v>
      </c>
      <c r="K437" s="56" t="s">
        <v>75</v>
      </c>
      <c r="L437" s="54" t="s">
        <v>76</v>
      </c>
      <c r="M437" t="s">
        <v>43</v>
      </c>
      <c r="N437" s="15" t="s">
        <v>171</v>
      </c>
      <c r="O437" s="5" t="s">
        <v>1021</v>
      </c>
      <c r="P437" s="17" t="s">
        <v>69</v>
      </c>
      <c r="Q437" s="10" t="s">
        <v>79</v>
      </c>
      <c r="R437" s="11">
        <v>45289</v>
      </c>
      <c r="S437" s="10" t="s">
        <v>48</v>
      </c>
      <c r="T437" s="3" t="str">
        <f>IF(AND(ProtocolosAF[[#This Row],[STATUS]]="APROVADO",ProtocolosAF[[#This Row],[WAIVER]]=""),"Y","")</f>
        <v/>
      </c>
      <c r="U437" t="s">
        <v>1026</v>
      </c>
      <c r="V437" s="16" t="str">
        <f t="shared" si="21"/>
        <v>4SMSWHSANTIAGO CORDEIRO/JOAO GABRIEL</v>
      </c>
      <c r="W437">
        <v>379</v>
      </c>
    </row>
    <row r="438" spans="1:23" hidden="1">
      <c r="A438" s="1">
        <v>45293</v>
      </c>
      <c r="B438" t="s">
        <v>10</v>
      </c>
      <c r="C438" t="s">
        <v>1027</v>
      </c>
      <c r="D438" s="23" t="s">
        <v>1028</v>
      </c>
      <c r="E438" t="s">
        <v>41</v>
      </c>
      <c r="F438" s="19">
        <v>57519652</v>
      </c>
      <c r="G438" s="53">
        <v>573204864494</v>
      </c>
      <c r="H438" s="52">
        <v>3214</v>
      </c>
      <c r="I438" s="5">
        <v>0.1</v>
      </c>
      <c r="J438" s="52" cm="1">
        <f t="array" ref="J43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322</v>
      </c>
      <c r="K438" s="56" t="s">
        <v>336</v>
      </c>
      <c r="L438" s="54" t="s">
        <v>76</v>
      </c>
      <c r="M438" t="s">
        <v>43</v>
      </c>
      <c r="N438" s="15" t="s">
        <v>171</v>
      </c>
      <c r="O438" s="5" t="s">
        <v>564</v>
      </c>
      <c r="P438" s="17" t="s">
        <v>46</v>
      </c>
      <c r="Q438" s="10" t="s">
        <v>1029</v>
      </c>
      <c r="R438" s="11">
        <v>45325</v>
      </c>
      <c r="S438" s="10" t="s">
        <v>48</v>
      </c>
      <c r="T438" s="3" t="str">
        <f>IF(AND(ProtocolosAF[[#This Row],[STATUS]]="APROVADO",ProtocolosAF[[#This Row],[WAIVER]]=""),"Y","")</f>
        <v/>
      </c>
      <c r="U438" t="s">
        <v>1030</v>
      </c>
      <c r="V438" s="16" t="str">
        <f t="shared" si="21"/>
        <v>LVAFVOANDERSEN/VAGN MR</v>
      </c>
      <c r="W438">
        <v>384</v>
      </c>
    </row>
    <row r="439" spans="1:23" hidden="1">
      <c r="A439" s="1">
        <v>45294</v>
      </c>
      <c r="B439" t="s">
        <v>10</v>
      </c>
      <c r="C439" t="s">
        <v>1031</v>
      </c>
      <c r="D439" s="23" t="s">
        <v>1032</v>
      </c>
      <c r="E439" t="s">
        <v>41</v>
      </c>
      <c r="F439" s="19">
        <v>57519652</v>
      </c>
      <c r="G439" s="53">
        <v>573204871148</v>
      </c>
      <c r="H439" s="52">
        <v>838</v>
      </c>
      <c r="I439" s="5">
        <v>0.1</v>
      </c>
      <c r="J439" s="52" cm="1">
        <f t="array" ref="J43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84</v>
      </c>
      <c r="K439" s="56" t="s">
        <v>336</v>
      </c>
      <c r="L439" s="54" t="s">
        <v>76</v>
      </c>
      <c r="M439" t="s">
        <v>43</v>
      </c>
      <c r="N439" s="15" t="s">
        <v>171</v>
      </c>
      <c r="O439" s="5" t="s">
        <v>167</v>
      </c>
      <c r="P439" s="17" t="s">
        <v>255</v>
      </c>
      <c r="Q439" s="10" t="s">
        <v>1029</v>
      </c>
      <c r="R439" s="11">
        <v>45294</v>
      </c>
      <c r="S439" s="10" t="s">
        <v>48</v>
      </c>
      <c r="T439" s="3" t="str">
        <f>IF(AND(ProtocolosAF[[#This Row],[STATUS]]="APROVADO",ProtocolosAF[[#This Row],[WAIVER]]=""),"Y","")</f>
        <v/>
      </c>
      <c r="U439" t="s">
        <v>1033</v>
      </c>
      <c r="V439" s="16" t="str">
        <f t="shared" si="21"/>
        <v>WBBCESSALVADOR JUNIOR/GILBERTO</v>
      </c>
      <c r="W439">
        <v>385</v>
      </c>
    </row>
    <row r="440" spans="1:23" hidden="1">
      <c r="A440" s="1">
        <v>45294</v>
      </c>
      <c r="B440" t="s">
        <v>10</v>
      </c>
      <c r="C440" t="s">
        <v>1031</v>
      </c>
      <c r="D440" s="23" t="s">
        <v>1032</v>
      </c>
      <c r="E440" t="s">
        <v>41</v>
      </c>
      <c r="F440" s="19">
        <v>57519652</v>
      </c>
      <c r="G440" s="53">
        <v>573204871149</v>
      </c>
      <c r="H440" s="52">
        <v>838</v>
      </c>
      <c r="I440" s="5">
        <v>0.1</v>
      </c>
      <c r="J440" s="52" cm="1">
        <f t="array" ref="J44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84</v>
      </c>
      <c r="K440" s="56" t="s">
        <v>336</v>
      </c>
      <c r="L440" s="54" t="s">
        <v>76</v>
      </c>
      <c r="M440" t="s">
        <v>43</v>
      </c>
      <c r="N440" s="15" t="s">
        <v>171</v>
      </c>
      <c r="O440" s="5" t="s">
        <v>167</v>
      </c>
      <c r="P440" s="17" t="s">
        <v>255</v>
      </c>
      <c r="Q440" s="10" t="s">
        <v>1029</v>
      </c>
      <c r="R440" s="11">
        <v>45294</v>
      </c>
      <c r="S440" s="10" t="s">
        <v>48</v>
      </c>
      <c r="T440" s="3" t="str">
        <f>IF(AND(ProtocolosAF[[#This Row],[STATUS]]="APROVADO",ProtocolosAF[[#This Row],[WAIVER]]=""),"Y","")</f>
        <v/>
      </c>
      <c r="U440" t="s">
        <v>1034</v>
      </c>
      <c r="V440" s="16" t="str">
        <f t="shared" si="21"/>
        <v>WBBCESSALOMAO SALVADOR/LUCIANA</v>
      </c>
      <c r="W440">
        <v>385</v>
      </c>
    </row>
    <row r="441" spans="1:23" hidden="1">
      <c r="A441" s="1">
        <v>45294</v>
      </c>
      <c r="B441" t="s">
        <v>10</v>
      </c>
      <c r="C441" t="s">
        <v>1031</v>
      </c>
      <c r="D441" s="23" t="s">
        <v>1032</v>
      </c>
      <c r="E441" t="s">
        <v>41</v>
      </c>
      <c r="F441" s="19">
        <v>57519652</v>
      </c>
      <c r="G441" s="53">
        <v>573204875650</v>
      </c>
      <c r="H441" s="52">
        <v>838</v>
      </c>
      <c r="I441" s="5">
        <v>0.1</v>
      </c>
      <c r="J441" s="52" cm="1">
        <f t="array" ref="J44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84</v>
      </c>
      <c r="K441" s="56" t="s">
        <v>336</v>
      </c>
      <c r="L441" s="54" t="s">
        <v>76</v>
      </c>
      <c r="M441" t="s">
        <v>43</v>
      </c>
      <c r="N441" s="15" t="s">
        <v>171</v>
      </c>
      <c r="O441" s="5" t="s">
        <v>167</v>
      </c>
      <c r="P441" s="17" t="s">
        <v>255</v>
      </c>
      <c r="Q441" s="10" t="s">
        <v>1029</v>
      </c>
      <c r="R441" s="11">
        <v>45294</v>
      </c>
      <c r="S441" s="10" t="s">
        <v>48</v>
      </c>
      <c r="T441" s="3" t="str">
        <f>IF(AND(ProtocolosAF[[#This Row],[STATUS]]="APROVADO",ProtocolosAF[[#This Row],[WAIVER]]=""),"Y","")</f>
        <v/>
      </c>
      <c r="U441" t="s">
        <v>1035</v>
      </c>
      <c r="V441" s="16" t="str">
        <f t="shared" si="21"/>
        <v>WBBCESALVES SALOMAO/ILMA</v>
      </c>
      <c r="W441">
        <v>385</v>
      </c>
    </row>
    <row r="442" spans="1:23" hidden="1">
      <c r="A442" s="1">
        <v>45294</v>
      </c>
      <c r="B442" t="s">
        <v>11</v>
      </c>
      <c r="C442" t="s">
        <v>1010</v>
      </c>
      <c r="D442" s="23" t="s">
        <v>1011</v>
      </c>
      <c r="E442" t="s">
        <v>73</v>
      </c>
      <c r="F442" s="19">
        <v>57564931</v>
      </c>
      <c r="G442" s="53">
        <v>574207248831</v>
      </c>
      <c r="H442" s="52">
        <v>80</v>
      </c>
      <c r="I442" s="5" t="s">
        <v>74</v>
      </c>
      <c r="J442" s="52" cm="1">
        <f t="array" ref="J44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80</v>
      </c>
      <c r="K442" s="56" t="s">
        <v>892</v>
      </c>
      <c r="L442" s="54" t="s">
        <v>76</v>
      </c>
      <c r="M442" t="s">
        <v>43</v>
      </c>
      <c r="N442" s="15" t="s">
        <v>84</v>
      </c>
      <c r="O442" s="5" t="s">
        <v>669</v>
      </c>
      <c r="P442" s="17" t="s">
        <v>69</v>
      </c>
      <c r="Q442" s="10" t="s">
        <v>353</v>
      </c>
      <c r="R442" s="11">
        <v>45300</v>
      </c>
      <c r="S442" s="10" t="s">
        <v>520</v>
      </c>
      <c r="T442" s="3" t="str">
        <f>IF(AND(ProtocolosAF[[#This Row],[STATUS]]="APROVADO",ProtocolosAF[[#This Row],[WAIVER]]=""),"Y","")</f>
        <v/>
      </c>
      <c r="U442" t="s">
        <v>1036</v>
      </c>
      <c r="V442" s="16" t="str">
        <f t="shared" si="21"/>
        <v>6JFPYQNOJIRI/CLAUDIO</v>
      </c>
      <c r="W442">
        <v>386</v>
      </c>
    </row>
    <row r="443" spans="1:23" hidden="1">
      <c r="A443" s="1">
        <v>45294</v>
      </c>
      <c r="B443" t="s">
        <v>11</v>
      </c>
      <c r="C443" t="s">
        <v>1014</v>
      </c>
      <c r="D443" s="23" t="s">
        <v>1015</v>
      </c>
      <c r="E443" t="s">
        <v>73</v>
      </c>
      <c r="F443" s="19">
        <v>57564931</v>
      </c>
      <c r="G443" s="53">
        <v>574207248830</v>
      </c>
      <c r="H443" s="52">
        <v>160</v>
      </c>
      <c r="I443" s="5" t="s">
        <v>74</v>
      </c>
      <c r="J443" s="52" cm="1">
        <f t="array" ref="J44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160</v>
      </c>
      <c r="K443" s="56" t="s">
        <v>892</v>
      </c>
      <c r="L443" s="54" t="s">
        <v>76</v>
      </c>
      <c r="M443" t="s">
        <v>43</v>
      </c>
      <c r="N443" s="15" t="s">
        <v>84</v>
      </c>
      <c r="O443" s="5" t="s">
        <v>669</v>
      </c>
      <c r="P443" s="17" t="s">
        <v>69</v>
      </c>
      <c r="Q443" s="10" t="s">
        <v>353</v>
      </c>
      <c r="R443" s="11">
        <v>45301</v>
      </c>
      <c r="S443" s="10" t="s">
        <v>520</v>
      </c>
      <c r="T443" s="3" t="str">
        <f>IF(AND(ProtocolosAF[[#This Row],[STATUS]]="APROVADO",ProtocolosAF[[#This Row],[WAIVER]]=""),"Y","")</f>
        <v/>
      </c>
      <c r="U443" t="s">
        <v>1037</v>
      </c>
      <c r="V443" s="16" t="str">
        <f t="shared" si="21"/>
        <v>6JGT7BKUME/MILTON</v>
      </c>
      <c r="W443">
        <v>388</v>
      </c>
    </row>
    <row r="444" spans="1:23" hidden="1">
      <c r="A444" s="1">
        <v>45294</v>
      </c>
      <c r="B444" t="s">
        <v>11</v>
      </c>
      <c r="C444" t="s">
        <v>1017</v>
      </c>
      <c r="D444" s="23" t="s">
        <v>1018</v>
      </c>
      <c r="E444" t="s">
        <v>73</v>
      </c>
      <c r="F444" s="19">
        <v>57564931</v>
      </c>
      <c r="G444" s="53">
        <v>574207248826</v>
      </c>
      <c r="H444" s="52">
        <v>160</v>
      </c>
      <c r="I444" s="5" t="s">
        <v>74</v>
      </c>
      <c r="J444" s="52" cm="1">
        <f t="array" ref="J44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160</v>
      </c>
      <c r="K444" s="56" t="s">
        <v>892</v>
      </c>
      <c r="L444" s="54" t="s">
        <v>76</v>
      </c>
      <c r="M444" t="s">
        <v>43</v>
      </c>
      <c r="N444" s="15" t="s">
        <v>84</v>
      </c>
      <c r="O444" s="5" t="s">
        <v>669</v>
      </c>
      <c r="P444" s="17" t="s">
        <v>69</v>
      </c>
      <c r="Q444" s="10" t="s">
        <v>353</v>
      </c>
      <c r="R444" s="11">
        <v>45302</v>
      </c>
      <c r="S444" s="10" t="s">
        <v>520</v>
      </c>
      <c r="T444" s="3" t="str">
        <f>IF(AND(ProtocolosAF[[#This Row],[STATUS]]="APROVADO",ProtocolosAF[[#This Row],[WAIVER]]=""),"Y","")</f>
        <v/>
      </c>
      <c r="U444" t="s">
        <v>1038</v>
      </c>
      <c r="V444" s="16" t="str">
        <f t="shared" si="21"/>
        <v>6JGS95NOJIRI/ricardo</v>
      </c>
      <c r="W444">
        <v>387</v>
      </c>
    </row>
    <row r="445" spans="1:23" hidden="1">
      <c r="A445" s="1">
        <v>45294</v>
      </c>
      <c r="B445" t="s">
        <v>10</v>
      </c>
      <c r="C445" t="s">
        <v>1027</v>
      </c>
      <c r="D445" s="23" t="s">
        <v>1028</v>
      </c>
      <c r="E445" t="s">
        <v>73</v>
      </c>
      <c r="F445" s="19">
        <v>57994602</v>
      </c>
      <c r="G445" s="53">
        <v>574207248848</v>
      </c>
      <c r="H445" s="52">
        <v>179</v>
      </c>
      <c r="I445" s="5" t="s">
        <v>74</v>
      </c>
      <c r="J445" s="52" cm="1">
        <f t="array" ref="J44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179</v>
      </c>
      <c r="K445" s="56" t="s">
        <v>306</v>
      </c>
      <c r="L445" s="54" t="s">
        <v>172</v>
      </c>
      <c r="M445" t="s">
        <v>43</v>
      </c>
      <c r="N445" s="15" t="s">
        <v>171</v>
      </c>
      <c r="O445" s="5" t="s">
        <v>78</v>
      </c>
      <c r="P445" s="17" t="s">
        <v>46</v>
      </c>
      <c r="Q445" s="10" t="s">
        <v>222</v>
      </c>
      <c r="R445" s="11">
        <v>45203</v>
      </c>
      <c r="S445" s="10" t="s">
        <v>520</v>
      </c>
      <c r="T445" s="3" t="str">
        <f>IF(AND(ProtocolosAF[[#This Row],[STATUS]]="APROVADO",ProtocolosAF[[#This Row],[WAIVER]]=""),"Y","")</f>
        <v/>
      </c>
      <c r="U445" t="s">
        <v>1039</v>
      </c>
      <c r="V445" s="16" t="str">
        <f t="shared" si="21"/>
        <v xml:space="preserve">LVAFVOANDERSEN/VAGN </v>
      </c>
      <c r="W445">
        <v>389</v>
      </c>
    </row>
    <row r="446" spans="1:23" hidden="1">
      <c r="A446" s="1">
        <v>45294</v>
      </c>
      <c r="B446" t="s">
        <v>15</v>
      </c>
      <c r="C446" t="s">
        <v>1040</v>
      </c>
      <c r="D446" s="23" t="s">
        <v>1041</v>
      </c>
      <c r="E446" t="s">
        <v>41</v>
      </c>
      <c r="F446" s="19">
        <v>57564931</v>
      </c>
      <c r="G446" s="53">
        <v>572935976983</v>
      </c>
      <c r="H446" s="52">
        <v>1153</v>
      </c>
      <c r="I446" s="5">
        <v>0.1</v>
      </c>
      <c r="J446" s="52" cm="1">
        <f t="array" ref="J44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116</v>
      </c>
      <c r="K446" s="56" t="s">
        <v>177</v>
      </c>
      <c r="L446" s="54" t="s">
        <v>76</v>
      </c>
      <c r="M446" t="s">
        <v>43</v>
      </c>
      <c r="N446" s="15" t="s">
        <v>171</v>
      </c>
      <c r="O446" s="5" t="s">
        <v>1042</v>
      </c>
      <c r="P446" s="17" t="s">
        <v>46</v>
      </c>
      <c r="Q446" s="10" t="s">
        <v>396</v>
      </c>
      <c r="R446" s="11">
        <v>45295</v>
      </c>
      <c r="S446" s="10" t="s">
        <v>48</v>
      </c>
      <c r="T446" s="3" t="str">
        <f>IF(AND(ProtocolosAF[[#This Row],[STATUS]]="APROVADO",ProtocolosAF[[#This Row],[WAIVER]]=""),"Y","")</f>
        <v/>
      </c>
      <c r="U446" t="s">
        <v>1043</v>
      </c>
      <c r="V446" s="16" t="str">
        <f t="shared" si="21"/>
        <v xml:space="preserve">6KN5Z0VASQUES VECCHIETTI/CLAUDIOMR </v>
      </c>
      <c r="W446">
        <v>390</v>
      </c>
    </row>
    <row r="447" spans="1:23" hidden="1">
      <c r="A447" s="1">
        <v>45294</v>
      </c>
      <c r="B447" t="s">
        <v>15</v>
      </c>
      <c r="C447" t="s">
        <v>1040</v>
      </c>
      <c r="D447" s="23" t="s">
        <v>1041</v>
      </c>
      <c r="E447" t="s">
        <v>41</v>
      </c>
      <c r="F447" s="19">
        <v>57564931</v>
      </c>
      <c r="G447" s="53">
        <v>572935976982</v>
      </c>
      <c r="H447" s="52">
        <v>1153</v>
      </c>
      <c r="I447" s="5">
        <v>0.1</v>
      </c>
      <c r="J447" s="52" cm="1">
        <f t="array" ref="J44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116</v>
      </c>
      <c r="K447" s="56" t="s">
        <v>177</v>
      </c>
      <c r="L447" s="54" t="s">
        <v>76</v>
      </c>
      <c r="M447" t="s">
        <v>43</v>
      </c>
      <c r="N447" s="15" t="s">
        <v>171</v>
      </c>
      <c r="O447" s="5" t="s">
        <v>1042</v>
      </c>
      <c r="P447" s="17" t="s">
        <v>46</v>
      </c>
      <c r="Q447" s="10" t="s">
        <v>396</v>
      </c>
      <c r="R447" s="11">
        <v>45295</v>
      </c>
      <c r="S447" s="10" t="s">
        <v>48</v>
      </c>
      <c r="T447" s="3" t="str">
        <f>IF(AND(ProtocolosAF[[#This Row],[STATUS]]="APROVADO",ProtocolosAF[[#This Row],[WAIVER]]=""),"Y","")</f>
        <v/>
      </c>
      <c r="U447" t="s">
        <v>1044</v>
      </c>
      <c r="V447" s="16" t="str">
        <f t="shared" si="21"/>
        <v>6KN5Z0SANTOS VECCHIETTI/JOAO PEDROMR</v>
      </c>
      <c r="W447">
        <v>390</v>
      </c>
    </row>
    <row r="448" spans="1:23" hidden="1">
      <c r="A448" s="1">
        <v>45294</v>
      </c>
      <c r="B448" t="s">
        <v>15</v>
      </c>
      <c r="C448" t="s">
        <v>1040</v>
      </c>
      <c r="D448" s="23" t="s">
        <v>1041</v>
      </c>
      <c r="E448" t="s">
        <v>41</v>
      </c>
      <c r="F448" s="19">
        <v>57564931</v>
      </c>
      <c r="G448" s="53">
        <v>572935976984</v>
      </c>
      <c r="H448" s="52">
        <v>1153</v>
      </c>
      <c r="I448" s="5">
        <v>0.1</v>
      </c>
      <c r="J448" s="52" cm="1">
        <f t="array" ref="J44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116</v>
      </c>
      <c r="K448" s="56" t="s">
        <v>177</v>
      </c>
      <c r="L448" s="54" t="s">
        <v>76</v>
      </c>
      <c r="M448" t="s">
        <v>43</v>
      </c>
      <c r="N448" s="15" t="s">
        <v>171</v>
      </c>
      <c r="O448" s="5" t="s">
        <v>1042</v>
      </c>
      <c r="P448" s="17" t="s">
        <v>46</v>
      </c>
      <c r="Q448" s="10" t="s">
        <v>396</v>
      </c>
      <c r="R448" s="11">
        <v>45295</v>
      </c>
      <c r="S448" s="10" t="s">
        <v>48</v>
      </c>
      <c r="T448" s="3" t="str">
        <f>IF(AND(ProtocolosAF[[#This Row],[STATUS]]="APROVADO",ProtocolosAF[[#This Row],[WAIVER]]=""),"Y","")</f>
        <v/>
      </c>
      <c r="U448" t="s">
        <v>1045</v>
      </c>
      <c r="V448" s="16" t="str">
        <f t="shared" si="21"/>
        <v>6KN5Z0SANTOS VECCHIETTI/LUIS EDUARDO</v>
      </c>
      <c r="W448">
        <v>390</v>
      </c>
    </row>
    <row r="449" spans="1:23" hidden="1">
      <c r="A449" s="1">
        <v>45295</v>
      </c>
      <c r="B449" t="s">
        <v>11</v>
      </c>
      <c r="C449" t="s">
        <v>1046</v>
      </c>
      <c r="D449" s="23" t="s">
        <v>1047</v>
      </c>
      <c r="E449" t="s">
        <v>41</v>
      </c>
      <c r="F449" s="19">
        <v>57564931</v>
      </c>
      <c r="G449" s="53">
        <v>573204880752</v>
      </c>
      <c r="H449" s="52">
        <v>921</v>
      </c>
      <c r="I449" s="5">
        <v>0.08</v>
      </c>
      <c r="J449" s="52" cm="1">
        <f t="array" ref="J44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74</v>
      </c>
      <c r="K449" s="56" t="s">
        <v>99</v>
      </c>
      <c r="L449" s="54" t="s">
        <v>76</v>
      </c>
      <c r="M449" t="s">
        <v>43</v>
      </c>
      <c r="N449" s="15" t="s">
        <v>84</v>
      </c>
      <c r="O449" s="5" t="s">
        <v>1048</v>
      </c>
      <c r="P449" s="17" t="s">
        <v>146</v>
      </c>
      <c r="Q449" s="10" t="s">
        <v>250</v>
      </c>
      <c r="R449" s="11">
        <v>45295</v>
      </c>
      <c r="S449" s="10" t="s">
        <v>48</v>
      </c>
      <c r="T449" s="3" t="str">
        <f>IF(AND(ProtocolosAF[[#This Row],[STATUS]]="APROVADO",ProtocolosAF[[#This Row],[WAIVER]]=""),"Y","")</f>
        <v/>
      </c>
      <c r="U449" t="s">
        <v>1049</v>
      </c>
      <c r="V449" s="16" t="str">
        <f t="shared" si="21"/>
        <v>COVKHYBALIEIRO DE SOUZA/THIAGO ARAUJO MR</v>
      </c>
      <c r="W449">
        <v>391</v>
      </c>
    </row>
    <row r="450" spans="1:23" hidden="1">
      <c r="A450" s="1">
        <v>45295</v>
      </c>
      <c r="B450" t="s">
        <v>10</v>
      </c>
      <c r="C450" t="s">
        <v>1050</v>
      </c>
      <c r="D450" s="23" t="s">
        <v>1050</v>
      </c>
      <c r="E450" t="s">
        <v>41</v>
      </c>
      <c r="F450" s="19">
        <v>57564931</v>
      </c>
      <c r="G450" s="53">
        <v>573542276990</v>
      </c>
      <c r="H450" s="52">
        <v>2224</v>
      </c>
      <c r="I450" s="5">
        <v>0.15</v>
      </c>
      <c r="J450" s="52" cm="1">
        <f t="array" ref="J45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334</v>
      </c>
      <c r="K450" s="56" t="s">
        <v>237</v>
      </c>
      <c r="L450" s="54" t="s">
        <v>66</v>
      </c>
      <c r="M450" t="s">
        <v>43</v>
      </c>
      <c r="N450" s="15" t="s">
        <v>171</v>
      </c>
      <c r="O450" s="5" t="s">
        <v>978</v>
      </c>
      <c r="P450" s="17" t="s">
        <v>146</v>
      </c>
      <c r="Q450" s="10" t="s">
        <v>1051</v>
      </c>
      <c r="R450" s="11">
        <v>45295</v>
      </c>
      <c r="S450" s="10" t="s">
        <v>48</v>
      </c>
      <c r="T450" s="3" t="str">
        <f>IF(AND(ProtocolosAF[[#This Row],[STATUS]]="APROVADO",ProtocolosAF[[#This Row],[WAIVER]]=""),"Y","")</f>
        <v/>
      </c>
      <c r="U450" t="s">
        <v>1052</v>
      </c>
      <c r="V450" s="16" t="str">
        <f t="shared" si="21"/>
        <v>2UDE3YEGAMI/AYAKO MRS</v>
      </c>
      <c r="W450">
        <v>393</v>
      </c>
    </row>
    <row r="451" spans="1:23" hidden="1">
      <c r="A451" s="1">
        <v>45295</v>
      </c>
      <c r="B451" t="s">
        <v>10</v>
      </c>
      <c r="C451" t="s">
        <v>1050</v>
      </c>
      <c r="D451" s="23" t="s">
        <v>1050</v>
      </c>
      <c r="E451" t="s">
        <v>73</v>
      </c>
      <c r="F451" s="19">
        <v>57564931</v>
      </c>
      <c r="G451" s="53">
        <v>574207248856</v>
      </c>
      <c r="H451" s="52">
        <v>236</v>
      </c>
      <c r="I451" s="5" t="s">
        <v>74</v>
      </c>
      <c r="J451" s="52" cm="1">
        <f t="array" ref="J45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236</v>
      </c>
      <c r="K451" s="56" t="s">
        <v>237</v>
      </c>
      <c r="L451" s="54" t="s">
        <v>66</v>
      </c>
      <c r="M451" t="s">
        <v>43</v>
      </c>
      <c r="N451" s="15" t="s">
        <v>171</v>
      </c>
      <c r="O451" s="5" t="s">
        <v>978</v>
      </c>
      <c r="P451" s="17" t="s">
        <v>146</v>
      </c>
      <c r="Q451" s="10" t="s">
        <v>1051</v>
      </c>
      <c r="R451" s="11">
        <v>45295</v>
      </c>
      <c r="S451" s="10" t="s">
        <v>520</v>
      </c>
      <c r="T451" s="3" t="str">
        <f>IF(AND(ProtocolosAF[[#This Row],[STATUS]]="APROVADO",ProtocolosAF[[#This Row],[WAIVER]]=""),"Y","")</f>
        <v/>
      </c>
      <c r="U451" t="s">
        <v>1052</v>
      </c>
      <c r="V451" s="16" t="str">
        <f t="shared" si="21"/>
        <v>2UDE3YEGAMI/AYAKO MRS</v>
      </c>
      <c r="W451">
        <v>394</v>
      </c>
    </row>
    <row r="452" spans="1:23" hidden="1">
      <c r="A452" s="1">
        <v>45296</v>
      </c>
      <c r="B452" t="s">
        <v>10</v>
      </c>
      <c r="C452" t="s">
        <v>1053</v>
      </c>
      <c r="D452" s="23" t="s">
        <v>1054</v>
      </c>
      <c r="E452" t="s">
        <v>512</v>
      </c>
      <c r="F452" s="19">
        <v>57564931</v>
      </c>
      <c r="G452" s="53">
        <v>572935978012</v>
      </c>
      <c r="H452" s="52">
        <v>183</v>
      </c>
      <c r="I452" s="5" t="s">
        <v>74</v>
      </c>
      <c r="J452" s="52" cm="1">
        <f t="array" ref="J45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183</v>
      </c>
      <c r="K452" s="56" t="s">
        <v>345</v>
      </c>
      <c r="L452" s="54" t="s">
        <v>172</v>
      </c>
      <c r="M452" t="s">
        <v>43</v>
      </c>
      <c r="N452" s="15" t="s">
        <v>171</v>
      </c>
      <c r="O452" s="5" t="s">
        <v>78</v>
      </c>
      <c r="P452" s="17" t="s">
        <v>69</v>
      </c>
      <c r="Q452" s="10" t="s">
        <v>222</v>
      </c>
      <c r="R452" s="11">
        <v>45299</v>
      </c>
      <c r="S452" s="10" t="s">
        <v>720</v>
      </c>
      <c r="T452" s="3" t="str">
        <f>IF(AND(ProtocolosAF[[#This Row],[STATUS]]="APROVADO",ProtocolosAF[[#This Row],[WAIVER]]=""),"Y","")</f>
        <v/>
      </c>
      <c r="U452" t="s">
        <v>1055</v>
      </c>
      <c r="V452" s="16" t="str">
        <f t="shared" si="21"/>
        <v xml:space="preserve">6J07GRHERRERA LOPEZ/ANGELA PATRICIAMRS </v>
      </c>
      <c r="W452">
        <v>395</v>
      </c>
    </row>
    <row r="453" spans="1:23" hidden="1">
      <c r="A453" s="1">
        <v>45296</v>
      </c>
      <c r="B453" t="s">
        <v>13</v>
      </c>
      <c r="C453" t="s">
        <v>1056</v>
      </c>
      <c r="D453" s="23" t="s">
        <v>1057</v>
      </c>
      <c r="E453" t="s">
        <v>41</v>
      </c>
      <c r="F453" s="19">
        <v>57564931</v>
      </c>
      <c r="G453" s="53">
        <v>573204891404</v>
      </c>
      <c r="H453" s="52">
        <v>1550</v>
      </c>
      <c r="I453" s="5">
        <v>0.1</v>
      </c>
      <c r="J453" s="52" cm="1">
        <f t="array" ref="J45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155</v>
      </c>
      <c r="K453" s="56" t="s">
        <v>151</v>
      </c>
      <c r="L453" s="54" t="s">
        <v>76</v>
      </c>
      <c r="M453" t="s">
        <v>43</v>
      </c>
      <c r="N453" s="15" t="s">
        <v>863</v>
      </c>
      <c r="O453" s="5" t="s">
        <v>298</v>
      </c>
      <c r="P453" s="17" t="s">
        <v>69</v>
      </c>
      <c r="Q453" s="10" t="s">
        <v>168</v>
      </c>
      <c r="R453" s="11">
        <v>45296</v>
      </c>
      <c r="S453" s="10" t="s">
        <v>48</v>
      </c>
      <c r="T453" s="3" t="str">
        <f>IF(AND(ProtocolosAF[[#This Row],[STATUS]]="APROVADO",ProtocolosAF[[#This Row],[WAIVER]]=""),"Y","")</f>
        <v/>
      </c>
      <c r="U453" t="s">
        <v>1058</v>
      </c>
      <c r="V453" s="16" t="str">
        <f t="shared" si="21"/>
        <v xml:space="preserve">IOIIGTNAMI HADDAD SAADE/RENATA </v>
      </c>
      <c r="W453">
        <v>396</v>
      </c>
    </row>
    <row r="454" spans="1:23" hidden="1">
      <c r="A454" s="1">
        <v>45300</v>
      </c>
      <c r="B454" t="s">
        <v>11</v>
      </c>
      <c r="C454" t="s">
        <v>1059</v>
      </c>
      <c r="D454" s="23" t="s">
        <v>1060</v>
      </c>
      <c r="E454" t="s">
        <v>41</v>
      </c>
      <c r="F454" s="19">
        <v>57564931</v>
      </c>
      <c r="G454" s="53">
        <v>573204908351</v>
      </c>
      <c r="H454" s="52">
        <v>2745</v>
      </c>
      <c r="I454" s="5">
        <v>0.08</v>
      </c>
      <c r="J454" s="52" cm="1">
        <f t="array" ref="J45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220</v>
      </c>
      <c r="K454" s="56" t="s">
        <v>99</v>
      </c>
      <c r="L454" s="54" t="s">
        <v>76</v>
      </c>
      <c r="M454" t="s">
        <v>43</v>
      </c>
      <c r="N454" s="15" t="s">
        <v>84</v>
      </c>
      <c r="O454" s="5" t="s">
        <v>1061</v>
      </c>
      <c r="P454" s="17" t="s">
        <v>146</v>
      </c>
      <c r="Q454" s="10" t="s">
        <v>250</v>
      </c>
      <c r="R454" s="11">
        <v>45300</v>
      </c>
      <c r="S454" s="10" t="s">
        <v>48</v>
      </c>
      <c r="T454" s="3" t="str">
        <f>IF(AND(ProtocolosAF[[#This Row],[STATUS]]="APROVADO",ProtocolosAF[[#This Row],[WAIVER]]=""),"Y","")</f>
        <v/>
      </c>
      <c r="U454" t="s">
        <v>1062</v>
      </c>
      <c r="V454" s="16" t="str">
        <f t="shared" si="21"/>
        <v>ISWCCRMALTA/MARCIO MR</v>
      </c>
      <c r="W454">
        <v>397</v>
      </c>
    </row>
    <row r="455" spans="1:23" hidden="1">
      <c r="A455" s="1">
        <v>45301</v>
      </c>
      <c r="B455" t="s">
        <v>12</v>
      </c>
      <c r="C455" t="s">
        <v>1063</v>
      </c>
      <c r="D455" s="23" t="s">
        <v>1064</v>
      </c>
      <c r="E455" t="s">
        <v>41</v>
      </c>
      <c r="F455" s="19"/>
      <c r="G455" s="53"/>
      <c r="H455" s="52">
        <v>878</v>
      </c>
      <c r="I455" s="5">
        <v>0.1</v>
      </c>
      <c r="J455" s="52" t="str" cm="1">
        <f t="array" ref="J45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55" s="56" t="s">
        <v>227</v>
      </c>
      <c r="L455" s="54" t="s">
        <v>172</v>
      </c>
      <c r="M455" t="s">
        <v>100</v>
      </c>
      <c r="N455" s="15" t="s">
        <v>863</v>
      </c>
      <c r="O455" s="5" t="s">
        <v>1065</v>
      </c>
      <c r="P455" s="17" t="s">
        <v>46</v>
      </c>
      <c r="Q455" s="10"/>
      <c r="R455" s="11"/>
      <c r="S455" s="10"/>
      <c r="T455" s="3" t="str">
        <f>IF(AND(ProtocolosAF[[#This Row],[STATUS]]="APROVADO",ProtocolosAF[[#This Row],[WAIVER]]=""),"Y","")</f>
        <v/>
      </c>
      <c r="U455" t="s">
        <v>1066</v>
      </c>
      <c r="V455" s="16" t="str">
        <f t="shared" ref="V455:V518" si="22">_xlfn.CONCAT(C455,U455)</f>
        <v>6MVMGXGOMES FERRARI/MARIA JOSE</v>
      </c>
      <c r="W455">
        <v>403</v>
      </c>
    </row>
    <row r="456" spans="1:23" hidden="1">
      <c r="A456" s="1">
        <v>45301</v>
      </c>
      <c r="B456" t="s">
        <v>12</v>
      </c>
      <c r="C456" t="s">
        <v>1063</v>
      </c>
      <c r="D456" s="23" t="s">
        <v>1064</v>
      </c>
      <c r="E456" t="s">
        <v>41</v>
      </c>
      <c r="F456" s="19"/>
      <c r="G456" s="53"/>
      <c r="H456" s="52">
        <v>878</v>
      </c>
      <c r="I456" s="5">
        <v>0.1</v>
      </c>
      <c r="J456" s="52" t="str" cm="1">
        <f t="array" ref="J45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56" s="56" t="s">
        <v>227</v>
      </c>
      <c r="L456" s="54" t="s">
        <v>172</v>
      </c>
      <c r="M456" t="s">
        <v>100</v>
      </c>
      <c r="N456" s="15" t="s">
        <v>863</v>
      </c>
      <c r="O456" s="5" t="s">
        <v>1065</v>
      </c>
      <c r="P456" s="17" t="s">
        <v>46</v>
      </c>
      <c r="Q456" s="10"/>
      <c r="R456" s="11"/>
      <c r="S456" s="10"/>
      <c r="T456" s="3" t="str">
        <f>IF(AND(ProtocolosAF[[#This Row],[STATUS]]="APROVADO",ProtocolosAF[[#This Row],[WAIVER]]=""),"Y","")</f>
        <v/>
      </c>
      <c r="U456" t="s">
        <v>1067</v>
      </c>
      <c r="V456" s="16" t="str">
        <f t="shared" si="22"/>
        <v>6MVMGXFERRARI/OSWALDO</v>
      </c>
      <c r="W456">
        <v>403</v>
      </c>
    </row>
    <row r="457" spans="1:23" hidden="1">
      <c r="A457" s="1">
        <v>45302</v>
      </c>
      <c r="B457" t="s">
        <v>11</v>
      </c>
      <c r="C457" t="s">
        <v>1068</v>
      </c>
      <c r="D457" s="23" t="s">
        <v>1069</v>
      </c>
      <c r="E457" t="s">
        <v>41</v>
      </c>
      <c r="F457" s="19">
        <v>57564931</v>
      </c>
      <c r="G457" s="53">
        <v>573204924713</v>
      </c>
      <c r="H457" s="52">
        <v>1218</v>
      </c>
      <c r="I457" s="5">
        <v>0.08</v>
      </c>
      <c r="J457" s="52" cm="1">
        <f t="array" ref="J45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98</v>
      </c>
      <c r="K457" s="56" t="s">
        <v>99</v>
      </c>
      <c r="L457" s="54" t="s">
        <v>76</v>
      </c>
      <c r="M457" t="s">
        <v>43</v>
      </c>
      <c r="N457" s="15" t="s">
        <v>84</v>
      </c>
      <c r="O457" s="5" t="s">
        <v>1048</v>
      </c>
      <c r="P457" s="17" t="s">
        <v>146</v>
      </c>
      <c r="Q457" s="10" t="s">
        <v>250</v>
      </c>
      <c r="R457" s="11">
        <v>45302</v>
      </c>
      <c r="S457" s="10" t="s">
        <v>48</v>
      </c>
      <c r="T457" s="3" t="str">
        <f>IF(AND(ProtocolosAF[[#This Row],[STATUS]]="APROVADO",ProtocolosAF[[#This Row],[WAIVER]]=""),"Y","")</f>
        <v/>
      </c>
      <c r="U457" t="s">
        <v>1070</v>
      </c>
      <c r="V457" s="16" t="str">
        <f t="shared" si="22"/>
        <v>DBOHAHALMEIDA MAXIMINO/FELIPE MR</v>
      </c>
      <c r="W457">
        <v>404</v>
      </c>
    </row>
    <row r="458" spans="1:23" hidden="1">
      <c r="A458" s="1">
        <v>45302</v>
      </c>
      <c r="B458" t="s">
        <v>11</v>
      </c>
      <c r="C458" t="s">
        <v>1068</v>
      </c>
      <c r="D458" s="23" t="s">
        <v>1069</v>
      </c>
      <c r="E458" t="s">
        <v>41</v>
      </c>
      <c r="F458" s="19">
        <v>57564931</v>
      </c>
      <c r="G458" s="53">
        <v>573204924714</v>
      </c>
      <c r="H458" s="52">
        <v>1218</v>
      </c>
      <c r="I458" s="5">
        <v>0.08</v>
      </c>
      <c r="J458" s="52" cm="1">
        <f t="array" ref="J45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98</v>
      </c>
      <c r="K458" s="56" t="s">
        <v>99</v>
      </c>
      <c r="L458" s="54" t="s">
        <v>76</v>
      </c>
      <c r="M458" t="s">
        <v>43</v>
      </c>
      <c r="N458" s="15" t="s">
        <v>84</v>
      </c>
      <c r="O458" s="5" t="s">
        <v>1048</v>
      </c>
      <c r="P458" s="17" t="s">
        <v>146</v>
      </c>
      <c r="Q458" s="10" t="s">
        <v>250</v>
      </c>
      <c r="R458" s="11">
        <v>45302</v>
      </c>
      <c r="S458" s="10" t="s">
        <v>48</v>
      </c>
      <c r="T458" s="3" t="str">
        <f>IF(AND(ProtocolosAF[[#This Row],[STATUS]]="APROVADO",ProtocolosAF[[#This Row],[WAIVER]]=""),"Y","")</f>
        <v/>
      </c>
      <c r="U458" t="s">
        <v>1071</v>
      </c>
      <c r="V458" s="16" t="str">
        <f t="shared" si="22"/>
        <v>DBOHAHRUGAI/VANESSA MRS</v>
      </c>
      <c r="W458">
        <v>404</v>
      </c>
    </row>
    <row r="459" spans="1:23" hidden="1">
      <c r="A459" s="1">
        <v>45303</v>
      </c>
      <c r="B459" t="s">
        <v>10</v>
      </c>
      <c r="C459" t="s">
        <v>1072</v>
      </c>
      <c r="D459" s="23" t="s">
        <v>1073</v>
      </c>
      <c r="E459" t="s">
        <v>41</v>
      </c>
      <c r="F459" s="19">
        <v>57564931</v>
      </c>
      <c r="G459" s="53">
        <v>573204933629</v>
      </c>
      <c r="H459" s="52">
        <v>788</v>
      </c>
      <c r="I459" s="5">
        <v>0.12</v>
      </c>
      <c r="J459" s="52" cm="1">
        <f t="array" ref="J45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95</v>
      </c>
      <c r="K459" s="56" t="s">
        <v>189</v>
      </c>
      <c r="L459" s="54" t="s">
        <v>1074</v>
      </c>
      <c r="M459" t="s">
        <v>43</v>
      </c>
      <c r="N459" s="15" t="s">
        <v>171</v>
      </c>
      <c r="O459" s="5" t="s">
        <v>417</v>
      </c>
      <c r="P459" s="17" t="s">
        <v>1075</v>
      </c>
      <c r="Q459" s="10" t="s">
        <v>222</v>
      </c>
      <c r="R459" s="11">
        <v>45303</v>
      </c>
      <c r="S459" s="10" t="s">
        <v>48</v>
      </c>
      <c r="T459" s="3" t="str">
        <f>IF(AND(ProtocolosAF[[#This Row],[STATUS]]="APROVADO",ProtocolosAF[[#This Row],[WAIVER]]=""),"Y","")</f>
        <v/>
      </c>
      <c r="U459" t="s">
        <v>1076</v>
      </c>
      <c r="V459" s="16" t="str">
        <f t="shared" si="22"/>
        <v>JZILIXCREPALDI PEREIRA/FABIANA MRS</v>
      </c>
      <c r="W459">
        <v>405</v>
      </c>
    </row>
    <row r="460" spans="1:23" hidden="1">
      <c r="A460" s="1">
        <v>45306</v>
      </c>
      <c r="B460" t="s">
        <v>11</v>
      </c>
      <c r="C460" t="s">
        <v>1077</v>
      </c>
      <c r="D460" s="23" t="s">
        <v>1078</v>
      </c>
      <c r="E460" t="s">
        <v>207</v>
      </c>
      <c r="F460" s="19"/>
      <c r="G460" s="53"/>
      <c r="H460" s="52">
        <v>132</v>
      </c>
      <c r="I460" s="5" t="s">
        <v>74</v>
      </c>
      <c r="J460" s="52" t="str" cm="1">
        <f t="array" ref="J46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60" s="56" t="s">
        <v>892</v>
      </c>
      <c r="L460" s="54" t="s">
        <v>513</v>
      </c>
      <c r="M460" t="s">
        <v>217</v>
      </c>
      <c r="N460" s="15" t="s">
        <v>84</v>
      </c>
      <c r="O460" s="5" t="s">
        <v>78</v>
      </c>
      <c r="P460" s="17" t="s">
        <v>146</v>
      </c>
      <c r="Q460" s="10"/>
      <c r="R460" s="11"/>
      <c r="S460" s="10"/>
      <c r="T460" s="3" t="str">
        <f>IF(AND(ProtocolosAF[[#This Row],[STATUS]]="APROVADO",ProtocolosAF[[#This Row],[WAIVER]]=""),"Y","")</f>
        <v/>
      </c>
      <c r="U460" t="s">
        <v>1079</v>
      </c>
      <c r="V460" s="16" t="str">
        <f t="shared" si="22"/>
        <v>HSHIRTYUJI HATAE/CARLOS MR</v>
      </c>
      <c r="W460">
        <v>405</v>
      </c>
    </row>
    <row r="461" spans="1:23" hidden="1">
      <c r="A461" s="1">
        <v>45306</v>
      </c>
      <c r="B461" t="s">
        <v>11</v>
      </c>
      <c r="C461" t="s">
        <v>1077</v>
      </c>
      <c r="D461" s="23" t="s">
        <v>1078</v>
      </c>
      <c r="E461" t="s">
        <v>207</v>
      </c>
      <c r="F461" s="19">
        <v>57564931</v>
      </c>
      <c r="G461" s="53">
        <v>574207248907</v>
      </c>
      <c r="H461" s="52">
        <v>277</v>
      </c>
      <c r="I461" s="5" t="s">
        <v>74</v>
      </c>
      <c r="J461" s="52" cm="1">
        <f t="array" ref="J46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277</v>
      </c>
      <c r="K461" s="56" t="s">
        <v>892</v>
      </c>
      <c r="L461" s="54" t="s">
        <v>513</v>
      </c>
      <c r="M461" t="s">
        <v>43</v>
      </c>
      <c r="N461" s="15" t="s">
        <v>84</v>
      </c>
      <c r="O461" s="5" t="s">
        <v>78</v>
      </c>
      <c r="P461" s="17" t="s">
        <v>146</v>
      </c>
      <c r="Q461" s="10" t="s">
        <v>353</v>
      </c>
      <c r="R461" s="11">
        <v>45308</v>
      </c>
      <c r="S461" s="10" t="s">
        <v>1080</v>
      </c>
      <c r="T461" s="3" t="str">
        <f>IF(AND(ProtocolosAF[[#This Row],[STATUS]]="APROVADO",ProtocolosAF[[#This Row],[WAIVER]]=""),"Y","")</f>
        <v/>
      </c>
      <c r="U461" t="s">
        <v>1079</v>
      </c>
      <c r="V461" s="16" t="str">
        <f t="shared" si="22"/>
        <v>HSHIRTYUJI HATAE/CARLOS MR</v>
      </c>
      <c r="W461">
        <v>406</v>
      </c>
    </row>
    <row r="462" spans="1:23" hidden="1">
      <c r="A462" s="1">
        <v>45307</v>
      </c>
      <c r="B462" t="s">
        <v>11</v>
      </c>
      <c r="C462" t="s">
        <v>1081</v>
      </c>
      <c r="D462" s="23" t="s">
        <v>1081</v>
      </c>
      <c r="E462" t="s">
        <v>512</v>
      </c>
      <c r="F462" s="19">
        <v>57519652</v>
      </c>
      <c r="G462" s="53">
        <v>573542233979</v>
      </c>
      <c r="H462" s="52">
        <v>184</v>
      </c>
      <c r="I462" s="5" t="s">
        <v>74</v>
      </c>
      <c r="J462" s="52" cm="1">
        <f t="array" ref="J46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184</v>
      </c>
      <c r="K462" s="56" t="s">
        <v>1082</v>
      </c>
      <c r="L462" s="54" t="s">
        <v>529</v>
      </c>
      <c r="M462" t="s">
        <v>43</v>
      </c>
      <c r="N462" s="15" t="s">
        <v>84</v>
      </c>
      <c r="O462" s="5" t="s">
        <v>307</v>
      </c>
      <c r="P462" s="17" t="s">
        <v>146</v>
      </c>
      <c r="Q462" s="10" t="s">
        <v>353</v>
      </c>
      <c r="R462" s="11">
        <v>45307</v>
      </c>
      <c r="S462" s="10" t="s">
        <v>1083</v>
      </c>
      <c r="T462" s="3" t="str">
        <f>IF(AND(ProtocolosAF[[#This Row],[STATUS]]="APROVADO",ProtocolosAF[[#This Row],[WAIVER]]=""),"Y","")</f>
        <v/>
      </c>
      <c r="U462" t="s">
        <v>1084</v>
      </c>
      <c r="V462" s="16" t="str">
        <f t="shared" si="22"/>
        <v>334GVERAMPINELLI/HELOISA</v>
      </c>
      <c r="W462">
        <v>407</v>
      </c>
    </row>
    <row r="463" spans="1:23" hidden="1">
      <c r="A463" s="1">
        <v>45308</v>
      </c>
      <c r="B463" t="s">
        <v>15</v>
      </c>
      <c r="C463" t="s">
        <v>1085</v>
      </c>
      <c r="D463" s="23" t="s">
        <v>1085</v>
      </c>
      <c r="E463" t="s">
        <v>41</v>
      </c>
      <c r="F463" s="19"/>
      <c r="G463" s="53"/>
      <c r="H463" s="52">
        <v>6186</v>
      </c>
      <c r="I463" s="5">
        <v>0.1</v>
      </c>
      <c r="J463" s="52" t="str" cm="1">
        <f t="array" ref="J46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63" s="56" t="s">
        <v>177</v>
      </c>
      <c r="L463" s="54" t="s">
        <v>76</v>
      </c>
      <c r="M463" t="s">
        <v>217</v>
      </c>
      <c r="N463" s="15" t="s">
        <v>84</v>
      </c>
      <c r="O463" s="5" t="s">
        <v>1086</v>
      </c>
      <c r="P463" s="17" t="s">
        <v>46</v>
      </c>
      <c r="Q463" s="10"/>
      <c r="R463" s="11"/>
      <c r="S463" s="10"/>
      <c r="T463" s="3" t="str">
        <f>IF(AND(ProtocolosAF[[#This Row],[STATUS]]="APROVADO",ProtocolosAF[[#This Row],[WAIVER]]=""),"Y","")</f>
        <v/>
      </c>
      <c r="U463" t="s">
        <v>1087</v>
      </c>
      <c r="V463" s="16" t="str">
        <f t="shared" si="22"/>
        <v>224WXECHACUR/MAURICIO ELIAS</v>
      </c>
      <c r="W463">
        <v>409</v>
      </c>
    </row>
    <row r="464" spans="1:23" hidden="1">
      <c r="A464" s="1">
        <v>45309</v>
      </c>
      <c r="B464" t="s">
        <v>12</v>
      </c>
      <c r="C464" t="s">
        <v>1088</v>
      </c>
      <c r="D464" s="23" t="s">
        <v>1088</v>
      </c>
      <c r="E464" t="s">
        <v>41</v>
      </c>
      <c r="F464" s="19">
        <v>57642023</v>
      </c>
      <c r="G464" s="53">
        <v>573542139620</v>
      </c>
      <c r="H464" s="52">
        <v>1387</v>
      </c>
      <c r="I464" s="5">
        <v>0.1</v>
      </c>
      <c r="J464" s="52" cm="1">
        <f t="array" ref="J46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139</v>
      </c>
      <c r="K464" s="56" t="s">
        <v>1089</v>
      </c>
      <c r="L464" s="54" t="s">
        <v>172</v>
      </c>
      <c r="M464" t="s">
        <v>43</v>
      </c>
      <c r="N464" s="15" t="s">
        <v>84</v>
      </c>
      <c r="O464" s="5" t="s">
        <v>1090</v>
      </c>
      <c r="P464" s="17" t="s">
        <v>503</v>
      </c>
      <c r="Q464" s="10" t="s">
        <v>229</v>
      </c>
      <c r="R464" s="11">
        <v>45310</v>
      </c>
      <c r="S464" s="10" t="s">
        <v>48</v>
      </c>
      <c r="T464" s="3" t="str">
        <f>IF(AND(ProtocolosAF[[#This Row],[STATUS]]="APROVADO",ProtocolosAF[[#This Row],[WAIVER]]=""),"Y","")</f>
        <v/>
      </c>
      <c r="U464" t="s">
        <v>1091</v>
      </c>
      <c r="V464" s="16" t="str">
        <f t="shared" si="22"/>
        <v>27L4QHVIDAL PINTO/BIANCA</v>
      </c>
      <c r="W464">
        <v>411</v>
      </c>
    </row>
    <row r="465" spans="1:23" hidden="1">
      <c r="A465" s="1">
        <v>45309</v>
      </c>
      <c r="B465" t="s">
        <v>12</v>
      </c>
      <c r="C465" t="s">
        <v>1088</v>
      </c>
      <c r="D465" s="23" t="s">
        <v>1088</v>
      </c>
      <c r="E465" t="s">
        <v>41</v>
      </c>
      <c r="F465" s="19">
        <v>57642023</v>
      </c>
      <c r="G465" s="53">
        <v>573542139622</v>
      </c>
      <c r="H465" s="52">
        <v>1387</v>
      </c>
      <c r="I465" s="5">
        <v>0.1</v>
      </c>
      <c r="J465" s="52" cm="1">
        <f t="array" ref="J46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139</v>
      </c>
      <c r="K465" s="56" t="s">
        <v>1089</v>
      </c>
      <c r="L465" s="54" t="s">
        <v>172</v>
      </c>
      <c r="M465" t="s">
        <v>43</v>
      </c>
      <c r="N465" s="15" t="s">
        <v>84</v>
      </c>
      <c r="O465" s="5" t="s">
        <v>1090</v>
      </c>
      <c r="P465" s="17" t="s">
        <v>503</v>
      </c>
      <c r="Q465" s="10" t="s">
        <v>229</v>
      </c>
      <c r="R465" s="11">
        <v>45310</v>
      </c>
      <c r="S465" s="10" t="s">
        <v>48</v>
      </c>
      <c r="T465" s="3" t="str">
        <f>IF(AND(ProtocolosAF[[#This Row],[STATUS]]="APROVADO",ProtocolosAF[[#This Row],[WAIVER]]=""),"Y","")</f>
        <v/>
      </c>
      <c r="U465" t="s">
        <v>1092</v>
      </c>
      <c r="V465" s="16" t="str">
        <f t="shared" si="22"/>
        <v>27L4QHVIDAL PINTO/ISABELA</v>
      </c>
      <c r="W465">
        <v>411</v>
      </c>
    </row>
    <row r="466" spans="1:23" hidden="1">
      <c r="A466" s="1">
        <v>45309</v>
      </c>
      <c r="B466" t="s">
        <v>12</v>
      </c>
      <c r="C466" t="s">
        <v>1088</v>
      </c>
      <c r="D466" s="23" t="s">
        <v>1088</v>
      </c>
      <c r="E466" t="s">
        <v>41</v>
      </c>
      <c r="F466" s="19">
        <v>57642023</v>
      </c>
      <c r="G466" s="53">
        <v>573542139624</v>
      </c>
      <c r="H466" s="52">
        <v>1387</v>
      </c>
      <c r="I466" s="5">
        <v>0.1</v>
      </c>
      <c r="J466" s="52" cm="1">
        <f t="array" ref="J46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139</v>
      </c>
      <c r="K466" s="56" t="s">
        <v>1089</v>
      </c>
      <c r="L466" s="54" t="s">
        <v>172</v>
      </c>
      <c r="M466" t="s">
        <v>43</v>
      </c>
      <c r="N466" s="15" t="s">
        <v>84</v>
      </c>
      <c r="O466" s="5" t="s">
        <v>1090</v>
      </c>
      <c r="P466" s="17" t="s">
        <v>503</v>
      </c>
      <c r="Q466" s="10" t="s">
        <v>229</v>
      </c>
      <c r="R466" s="11">
        <v>45310</v>
      </c>
      <c r="S466" s="10" t="s">
        <v>48</v>
      </c>
      <c r="T466" s="3" t="str">
        <f>IF(AND(ProtocolosAF[[#This Row],[STATUS]]="APROVADO",ProtocolosAF[[#This Row],[WAIVER]]=""),"Y","")</f>
        <v/>
      </c>
      <c r="U466" t="s">
        <v>1093</v>
      </c>
      <c r="V466" s="16" t="str">
        <f t="shared" si="22"/>
        <v>27L4QHVIDAL PINTO/LUIZ GUSTAVO</v>
      </c>
      <c r="W466">
        <v>411</v>
      </c>
    </row>
    <row r="467" spans="1:23" hidden="1">
      <c r="A467" s="1">
        <v>45309</v>
      </c>
      <c r="B467" t="s">
        <v>12</v>
      </c>
      <c r="C467" t="s">
        <v>1088</v>
      </c>
      <c r="D467" s="23" t="s">
        <v>1088</v>
      </c>
      <c r="E467" t="s">
        <v>41</v>
      </c>
      <c r="F467" s="19">
        <v>57642023</v>
      </c>
      <c r="G467" s="53">
        <v>573542139626</v>
      </c>
      <c r="H467" s="52">
        <v>1387</v>
      </c>
      <c r="I467" s="5">
        <v>0.1</v>
      </c>
      <c r="J467" s="52" cm="1">
        <f t="array" ref="J46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139</v>
      </c>
      <c r="K467" s="56" t="s">
        <v>1089</v>
      </c>
      <c r="L467" s="54" t="s">
        <v>172</v>
      </c>
      <c r="M467" t="s">
        <v>43</v>
      </c>
      <c r="N467" s="15" t="s">
        <v>84</v>
      </c>
      <c r="O467" s="5" t="s">
        <v>1090</v>
      </c>
      <c r="P467" s="17" t="s">
        <v>503</v>
      </c>
      <c r="Q467" s="10" t="s">
        <v>229</v>
      </c>
      <c r="R467" s="11">
        <v>45310</v>
      </c>
      <c r="S467" s="10" t="s">
        <v>48</v>
      </c>
      <c r="T467" s="3" t="str">
        <f>IF(AND(ProtocolosAF[[#This Row],[STATUS]]="APROVADO",ProtocolosAF[[#This Row],[WAIVER]]=""),"Y","")</f>
        <v/>
      </c>
      <c r="U467" t="s">
        <v>1093</v>
      </c>
      <c r="V467" s="16" t="str">
        <f t="shared" si="22"/>
        <v>27L4QHVIDAL PINTO/LUIZ GUSTAVO</v>
      </c>
      <c r="W467">
        <v>411</v>
      </c>
    </row>
    <row r="468" spans="1:23" hidden="1">
      <c r="A468" s="1">
        <v>45320</v>
      </c>
      <c r="B468" t="s">
        <v>13</v>
      </c>
      <c r="C468" t="s">
        <v>1094</v>
      </c>
      <c r="D468" s="23" t="s">
        <v>1094</v>
      </c>
      <c r="E468" t="s">
        <v>41</v>
      </c>
      <c r="F468" s="19"/>
      <c r="G468" s="53"/>
      <c r="H468" s="52">
        <v>1547</v>
      </c>
      <c r="I468" s="5">
        <v>0.1</v>
      </c>
      <c r="J468" s="52" t="str" cm="1">
        <f t="array" ref="J46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68" s="56" t="s">
        <v>1095</v>
      </c>
      <c r="L468" s="54" t="s">
        <v>66</v>
      </c>
      <c r="M468" t="s">
        <v>217</v>
      </c>
      <c r="N468" s="15" t="s">
        <v>1096</v>
      </c>
      <c r="O468" s="5" t="s">
        <v>564</v>
      </c>
      <c r="P468" s="17" t="s">
        <v>46</v>
      </c>
      <c r="Q468" s="10"/>
      <c r="R468" s="11"/>
      <c r="S468" s="10"/>
      <c r="T468" s="3" t="str">
        <f>IF(AND(ProtocolosAF[[#This Row],[STATUS]]="APROVADO",ProtocolosAF[[#This Row],[WAIVER]]=""),"Y","")</f>
        <v/>
      </c>
      <c r="U468" t="s">
        <v>1097</v>
      </c>
      <c r="V468" s="16" t="str">
        <f t="shared" si="22"/>
        <v>47JCH2VLADIMIRSCHI FARINA/MICHAEL</v>
      </c>
      <c r="W468">
        <v>412</v>
      </c>
    </row>
    <row r="469" spans="1:23" hidden="1">
      <c r="A469" s="1">
        <v>45327</v>
      </c>
      <c r="B469" t="s">
        <v>10</v>
      </c>
      <c r="C469" t="s">
        <v>1098</v>
      </c>
      <c r="D469" s="23" t="s">
        <v>1098</v>
      </c>
      <c r="E469" t="s">
        <v>73</v>
      </c>
      <c r="F469" s="19">
        <v>57564931</v>
      </c>
      <c r="G469" s="53">
        <v>574207248958</v>
      </c>
      <c r="H469" s="52">
        <v>236</v>
      </c>
      <c r="I469" s="5" t="s">
        <v>74</v>
      </c>
      <c r="J469" s="52" cm="1">
        <f t="array" ref="J46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236</v>
      </c>
      <c r="K469" s="56" t="s">
        <v>237</v>
      </c>
      <c r="L469" s="54" t="s">
        <v>66</v>
      </c>
      <c r="M469" t="s">
        <v>43</v>
      </c>
      <c r="N469" s="15" t="s">
        <v>171</v>
      </c>
      <c r="O469" s="5" t="s">
        <v>669</v>
      </c>
      <c r="P469" s="17" t="s">
        <v>69</v>
      </c>
      <c r="Q469" s="10" t="s">
        <v>1051</v>
      </c>
      <c r="R469" s="11">
        <v>45328</v>
      </c>
      <c r="S469" s="10" t="s">
        <v>173</v>
      </c>
      <c r="T469" s="3" t="str">
        <f>IF(AND(ProtocolosAF[[#This Row],[STATUS]]="APROVADO",ProtocolosAF[[#This Row],[WAIVER]]=""),"Y","")</f>
        <v/>
      </c>
      <c r="U469" t="s">
        <v>1099</v>
      </c>
      <c r="V469" s="16" t="str">
        <f t="shared" si="22"/>
        <v>3NB4SKMURASUGI/KAYAKO MRS</v>
      </c>
      <c r="W469">
        <v>413</v>
      </c>
    </row>
    <row r="470" spans="1:23" hidden="1">
      <c r="A470" s="1">
        <v>45327</v>
      </c>
      <c r="B470" t="s">
        <v>13</v>
      </c>
      <c r="C470" t="s">
        <v>1100</v>
      </c>
      <c r="D470" s="23" t="s">
        <v>1100</v>
      </c>
      <c r="E470" t="s">
        <v>41</v>
      </c>
      <c r="F470" s="19">
        <v>57564931</v>
      </c>
      <c r="G470" s="53">
        <v>576624034889</v>
      </c>
      <c r="H470" s="52">
        <v>522</v>
      </c>
      <c r="I470" s="5">
        <v>0.2</v>
      </c>
      <c r="J470" s="52" cm="1">
        <f t="array" ref="J47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105</v>
      </c>
      <c r="K470" s="56" t="s">
        <v>151</v>
      </c>
      <c r="L470" s="54" t="s">
        <v>76</v>
      </c>
      <c r="M470" t="s">
        <v>43</v>
      </c>
      <c r="N470" s="15" t="s">
        <v>1096</v>
      </c>
      <c r="O470" s="5" t="s">
        <v>468</v>
      </c>
      <c r="P470" s="17" t="s">
        <v>46</v>
      </c>
      <c r="Q470" s="10" t="s">
        <v>168</v>
      </c>
      <c r="R470" s="11">
        <v>45328</v>
      </c>
      <c r="S470" s="10" t="s">
        <v>48</v>
      </c>
      <c r="T470" s="3" t="str">
        <f>IF(AND(ProtocolosAF[[#This Row],[STATUS]]="APROVADO",ProtocolosAF[[#This Row],[WAIVER]]=""),"Y","")</f>
        <v/>
      </c>
      <c r="U470" t="s">
        <v>1101</v>
      </c>
      <c r="V470" s="16" t="str">
        <f t="shared" si="22"/>
        <v xml:space="preserve">29GJIMZAFFARI/ALEXANDRE </v>
      </c>
      <c r="W470">
        <v>416</v>
      </c>
    </row>
    <row r="471" spans="1:23" hidden="1">
      <c r="A471" s="1">
        <v>45327</v>
      </c>
      <c r="B471" t="s">
        <v>13</v>
      </c>
      <c r="C471" t="s">
        <v>1100</v>
      </c>
      <c r="D471" s="23" t="s">
        <v>1100</v>
      </c>
      <c r="E471" t="s">
        <v>41</v>
      </c>
      <c r="F471" s="19">
        <v>57564931</v>
      </c>
      <c r="G471" s="53">
        <v>576624034890</v>
      </c>
      <c r="H471" s="52">
        <v>522</v>
      </c>
      <c r="I471" s="5">
        <v>0.2</v>
      </c>
      <c r="J471" s="52" cm="1">
        <f t="array" ref="J47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105</v>
      </c>
      <c r="K471" s="56" t="s">
        <v>151</v>
      </c>
      <c r="L471" s="54" t="s">
        <v>76</v>
      </c>
      <c r="M471" t="s">
        <v>43</v>
      </c>
      <c r="N471" s="15" t="s">
        <v>1096</v>
      </c>
      <c r="O471" s="5" t="s">
        <v>468</v>
      </c>
      <c r="P471" s="17" t="s">
        <v>46</v>
      </c>
      <c r="Q471" s="10" t="s">
        <v>168</v>
      </c>
      <c r="R471" s="11">
        <v>45328</v>
      </c>
      <c r="S471" s="10" t="s">
        <v>48</v>
      </c>
      <c r="T471" s="3" t="str">
        <f>IF(AND(ProtocolosAF[[#This Row],[STATUS]]="APROVADO",ProtocolosAF[[#This Row],[WAIVER]]=""),"Y","")</f>
        <v/>
      </c>
      <c r="U471" t="s">
        <v>1102</v>
      </c>
      <c r="V471" s="16" t="str">
        <f t="shared" si="22"/>
        <v>29GJIMZAFFARI/MICHELE</v>
      </c>
      <c r="W471">
        <v>416</v>
      </c>
    </row>
    <row r="472" spans="1:23" hidden="1">
      <c r="A472" s="1">
        <v>45329</v>
      </c>
      <c r="B472" t="s">
        <v>11</v>
      </c>
      <c r="C472" t="s">
        <v>1103</v>
      </c>
      <c r="D472" s="23" t="s">
        <v>1103</v>
      </c>
      <c r="E472" t="s">
        <v>41</v>
      </c>
      <c r="F472" s="19">
        <v>57564931</v>
      </c>
      <c r="G472" s="53">
        <v>576624042491</v>
      </c>
      <c r="H472" s="52">
        <v>1609</v>
      </c>
      <c r="I472" s="5">
        <v>0.04</v>
      </c>
      <c r="J472" s="52" cm="1">
        <f t="array" ref="J47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65</v>
      </c>
      <c r="K472" s="56" t="s">
        <v>1104</v>
      </c>
      <c r="L472" s="54" t="s">
        <v>66</v>
      </c>
      <c r="M472" t="s">
        <v>43</v>
      </c>
      <c r="N472" s="15" t="s">
        <v>84</v>
      </c>
      <c r="O472" s="5" t="s">
        <v>583</v>
      </c>
      <c r="P472" s="17" t="s">
        <v>255</v>
      </c>
      <c r="Q472" s="10" t="s">
        <v>353</v>
      </c>
      <c r="R472" s="11">
        <v>45336</v>
      </c>
      <c r="S472" s="10" t="s">
        <v>48</v>
      </c>
      <c r="T472" s="3" t="str">
        <f>IF(AND(ProtocolosAF[[#This Row],[STATUS]]="APROVADO",ProtocolosAF[[#This Row],[WAIVER]]=""),"Y","")</f>
        <v/>
      </c>
      <c r="U472" t="s">
        <v>1105</v>
      </c>
      <c r="V472" s="16" t="str">
        <f t="shared" si="22"/>
        <v>2OHLKMMORGADINHO DOS SANTOS COELHO/NUNO MANUEL</v>
      </c>
      <c r="W472">
        <v>419</v>
      </c>
    </row>
    <row r="473" spans="1:23" hidden="1">
      <c r="A473" s="1">
        <v>45329</v>
      </c>
      <c r="B473" t="s">
        <v>12</v>
      </c>
      <c r="C473" t="s">
        <v>1106</v>
      </c>
      <c r="D473" s="23" t="s">
        <v>1106</v>
      </c>
      <c r="E473" t="s">
        <v>73</v>
      </c>
      <c r="F473" s="19">
        <v>20401323</v>
      </c>
      <c r="G473" s="53">
        <v>573542085995</v>
      </c>
      <c r="H473" s="52">
        <v>89</v>
      </c>
      <c r="I473" s="5" t="s">
        <v>74</v>
      </c>
      <c r="J473" s="52" cm="1">
        <f t="array" ref="J47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89</v>
      </c>
      <c r="K473" s="56" t="s">
        <v>1089</v>
      </c>
      <c r="L473" s="54" t="s">
        <v>172</v>
      </c>
      <c r="M473" t="s">
        <v>43</v>
      </c>
      <c r="N473" s="15" t="s">
        <v>1096</v>
      </c>
      <c r="O473" s="5" t="s">
        <v>352</v>
      </c>
      <c r="P473" s="17" t="s">
        <v>46</v>
      </c>
      <c r="Q473" s="10" t="s">
        <v>229</v>
      </c>
      <c r="R473" s="11">
        <v>45330</v>
      </c>
      <c r="S473" s="10" t="s">
        <v>173</v>
      </c>
      <c r="T473" s="3" t="str">
        <f>IF(AND(ProtocolosAF[[#This Row],[STATUS]]="APROVADO",ProtocolosAF[[#This Row],[WAIVER]]=""),"Y","")</f>
        <v/>
      </c>
      <c r="U473" t="s">
        <v>1107</v>
      </c>
      <c r="V473" s="16" t="str">
        <f t="shared" si="22"/>
        <v>32PV5FMAINARDI/CELIA MIYAZAKI</v>
      </c>
      <c r="W473">
        <v>420</v>
      </c>
    </row>
    <row r="474" spans="1:23" hidden="1">
      <c r="A474" s="1">
        <v>45329</v>
      </c>
      <c r="B474" t="s">
        <v>12</v>
      </c>
      <c r="C474" t="s">
        <v>1106</v>
      </c>
      <c r="D474" s="23" t="s">
        <v>1106</v>
      </c>
      <c r="E474" t="s">
        <v>73</v>
      </c>
      <c r="F474" s="19">
        <v>20401323</v>
      </c>
      <c r="G474" s="53">
        <v>573542085997</v>
      </c>
      <c r="H474" s="52">
        <v>89</v>
      </c>
      <c r="I474" s="5" t="s">
        <v>74</v>
      </c>
      <c r="J474" s="52" cm="1">
        <f t="array" ref="J47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89</v>
      </c>
      <c r="K474" s="56" t="s">
        <v>1089</v>
      </c>
      <c r="L474" s="54" t="s">
        <v>172</v>
      </c>
      <c r="M474" t="s">
        <v>43</v>
      </c>
      <c r="N474" s="15" t="s">
        <v>1096</v>
      </c>
      <c r="O474" s="5" t="s">
        <v>352</v>
      </c>
      <c r="P474" s="17" t="s">
        <v>46</v>
      </c>
      <c r="Q474" s="10" t="s">
        <v>229</v>
      </c>
      <c r="R474" s="11">
        <v>45330</v>
      </c>
      <c r="S474" s="10" t="s">
        <v>173</v>
      </c>
      <c r="T474" s="3" t="str">
        <f>IF(AND(ProtocolosAF[[#This Row],[STATUS]]="APROVADO",ProtocolosAF[[#This Row],[WAIVER]]=""),"Y","")</f>
        <v/>
      </c>
      <c r="U474" t="s">
        <v>1108</v>
      </c>
      <c r="V474" s="16" t="str">
        <f t="shared" si="22"/>
        <v>32PV5FMAINARDI/CELSO JAIR</v>
      </c>
      <c r="W474">
        <v>420</v>
      </c>
    </row>
    <row r="475" spans="1:23" hidden="1">
      <c r="A475" s="1">
        <v>45329</v>
      </c>
      <c r="B475" t="s">
        <v>15</v>
      </c>
      <c r="C475" t="s">
        <v>1109</v>
      </c>
      <c r="D475" s="23" t="s">
        <v>1109</v>
      </c>
      <c r="E475" t="s">
        <v>41</v>
      </c>
      <c r="F475" s="19">
        <v>57564931</v>
      </c>
      <c r="G475" s="53">
        <v>576624044572</v>
      </c>
      <c r="H475" s="52">
        <v>6582</v>
      </c>
      <c r="I475" s="5">
        <v>0.08</v>
      </c>
      <c r="J475" s="52" cm="1">
        <f t="array" ref="J47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527</v>
      </c>
      <c r="K475" s="56" t="s">
        <v>177</v>
      </c>
      <c r="L475" s="54" t="s">
        <v>172</v>
      </c>
      <c r="M475" t="s">
        <v>43</v>
      </c>
      <c r="N475" s="15" t="s">
        <v>1012</v>
      </c>
      <c r="O475" s="5" t="s">
        <v>1086</v>
      </c>
      <c r="P475" s="17" t="s">
        <v>46</v>
      </c>
      <c r="Q475" s="10" t="s">
        <v>396</v>
      </c>
      <c r="R475" s="11">
        <v>45329</v>
      </c>
      <c r="S475" s="10" t="s">
        <v>48</v>
      </c>
      <c r="T475" s="3" t="str">
        <f>IF(AND(ProtocolosAF[[#This Row],[STATUS]]="APROVADO",ProtocolosAF[[#This Row],[WAIVER]]=""),"Y","")</f>
        <v/>
      </c>
      <c r="U475" t="s">
        <v>1110</v>
      </c>
      <c r="V475" s="16" t="str">
        <f t="shared" si="22"/>
        <v>2JD4DXAFONSO SEQUEIROS/MARIA DA CONCEICAO</v>
      </c>
      <c r="W475">
        <v>421</v>
      </c>
    </row>
    <row r="476" spans="1:23" hidden="1">
      <c r="A476" s="1">
        <v>45329</v>
      </c>
      <c r="B476" t="s">
        <v>15</v>
      </c>
      <c r="C476" t="s">
        <v>1109</v>
      </c>
      <c r="D476" s="23" t="s">
        <v>1109</v>
      </c>
      <c r="E476" t="s">
        <v>41</v>
      </c>
      <c r="F476" s="19">
        <v>57564931</v>
      </c>
      <c r="G476" s="53">
        <v>576624044574</v>
      </c>
      <c r="H476" s="52">
        <v>6582</v>
      </c>
      <c r="I476" s="5">
        <v>0.08</v>
      </c>
      <c r="J476" s="52" cm="1">
        <f t="array" ref="J47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527</v>
      </c>
      <c r="K476" s="56" t="s">
        <v>177</v>
      </c>
      <c r="L476" s="54" t="s">
        <v>172</v>
      </c>
      <c r="M476" t="s">
        <v>43</v>
      </c>
      <c r="N476" s="15" t="s">
        <v>1012</v>
      </c>
      <c r="O476" s="5" t="s">
        <v>1086</v>
      </c>
      <c r="P476" s="17" t="s">
        <v>46</v>
      </c>
      <c r="Q476" s="10" t="s">
        <v>396</v>
      </c>
      <c r="R476" s="11">
        <v>45329</v>
      </c>
      <c r="S476" s="10" t="s">
        <v>48</v>
      </c>
      <c r="T476" s="3" t="str">
        <f>IF(AND(ProtocolosAF[[#This Row],[STATUS]]="APROVADO",ProtocolosAF[[#This Row],[WAIVER]]=""),"Y","")</f>
        <v/>
      </c>
      <c r="U476" t="s">
        <v>1087</v>
      </c>
      <c r="V476" s="16" t="str">
        <f t="shared" si="22"/>
        <v>2JD4DXCHACUR/MAURICIO ELIAS</v>
      </c>
      <c r="W476">
        <v>421</v>
      </c>
    </row>
    <row r="477" spans="1:23" hidden="1">
      <c r="A477" s="1">
        <v>45329</v>
      </c>
      <c r="B477" t="s">
        <v>15</v>
      </c>
      <c r="C477" t="s">
        <v>1111</v>
      </c>
      <c r="D477" s="23" t="s">
        <v>1111</v>
      </c>
      <c r="E477" t="s">
        <v>41</v>
      </c>
      <c r="F477" s="19">
        <v>57564931</v>
      </c>
      <c r="G477" s="53">
        <v>576624044578</v>
      </c>
      <c r="H477" s="52">
        <v>1506</v>
      </c>
      <c r="I477" s="5">
        <v>0.1</v>
      </c>
      <c r="J477" s="52" cm="1">
        <f t="array" ref="J47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151</v>
      </c>
      <c r="K477" s="56" t="s">
        <v>177</v>
      </c>
      <c r="L477" s="54" t="s">
        <v>172</v>
      </c>
      <c r="M477" t="s">
        <v>43</v>
      </c>
      <c r="N477" s="15" t="s">
        <v>1012</v>
      </c>
      <c r="O477" s="5" t="s">
        <v>1086</v>
      </c>
      <c r="P477" s="17" t="s">
        <v>46</v>
      </c>
      <c r="Q477" s="10" t="s">
        <v>396</v>
      </c>
      <c r="R477" s="11">
        <v>45329</v>
      </c>
      <c r="S477" s="10" t="s">
        <v>48</v>
      </c>
      <c r="T477" s="3" t="str">
        <f>IF(AND(ProtocolosAF[[#This Row],[STATUS]]="APROVADO",ProtocolosAF[[#This Row],[WAIVER]]=""),"Y","")</f>
        <v/>
      </c>
      <c r="U477" t="s">
        <v>1112</v>
      </c>
      <c r="V477" s="16" t="str">
        <f t="shared" si="22"/>
        <v>2JH4UHSEQUEIROS CHACUR/LUIZA</v>
      </c>
      <c r="W477">
        <v>427</v>
      </c>
    </row>
    <row r="478" spans="1:23" hidden="1">
      <c r="A478" s="1">
        <v>45329</v>
      </c>
      <c r="B478" t="s">
        <v>15</v>
      </c>
      <c r="C478" t="s">
        <v>1113</v>
      </c>
      <c r="D478" s="23" t="s">
        <v>1113</v>
      </c>
      <c r="E478" t="s">
        <v>41</v>
      </c>
      <c r="F478" s="19">
        <v>57564931</v>
      </c>
      <c r="G478" s="53">
        <v>576624044576</v>
      </c>
      <c r="H478" s="52">
        <v>1506</v>
      </c>
      <c r="I478" s="5">
        <v>0.1</v>
      </c>
      <c r="J478" s="52" cm="1">
        <f t="array" ref="J47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151</v>
      </c>
      <c r="K478" s="56" t="s">
        <v>177</v>
      </c>
      <c r="L478" s="54" t="s">
        <v>172</v>
      </c>
      <c r="M478" t="s">
        <v>43</v>
      </c>
      <c r="N478" s="15" t="s">
        <v>1012</v>
      </c>
      <c r="O478" s="5" t="s">
        <v>1086</v>
      </c>
      <c r="P478" s="17" t="s">
        <v>46</v>
      </c>
      <c r="Q478" s="10" t="s">
        <v>396</v>
      </c>
      <c r="R478" s="11">
        <v>45329</v>
      </c>
      <c r="S478" s="10" t="s">
        <v>48</v>
      </c>
      <c r="T478" s="3" t="str">
        <f>IF(AND(ProtocolosAF[[#This Row],[STATUS]]="APROVADO",ProtocolosAF[[#This Row],[WAIVER]]=""),"Y","")</f>
        <v/>
      </c>
      <c r="U478" t="s">
        <v>1114</v>
      </c>
      <c r="V478" s="16" t="str">
        <f t="shared" si="22"/>
        <v>2JF5Y3SEQUEIROS CHACUR/GUSTAVO</v>
      </c>
      <c r="W478">
        <v>426</v>
      </c>
    </row>
    <row r="479" spans="1:23" hidden="1">
      <c r="A479" s="1">
        <v>45330</v>
      </c>
      <c r="B479" t="s">
        <v>11</v>
      </c>
      <c r="C479" t="s">
        <v>1115</v>
      </c>
      <c r="D479" s="23" t="s">
        <v>1115</v>
      </c>
      <c r="E479" t="s">
        <v>41</v>
      </c>
      <c r="F479" s="19">
        <v>57564931</v>
      </c>
      <c r="G479" s="53">
        <v>576624044771</v>
      </c>
      <c r="H479" s="52">
        <v>2126</v>
      </c>
      <c r="I479" s="5">
        <v>0.12</v>
      </c>
      <c r="J479" s="52" cm="1">
        <f t="array" ref="J47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256</v>
      </c>
      <c r="K479" s="56" t="s">
        <v>84</v>
      </c>
      <c r="L479" s="54" t="s">
        <v>76</v>
      </c>
      <c r="M479" t="s">
        <v>43</v>
      </c>
      <c r="N479" s="15" t="s">
        <v>84</v>
      </c>
      <c r="O479" s="5" t="s">
        <v>356</v>
      </c>
      <c r="P479" s="17" t="s">
        <v>69</v>
      </c>
      <c r="Q479" s="10" t="s">
        <v>353</v>
      </c>
      <c r="R479" s="11">
        <v>45331</v>
      </c>
      <c r="S479" s="10" t="s">
        <v>48</v>
      </c>
      <c r="T479" s="3" t="str">
        <f>IF(AND(ProtocolosAF[[#This Row],[STATUS]]="APROVADO",ProtocolosAF[[#This Row],[WAIVER]]=""),"Y","")</f>
        <v/>
      </c>
      <c r="U479" t="s">
        <v>1116</v>
      </c>
      <c r="V479" s="16" t="str">
        <f t="shared" si="22"/>
        <v>2U3VXSMOREIRA CRUZ/FLAVIA</v>
      </c>
      <c r="W479">
        <v>428</v>
      </c>
    </row>
    <row r="480" spans="1:23" hidden="1">
      <c r="A480" s="1">
        <v>45330</v>
      </c>
      <c r="B480" t="s">
        <v>16</v>
      </c>
      <c r="C480" t="s">
        <v>1117</v>
      </c>
      <c r="D480" s="23" t="s">
        <v>1117</v>
      </c>
      <c r="E480" t="s">
        <v>41</v>
      </c>
      <c r="F480" s="19">
        <v>57564931</v>
      </c>
      <c r="G480" s="53">
        <v>576624049383</v>
      </c>
      <c r="H480" s="52">
        <v>898</v>
      </c>
      <c r="I480" s="5">
        <v>0.1</v>
      </c>
      <c r="J480" s="52" cm="1">
        <f t="array" ref="J48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90</v>
      </c>
      <c r="K480" s="56" t="s">
        <v>177</v>
      </c>
      <c r="L480" s="54" t="s">
        <v>76</v>
      </c>
      <c r="M480" t="s">
        <v>43</v>
      </c>
      <c r="N480" s="15" t="s">
        <v>1012</v>
      </c>
      <c r="O480" s="5" t="s">
        <v>145</v>
      </c>
      <c r="P480" s="17" t="s">
        <v>146</v>
      </c>
      <c r="Q480" s="10" t="s">
        <v>396</v>
      </c>
      <c r="R480" s="11">
        <v>45330</v>
      </c>
      <c r="S480" s="10" t="s">
        <v>48</v>
      </c>
      <c r="T480" s="3" t="str">
        <f>IF(AND(ProtocolosAF[[#This Row],[STATUS]]="APROVADO",ProtocolosAF[[#This Row],[WAIVER]]=""),"Y","")</f>
        <v/>
      </c>
      <c r="U480" t="s">
        <v>1118</v>
      </c>
      <c r="V480" s="16" t="str">
        <f t="shared" si="22"/>
        <v>2UINRTSANTOS/EDUARDA MRS</v>
      </c>
      <c r="W480">
        <v>429</v>
      </c>
    </row>
    <row r="481" spans="1:23" hidden="1">
      <c r="A481" s="1">
        <v>45330</v>
      </c>
      <c r="B481" t="s">
        <v>16</v>
      </c>
      <c r="C481" t="s">
        <v>1117</v>
      </c>
      <c r="D481" s="23" t="s">
        <v>1117</v>
      </c>
      <c r="E481" t="s">
        <v>41</v>
      </c>
      <c r="F481" s="19">
        <v>57564931</v>
      </c>
      <c r="G481" s="53">
        <v>576624049385</v>
      </c>
      <c r="H481" s="52">
        <v>898</v>
      </c>
      <c r="I481" s="5">
        <v>0.1</v>
      </c>
      <c r="J481" s="52" cm="1">
        <f t="array" ref="J48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90</v>
      </c>
      <c r="K481" s="56" t="s">
        <v>177</v>
      </c>
      <c r="L481" s="54" t="s">
        <v>76</v>
      </c>
      <c r="M481" t="s">
        <v>43</v>
      </c>
      <c r="N481" s="15" t="s">
        <v>1012</v>
      </c>
      <c r="O481" s="5" t="s">
        <v>145</v>
      </c>
      <c r="P481" s="17" t="s">
        <v>146</v>
      </c>
      <c r="Q481" s="10" t="s">
        <v>396</v>
      </c>
      <c r="R481" s="11">
        <v>45330</v>
      </c>
      <c r="S481" s="10" t="s">
        <v>48</v>
      </c>
      <c r="T481" s="3" t="str">
        <f>IF(AND(ProtocolosAF[[#This Row],[STATUS]]="APROVADO",ProtocolosAF[[#This Row],[WAIVER]]=""),"Y","")</f>
        <v/>
      </c>
      <c r="U481" t="s">
        <v>1119</v>
      </c>
      <c r="V481" s="16" t="str">
        <f t="shared" si="22"/>
        <v>2UINRTSANTOS/MARIA LUIZA MRS</v>
      </c>
      <c r="W481">
        <v>429</v>
      </c>
    </row>
    <row r="482" spans="1:23" hidden="1">
      <c r="A482" s="1">
        <v>45338</v>
      </c>
      <c r="B482" t="s">
        <v>12</v>
      </c>
      <c r="C482" t="s">
        <v>1120</v>
      </c>
      <c r="D482" s="23" t="s">
        <v>1121</v>
      </c>
      <c r="E482" t="s">
        <v>207</v>
      </c>
      <c r="F482" s="19"/>
      <c r="G482" s="66"/>
      <c r="H482" s="52">
        <v>178</v>
      </c>
      <c r="I482" s="5" t="s">
        <v>74</v>
      </c>
      <c r="J482" s="52" t="str" cm="1">
        <f t="array" ref="J48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82" s="56" t="s">
        <v>1089</v>
      </c>
      <c r="L482" s="54" t="s">
        <v>529</v>
      </c>
      <c r="M482" t="s">
        <v>100</v>
      </c>
      <c r="N482" s="15" t="s">
        <v>84</v>
      </c>
      <c r="O482" s="5" t="s">
        <v>1021</v>
      </c>
      <c r="P482" s="17" t="s">
        <v>146</v>
      </c>
      <c r="Q482" s="10"/>
      <c r="R482" s="11"/>
      <c r="S482" s="10"/>
      <c r="T482" s="3" t="str">
        <f>IF(AND(ProtocolosAF[[#This Row],[STATUS]]="APROVADO",ProtocolosAF[[#This Row],[WAIVER]]=""),"Y","")</f>
        <v/>
      </c>
      <c r="U482" t="s">
        <v>1122</v>
      </c>
      <c r="V482" s="16" t="str">
        <f t="shared" si="22"/>
        <v>WJGHQRZOTELLI DE LIMA/ANDERSON</v>
      </c>
      <c r="W482">
        <v>430</v>
      </c>
    </row>
    <row r="483" spans="1:23" hidden="1">
      <c r="A483" s="1">
        <v>45341</v>
      </c>
      <c r="B483" t="s">
        <v>11</v>
      </c>
      <c r="C483" t="s">
        <v>1123</v>
      </c>
      <c r="D483" s="23" t="s">
        <v>1124</v>
      </c>
      <c r="E483" t="s">
        <v>41</v>
      </c>
      <c r="F483" s="19">
        <v>57564931</v>
      </c>
      <c r="G483" s="66">
        <v>576687824768</v>
      </c>
      <c r="H483" s="52">
        <v>1195</v>
      </c>
      <c r="I483" s="5">
        <v>0.15</v>
      </c>
      <c r="J483" s="52" cm="1">
        <f t="array" ref="J48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180</v>
      </c>
      <c r="K483" s="56" t="s">
        <v>99</v>
      </c>
      <c r="L483" s="54" t="s">
        <v>76</v>
      </c>
      <c r="M483" t="s">
        <v>43</v>
      </c>
      <c r="N483" s="15" t="s">
        <v>84</v>
      </c>
      <c r="O483" s="5" t="s">
        <v>1125</v>
      </c>
      <c r="P483" s="17" t="s">
        <v>46</v>
      </c>
      <c r="Q483" s="10" t="s">
        <v>250</v>
      </c>
      <c r="R483" s="11">
        <v>45341</v>
      </c>
      <c r="S483" s="10" t="s">
        <v>48</v>
      </c>
      <c r="T483" s="3" t="str">
        <f>IF(AND(ProtocolosAF[[#This Row],[STATUS]]="APROVADO",ProtocolosAF[[#This Row],[WAIVER]]=""),"Y","")</f>
        <v/>
      </c>
      <c r="U483" t="s">
        <v>1126</v>
      </c>
      <c r="V483" s="16" t="str">
        <f t="shared" si="22"/>
        <v>MZSZNAFRANCA ROSSETO/BRUNA</v>
      </c>
      <c r="W483">
        <v>432</v>
      </c>
    </row>
    <row r="484" spans="1:23" hidden="1">
      <c r="A484" s="1">
        <v>45343</v>
      </c>
      <c r="B484" t="s">
        <v>10</v>
      </c>
      <c r="C484" t="s">
        <v>1127</v>
      </c>
      <c r="D484" s="23" t="s">
        <v>1128</v>
      </c>
      <c r="E484" t="s">
        <v>41</v>
      </c>
      <c r="F484" s="19"/>
      <c r="G484" s="66"/>
      <c r="H484" s="52">
        <v>1328</v>
      </c>
      <c r="I484" s="5">
        <v>0.2</v>
      </c>
      <c r="J484" s="52" t="str" cm="1">
        <f t="array" ref="J48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84" s="56" t="s">
        <v>189</v>
      </c>
      <c r="L484" s="54" t="s">
        <v>76</v>
      </c>
      <c r="M484" t="s">
        <v>100</v>
      </c>
      <c r="N484" s="15" t="s">
        <v>1129</v>
      </c>
      <c r="O484" s="5" t="s">
        <v>190</v>
      </c>
      <c r="P484" s="17" t="s">
        <v>69</v>
      </c>
      <c r="Q484" s="10"/>
      <c r="R484" s="11"/>
      <c r="S484" s="10"/>
      <c r="T484" s="3" t="str">
        <f>IF(AND(ProtocolosAF[[#This Row],[STATUS]]="APROVADO",ProtocolosAF[[#This Row],[WAIVER]]=""),"Y","")</f>
        <v/>
      </c>
      <c r="U484" t="s">
        <v>1130</v>
      </c>
      <c r="V484" s="16" t="str">
        <f t="shared" si="22"/>
        <v>JHCSOGTRAVASSOS GAMA/GUSTAVO MR</v>
      </c>
      <c r="W484">
        <v>433</v>
      </c>
    </row>
    <row r="485" spans="1:23" hidden="1">
      <c r="A485" s="1">
        <v>45343</v>
      </c>
      <c r="B485" t="s">
        <v>10</v>
      </c>
      <c r="C485" t="s">
        <v>1127</v>
      </c>
      <c r="D485" s="23" t="s">
        <v>1128</v>
      </c>
      <c r="E485" t="s">
        <v>41</v>
      </c>
      <c r="F485" s="19"/>
      <c r="G485" s="66"/>
      <c r="H485" s="52">
        <v>1328</v>
      </c>
      <c r="I485" s="5">
        <v>0.2</v>
      </c>
      <c r="J485" s="52" t="str" cm="1">
        <f t="array" ref="J48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85" s="56" t="s">
        <v>189</v>
      </c>
      <c r="L485" s="54" t="s">
        <v>76</v>
      </c>
      <c r="M485" t="s">
        <v>100</v>
      </c>
      <c r="N485" s="15" t="s">
        <v>1129</v>
      </c>
      <c r="O485" s="5" t="s">
        <v>190</v>
      </c>
      <c r="P485" s="17" t="s">
        <v>69</v>
      </c>
      <c r="Q485" s="10" t="s">
        <v>222</v>
      </c>
      <c r="R485" s="11"/>
      <c r="S485" s="10"/>
      <c r="T485" s="3" t="str">
        <f>IF(AND(ProtocolosAF[[#This Row],[STATUS]]="APROVADO",ProtocolosAF[[#This Row],[WAIVER]]=""),"Y","")</f>
        <v/>
      </c>
      <c r="U485" t="s">
        <v>1131</v>
      </c>
      <c r="V485" s="16" t="str">
        <f t="shared" si="22"/>
        <v>JHCSOGSOUTO GAMA/GABRIELLA RAQUEL MRS</v>
      </c>
      <c r="W485">
        <v>433</v>
      </c>
    </row>
    <row r="486" spans="1:23" hidden="1">
      <c r="A486" s="1">
        <v>45343</v>
      </c>
      <c r="B486" t="s">
        <v>13</v>
      </c>
      <c r="C486" t="s">
        <v>1132</v>
      </c>
      <c r="D486" s="23" t="s">
        <v>1133</v>
      </c>
      <c r="E486" t="s">
        <v>41</v>
      </c>
      <c r="F486" s="19">
        <v>57564931</v>
      </c>
      <c r="G486" s="66">
        <v>576687838204</v>
      </c>
      <c r="H486" s="52">
        <v>5758</v>
      </c>
      <c r="I486" s="5">
        <v>0.05</v>
      </c>
      <c r="J486" s="52" cm="1">
        <f t="array" ref="J48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288</v>
      </c>
      <c r="K486" s="56" t="s">
        <v>151</v>
      </c>
      <c r="L486" s="54" t="s">
        <v>76</v>
      </c>
      <c r="M486" t="s">
        <v>43</v>
      </c>
      <c r="N486" s="15" t="s">
        <v>1012</v>
      </c>
      <c r="O486" s="5" t="s">
        <v>372</v>
      </c>
      <c r="P486" s="17" t="s">
        <v>46</v>
      </c>
      <c r="Q486" s="10" t="s">
        <v>168</v>
      </c>
      <c r="R486" s="11">
        <v>45343</v>
      </c>
      <c r="S486" s="10" t="s">
        <v>48</v>
      </c>
      <c r="T486" s="3" t="str">
        <f>IF(AND(ProtocolosAF[[#This Row],[STATUS]]="APROVADO",ProtocolosAF[[#This Row],[WAIVER]]=""),"Y","")</f>
        <v/>
      </c>
      <c r="U486" t="s">
        <v>1134</v>
      </c>
      <c r="V486" s="16" t="str">
        <f t="shared" si="22"/>
        <v>YAJLGYDE BARROS/OCTAVIO</v>
      </c>
      <c r="W486">
        <v>434</v>
      </c>
    </row>
    <row r="487" spans="1:23" hidden="1">
      <c r="A487" s="1">
        <v>45343</v>
      </c>
      <c r="B487" t="s">
        <v>13</v>
      </c>
      <c r="C487" t="s">
        <v>1132</v>
      </c>
      <c r="D487" s="23" t="s">
        <v>1133</v>
      </c>
      <c r="E487" t="s">
        <v>73</v>
      </c>
      <c r="F487" s="19">
        <v>57564931</v>
      </c>
      <c r="G487" s="66">
        <v>574207249002</v>
      </c>
      <c r="H487" s="52">
        <v>179</v>
      </c>
      <c r="I487" s="5" t="s">
        <v>74</v>
      </c>
      <c r="J487" s="52" cm="1">
        <f t="array" ref="J48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179</v>
      </c>
      <c r="K487" s="56" t="s">
        <v>151</v>
      </c>
      <c r="L487" s="54" t="s">
        <v>76</v>
      </c>
      <c r="M487" t="s">
        <v>43</v>
      </c>
      <c r="N487" s="15" t="s">
        <v>1129</v>
      </c>
      <c r="O487" s="5" t="s">
        <v>78</v>
      </c>
      <c r="P487" s="17" t="s">
        <v>46</v>
      </c>
      <c r="Q487" s="10" t="s">
        <v>168</v>
      </c>
      <c r="R487" s="11">
        <v>45344</v>
      </c>
      <c r="S487" s="10" t="s">
        <v>520</v>
      </c>
      <c r="T487" s="3" t="str">
        <f>IF(AND(ProtocolosAF[[#This Row],[STATUS]]="APROVADO",ProtocolosAF[[#This Row],[WAIVER]]=""),"Y","")</f>
        <v/>
      </c>
      <c r="U487" t="s">
        <v>1134</v>
      </c>
      <c r="V487" s="16" t="str">
        <f t="shared" si="22"/>
        <v>YAJLGYDE BARROS/OCTAVIO</v>
      </c>
      <c r="W487">
        <v>435</v>
      </c>
    </row>
    <row r="488" spans="1:23" hidden="1">
      <c r="A488" s="1">
        <v>45343</v>
      </c>
      <c r="B488" t="s">
        <v>10</v>
      </c>
      <c r="C488" t="s">
        <v>1135</v>
      </c>
      <c r="D488" s="23" t="s">
        <v>1136</v>
      </c>
      <c r="E488" t="s">
        <v>41</v>
      </c>
      <c r="F488" s="19">
        <v>57564931</v>
      </c>
      <c r="G488" s="66">
        <v>576687843945</v>
      </c>
      <c r="H488" s="52">
        <v>1140</v>
      </c>
      <c r="I488" s="5">
        <v>0.1</v>
      </c>
      <c r="J488" s="52" cm="1">
        <f t="array" ref="J48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114</v>
      </c>
      <c r="K488" s="56" t="s">
        <v>345</v>
      </c>
      <c r="L488" s="54" t="s">
        <v>76</v>
      </c>
      <c r="M488" t="s">
        <v>43</v>
      </c>
      <c r="N488" s="15" t="s">
        <v>1129</v>
      </c>
      <c r="O488" s="5" t="s">
        <v>1137</v>
      </c>
      <c r="P488" s="17" t="s">
        <v>69</v>
      </c>
      <c r="Q488" s="10" t="s">
        <v>222</v>
      </c>
      <c r="R488" s="11">
        <v>45344</v>
      </c>
      <c r="S488" s="10" t="s">
        <v>48</v>
      </c>
      <c r="T488" s="3" t="str">
        <f>IF(AND(ProtocolosAF[[#This Row],[STATUS]]="APROVADO",ProtocolosAF[[#This Row],[WAIVER]]=""),"Y","")</f>
        <v/>
      </c>
      <c r="U488" t="s">
        <v>1138</v>
      </c>
      <c r="V488" s="16" t="str">
        <f t="shared" si="22"/>
        <v>HVOJECAMPESSAN/GABRIEL AUGUSTO MR</v>
      </c>
      <c r="W488">
        <v>436</v>
      </c>
    </row>
    <row r="489" spans="1:23" hidden="1">
      <c r="A489" s="1">
        <v>45344</v>
      </c>
      <c r="B489" t="s">
        <v>16</v>
      </c>
      <c r="C489" t="s">
        <v>1139</v>
      </c>
      <c r="D489" s="23" t="s">
        <v>1140</v>
      </c>
      <c r="E489" t="s">
        <v>41</v>
      </c>
      <c r="F489" s="19"/>
      <c r="G489" s="66"/>
      <c r="H489" s="52">
        <v>793</v>
      </c>
      <c r="I489" s="5">
        <v>0.1</v>
      </c>
      <c r="J489" s="52" t="str" cm="1">
        <f t="array" ref="J48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89" s="56" t="s">
        <v>177</v>
      </c>
      <c r="L489" s="54" t="s">
        <v>66</v>
      </c>
      <c r="M489" t="s">
        <v>217</v>
      </c>
      <c r="N489" s="15" t="s">
        <v>1012</v>
      </c>
      <c r="O489" s="5" t="s">
        <v>417</v>
      </c>
      <c r="P489" s="17" t="s">
        <v>146</v>
      </c>
      <c r="Q489" s="10"/>
      <c r="R489" s="11"/>
      <c r="S489" s="10"/>
      <c r="T489" s="3" t="str">
        <f>IF(AND(ProtocolosAF[[#This Row],[STATUS]]="APROVADO",ProtocolosAF[[#This Row],[WAIVER]]=""),"Y","")</f>
        <v/>
      </c>
      <c r="U489" t="s">
        <v>1141</v>
      </c>
      <c r="V489" s="16" t="str">
        <f t="shared" si="22"/>
        <v>7243Z3CASTRO NEVES/MATHEUSMR</v>
      </c>
      <c r="W489">
        <v>438</v>
      </c>
    </row>
    <row r="490" spans="1:23" hidden="1">
      <c r="A490" s="1">
        <v>45344</v>
      </c>
      <c r="B490" t="s">
        <v>12</v>
      </c>
      <c r="C490" t="s">
        <v>1142</v>
      </c>
      <c r="D490" s="23" t="s">
        <v>1142</v>
      </c>
      <c r="E490" t="s">
        <v>207</v>
      </c>
      <c r="F490" s="19">
        <v>57994602</v>
      </c>
      <c r="G490" s="66">
        <v>574207249008</v>
      </c>
      <c r="H490" s="52">
        <v>74</v>
      </c>
      <c r="I490" s="5" t="s">
        <v>74</v>
      </c>
      <c r="J490" s="52" cm="1">
        <f t="array" ref="J49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74</v>
      </c>
      <c r="K490" s="56" t="s">
        <v>1089</v>
      </c>
      <c r="L490" s="54" t="s">
        <v>488</v>
      </c>
      <c r="M490" t="s">
        <v>43</v>
      </c>
      <c r="N490" s="15" t="s">
        <v>84</v>
      </c>
      <c r="O490" s="5" t="s">
        <v>178</v>
      </c>
      <c r="P490" s="17" t="s">
        <v>46</v>
      </c>
      <c r="Q490" s="10" t="s">
        <v>229</v>
      </c>
      <c r="R490" s="11">
        <v>45345</v>
      </c>
      <c r="S490" s="10" t="s">
        <v>1143</v>
      </c>
      <c r="T490" s="3" t="str">
        <f>IF(AND(ProtocolosAF[[#This Row],[STATUS]]="APROVADO",ProtocolosAF[[#This Row],[WAIVER]]=""),"Y","")</f>
        <v/>
      </c>
      <c r="U490" t="s">
        <v>1144</v>
      </c>
      <c r="V490" s="16" t="str">
        <f t="shared" si="22"/>
        <v>23TNA9EVANGELISTA SANTOS/VICTHORIA</v>
      </c>
      <c r="W490">
        <v>437</v>
      </c>
    </row>
    <row r="491" spans="1:23" hidden="1">
      <c r="A491" s="1">
        <v>45344</v>
      </c>
      <c r="B491" t="s">
        <v>12</v>
      </c>
      <c r="C491" t="s">
        <v>1142</v>
      </c>
      <c r="D491" s="23" t="s">
        <v>1142</v>
      </c>
      <c r="E491" t="s">
        <v>207</v>
      </c>
      <c r="F491" s="19">
        <v>57994602</v>
      </c>
      <c r="G491" s="66">
        <v>574207249009</v>
      </c>
      <c r="H491" s="52">
        <v>74</v>
      </c>
      <c r="I491" s="5" t="s">
        <v>74</v>
      </c>
      <c r="J491" s="52" cm="1">
        <f t="array" ref="J49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74</v>
      </c>
      <c r="K491" s="56" t="s">
        <v>1089</v>
      </c>
      <c r="L491" s="54" t="s">
        <v>488</v>
      </c>
      <c r="M491" t="s">
        <v>43</v>
      </c>
      <c r="N491" s="15" t="s">
        <v>84</v>
      </c>
      <c r="O491" s="5" t="s">
        <v>178</v>
      </c>
      <c r="P491" s="17" t="s">
        <v>46</v>
      </c>
      <c r="Q491" s="10" t="s">
        <v>229</v>
      </c>
      <c r="R491" s="11">
        <v>45345</v>
      </c>
      <c r="S491" s="10" t="s">
        <v>1143</v>
      </c>
      <c r="T491" s="3" t="str">
        <f>IF(AND(ProtocolosAF[[#This Row],[STATUS]]="APROVADO",ProtocolosAF[[#This Row],[WAIVER]]=""),"Y","")</f>
        <v/>
      </c>
      <c r="U491" t="s">
        <v>1145</v>
      </c>
      <c r="V491" s="16" t="str">
        <f t="shared" si="22"/>
        <v>23TNA9UILIANA/GABRIELA</v>
      </c>
      <c r="W491">
        <v>437</v>
      </c>
    </row>
    <row r="492" spans="1:23" hidden="1">
      <c r="A492" s="1">
        <v>45345</v>
      </c>
      <c r="B492" t="s">
        <v>10</v>
      </c>
      <c r="C492" t="s">
        <v>1146</v>
      </c>
      <c r="D492" s="23" t="s">
        <v>1147</v>
      </c>
      <c r="E492" t="s">
        <v>41</v>
      </c>
      <c r="F492" s="19"/>
      <c r="G492" s="66"/>
      <c r="H492" s="52">
        <v>3993</v>
      </c>
      <c r="I492" s="5">
        <v>0.06</v>
      </c>
      <c r="J492" s="52" t="str" cm="1">
        <f t="array" ref="J49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92" s="56" t="s">
        <v>189</v>
      </c>
      <c r="L492" s="54" t="s">
        <v>76</v>
      </c>
      <c r="M492" t="s">
        <v>100</v>
      </c>
      <c r="N492" s="15" t="s">
        <v>1129</v>
      </c>
      <c r="O492" s="5" t="s">
        <v>160</v>
      </c>
      <c r="P492" s="17" t="s">
        <v>69</v>
      </c>
      <c r="Q492" s="10"/>
      <c r="R492" s="11"/>
      <c r="S492" s="10"/>
      <c r="T492" s="3" t="str">
        <f>IF(AND(ProtocolosAF[[#This Row],[STATUS]]="APROVADO",ProtocolosAF[[#This Row],[WAIVER]]=""),"Y","")</f>
        <v/>
      </c>
      <c r="U492" t="s">
        <v>1148</v>
      </c>
      <c r="V492" s="16" t="str">
        <f t="shared" si="22"/>
        <v>GXIYPOLASKANI/MARIANA</v>
      </c>
      <c r="W492">
        <v>440</v>
      </c>
    </row>
    <row r="493" spans="1:23" hidden="1">
      <c r="A493" s="1">
        <v>45345</v>
      </c>
      <c r="B493" t="s">
        <v>10</v>
      </c>
      <c r="C493" t="s">
        <v>1146</v>
      </c>
      <c r="D493" s="23" t="s">
        <v>1147</v>
      </c>
      <c r="E493" t="s">
        <v>41</v>
      </c>
      <c r="F493" s="19"/>
      <c r="G493" s="66"/>
      <c r="H493" s="52">
        <v>3993</v>
      </c>
      <c r="I493" s="5">
        <v>0.06</v>
      </c>
      <c r="J493" s="52" t="str" cm="1">
        <f t="array" ref="J49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93" s="56" t="s">
        <v>189</v>
      </c>
      <c r="L493" s="54" t="s">
        <v>76</v>
      </c>
      <c r="M493" t="s">
        <v>100</v>
      </c>
      <c r="N493" s="15" t="s">
        <v>1129</v>
      </c>
      <c r="O493" s="5" t="s">
        <v>160</v>
      </c>
      <c r="P493" s="17" t="s">
        <v>69</v>
      </c>
      <c r="Q493" s="10"/>
      <c r="R493" s="11"/>
      <c r="S493" s="10"/>
      <c r="T493" s="3" t="str">
        <f>IF(AND(ProtocolosAF[[#This Row],[STATUS]]="APROVADO",ProtocolosAF[[#This Row],[WAIVER]]=""),"Y","")</f>
        <v/>
      </c>
      <c r="U493" t="s">
        <v>1149</v>
      </c>
      <c r="V493" s="16" t="str">
        <f t="shared" si="22"/>
        <v>GXIYPOLEWKOWICZ/REUVEN</v>
      </c>
      <c r="W493">
        <v>440</v>
      </c>
    </row>
    <row r="494" spans="1:23" hidden="1">
      <c r="A494" s="1">
        <v>45345</v>
      </c>
      <c r="B494" t="s">
        <v>10</v>
      </c>
      <c r="C494" t="s">
        <v>1150</v>
      </c>
      <c r="D494" s="23" t="s">
        <v>1151</v>
      </c>
      <c r="E494" t="s">
        <v>41</v>
      </c>
      <c r="F494" s="19">
        <v>57564931</v>
      </c>
      <c r="G494" s="66">
        <v>576624139741</v>
      </c>
      <c r="H494" s="52">
        <v>1025</v>
      </c>
      <c r="I494" s="5">
        <v>0.06</v>
      </c>
      <c r="J494" s="52" cm="1">
        <f t="array" ref="J49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62</v>
      </c>
      <c r="K494" s="56" t="s">
        <v>189</v>
      </c>
      <c r="L494" s="54" t="s">
        <v>76</v>
      </c>
      <c r="M494" t="s">
        <v>43</v>
      </c>
      <c r="N494" s="15" t="s">
        <v>1129</v>
      </c>
      <c r="O494" s="5" t="s">
        <v>922</v>
      </c>
      <c r="P494" s="17" t="s">
        <v>69</v>
      </c>
      <c r="Q494" s="10" t="s">
        <v>940</v>
      </c>
      <c r="R494" s="11">
        <v>45345</v>
      </c>
      <c r="S494" s="10" t="s">
        <v>48</v>
      </c>
      <c r="T494" s="3" t="str">
        <f>IF(AND(ProtocolosAF[[#This Row],[STATUS]]="APROVADO",ProtocolosAF[[#This Row],[WAIVER]]=""),"Y","")</f>
        <v/>
      </c>
      <c r="U494" t="s">
        <v>1152</v>
      </c>
      <c r="V494" s="16" t="str">
        <f t="shared" si="22"/>
        <v>2EUTYNCOSTA MOREIRA/EDY MRS</v>
      </c>
      <c r="W494">
        <v>442</v>
      </c>
    </row>
    <row r="495" spans="1:23" hidden="1">
      <c r="A495" s="1">
        <v>45345</v>
      </c>
      <c r="B495" t="s">
        <v>10</v>
      </c>
      <c r="C495" t="s">
        <v>1150</v>
      </c>
      <c r="D495" s="23" t="s">
        <v>1151</v>
      </c>
      <c r="E495" t="s">
        <v>41</v>
      </c>
      <c r="F495" s="19">
        <v>57564931</v>
      </c>
      <c r="G495" s="66">
        <v>576624139744</v>
      </c>
      <c r="H495" s="52">
        <v>1025</v>
      </c>
      <c r="I495" s="5">
        <v>0.06</v>
      </c>
      <c r="J495" s="52" cm="1">
        <f t="array" ref="J49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62</v>
      </c>
      <c r="K495" s="56" t="s">
        <v>189</v>
      </c>
      <c r="L495" s="54" t="s">
        <v>76</v>
      </c>
      <c r="M495" t="s">
        <v>43</v>
      </c>
      <c r="N495" s="15" t="s">
        <v>1129</v>
      </c>
      <c r="O495" s="5" t="s">
        <v>922</v>
      </c>
      <c r="P495" s="17" t="s">
        <v>69</v>
      </c>
      <c r="Q495" s="10" t="s">
        <v>940</v>
      </c>
      <c r="R495" s="11">
        <v>45345</v>
      </c>
      <c r="S495" s="10" t="s">
        <v>48</v>
      </c>
      <c r="T495" s="3" t="str">
        <f>IF(AND(ProtocolosAF[[#This Row],[STATUS]]="APROVADO",ProtocolosAF[[#This Row],[WAIVER]]=""),"Y","")</f>
        <v/>
      </c>
      <c r="U495" t="s">
        <v>1153</v>
      </c>
      <c r="V495" s="16" t="str">
        <f t="shared" si="22"/>
        <v>2EUTYNLOPES PESSOA MENDES/TATIANA MRS</v>
      </c>
      <c r="W495">
        <v>442</v>
      </c>
    </row>
    <row r="496" spans="1:23" hidden="1">
      <c r="A496" s="1">
        <v>45345</v>
      </c>
      <c r="B496" t="s">
        <v>15</v>
      </c>
      <c r="C496" t="s">
        <v>1154</v>
      </c>
      <c r="D496" s="23" t="s">
        <v>1154</v>
      </c>
      <c r="E496" t="s">
        <v>41</v>
      </c>
      <c r="F496" s="19">
        <v>57564931</v>
      </c>
      <c r="G496" s="66">
        <v>576624142069</v>
      </c>
      <c r="H496" s="52">
        <v>1543</v>
      </c>
      <c r="I496" s="5">
        <v>0.1</v>
      </c>
      <c r="J496" s="52" cm="1">
        <f t="array" ref="J49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155</v>
      </c>
      <c r="K496" s="56" t="s">
        <v>1155</v>
      </c>
      <c r="L496" s="54" t="s">
        <v>76</v>
      </c>
      <c r="M496" t="s">
        <v>43</v>
      </c>
      <c r="N496" s="15" t="s">
        <v>1012</v>
      </c>
      <c r="O496" s="5" t="s">
        <v>1156</v>
      </c>
      <c r="P496" s="17" t="s">
        <v>503</v>
      </c>
      <c r="Q496" s="10" t="s">
        <v>79</v>
      </c>
      <c r="R496" s="11">
        <v>45346</v>
      </c>
      <c r="S496" s="10" t="s">
        <v>48</v>
      </c>
      <c r="T496" s="3" t="str">
        <f>IF(AND(ProtocolosAF[[#This Row],[STATUS]]="APROVADO",ProtocolosAF[[#This Row],[WAIVER]]=""),"Y","")</f>
        <v/>
      </c>
      <c r="U496" t="s">
        <v>1157</v>
      </c>
      <c r="V496" s="16" t="str">
        <f t="shared" si="22"/>
        <v>23NN4LSOUZA/MARCO</v>
      </c>
      <c r="W496">
        <v>443</v>
      </c>
    </row>
    <row r="497" spans="1:23" hidden="1">
      <c r="A497" s="1">
        <v>45345</v>
      </c>
      <c r="B497" t="s">
        <v>10</v>
      </c>
      <c r="C497" t="s">
        <v>1158</v>
      </c>
      <c r="D497" s="23" t="s">
        <v>1159</v>
      </c>
      <c r="E497" t="s">
        <v>41</v>
      </c>
      <c r="F497" s="19">
        <v>57564931</v>
      </c>
      <c r="G497" s="66">
        <v>576687861792</v>
      </c>
      <c r="H497" s="52">
        <v>1214</v>
      </c>
      <c r="I497" s="5">
        <v>0.1</v>
      </c>
      <c r="J497" s="52" cm="1">
        <f t="array" ref="J49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122</v>
      </c>
      <c r="K497" s="56" t="s">
        <v>345</v>
      </c>
      <c r="L497" s="54" t="s">
        <v>76</v>
      </c>
      <c r="M497" t="s">
        <v>43</v>
      </c>
      <c r="N497" s="15" t="s">
        <v>1129</v>
      </c>
      <c r="O497" s="5" t="s">
        <v>68</v>
      </c>
      <c r="P497" s="17" t="s">
        <v>46</v>
      </c>
      <c r="Q497" s="10" t="s">
        <v>743</v>
      </c>
      <c r="R497" s="11">
        <v>45346</v>
      </c>
      <c r="S497" s="10" t="s">
        <v>48</v>
      </c>
      <c r="T497" s="3" t="str">
        <f>IF(AND(ProtocolosAF[[#This Row],[STATUS]]="APROVADO",ProtocolosAF[[#This Row],[WAIVER]]=""),"Y","")</f>
        <v/>
      </c>
      <c r="U497" t="s">
        <v>1160</v>
      </c>
      <c r="V497" s="16" t="str">
        <f t="shared" si="22"/>
        <v>KNOZVB RANZINI/FABIOLA MRS</v>
      </c>
      <c r="W497">
        <v>445</v>
      </c>
    </row>
    <row r="498" spans="1:23" hidden="1">
      <c r="A498" s="1">
        <v>45348</v>
      </c>
      <c r="B498" t="s">
        <v>15</v>
      </c>
      <c r="C498" t="s">
        <v>1161</v>
      </c>
      <c r="D498" s="23" t="s">
        <v>1161</v>
      </c>
      <c r="E498" t="s">
        <v>41</v>
      </c>
      <c r="F498" s="19"/>
      <c r="G498" s="66"/>
      <c r="H498" s="52">
        <v>1112</v>
      </c>
      <c r="I498" s="5">
        <v>0.1</v>
      </c>
      <c r="J498" s="52" t="str" cm="1">
        <f t="array" ref="J49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498" s="56" t="s">
        <v>1155</v>
      </c>
      <c r="L498" s="54" t="s">
        <v>76</v>
      </c>
      <c r="M498" t="s">
        <v>100</v>
      </c>
      <c r="N498" s="15" t="s">
        <v>1012</v>
      </c>
      <c r="O498" s="5" t="s">
        <v>922</v>
      </c>
      <c r="P498" s="17" t="s">
        <v>69</v>
      </c>
      <c r="Q498" s="10"/>
      <c r="R498" s="11"/>
      <c r="S498" s="10"/>
      <c r="T498" s="3" t="str">
        <f>IF(AND(ProtocolosAF[[#This Row],[STATUS]]="APROVADO",ProtocolosAF[[#This Row],[WAIVER]]=""),"Y","")</f>
        <v/>
      </c>
      <c r="U498" t="s">
        <v>1162</v>
      </c>
      <c r="V498" s="16" t="str">
        <f t="shared" si="22"/>
        <v>2VI9PQTEIXEIRA/MARIA NAZARE</v>
      </c>
      <c r="W498">
        <v>446</v>
      </c>
    </row>
    <row r="499" spans="1:23" hidden="1">
      <c r="A499" s="1">
        <v>45348</v>
      </c>
      <c r="B499" t="s">
        <v>13</v>
      </c>
      <c r="C499" t="s">
        <v>1163</v>
      </c>
      <c r="D499" s="23" t="s">
        <v>1163</v>
      </c>
      <c r="E499" t="s">
        <v>73</v>
      </c>
      <c r="F499" s="19">
        <v>57996444</v>
      </c>
      <c r="G499" s="66">
        <v>574209903430</v>
      </c>
      <c r="H499" s="52">
        <v>89</v>
      </c>
      <c r="I499" s="5" t="s">
        <v>74</v>
      </c>
      <c r="J499" s="52" cm="1">
        <f t="array" ref="J49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89</v>
      </c>
      <c r="K499" s="56" t="s">
        <v>151</v>
      </c>
      <c r="L499" s="54" t="s">
        <v>172</v>
      </c>
      <c r="M499" t="s">
        <v>43</v>
      </c>
      <c r="N499" s="15" t="s">
        <v>1129</v>
      </c>
      <c r="O499" s="5" t="s">
        <v>307</v>
      </c>
      <c r="P499" s="17" t="s">
        <v>69</v>
      </c>
      <c r="Q499" s="10"/>
      <c r="R499" s="11"/>
      <c r="S499" s="10" t="s">
        <v>173</v>
      </c>
      <c r="T499" s="3" t="str">
        <f>IF(AND(ProtocolosAF[[#This Row],[STATUS]]="APROVADO",ProtocolosAF[[#This Row],[WAIVER]]=""),"Y","")</f>
        <v/>
      </c>
      <c r="U499" t="s">
        <v>1164</v>
      </c>
      <c r="V499" s="16" t="str">
        <f t="shared" si="22"/>
        <v>2URSZSBARRETO/SALVADOR M</v>
      </c>
      <c r="W499">
        <v>447</v>
      </c>
    </row>
    <row r="500" spans="1:23" hidden="1">
      <c r="A500" s="1">
        <v>45348</v>
      </c>
      <c r="B500" t="s">
        <v>13</v>
      </c>
      <c r="C500" t="s">
        <v>1163</v>
      </c>
      <c r="D500" s="23" t="s">
        <v>1163</v>
      </c>
      <c r="E500" t="s">
        <v>73</v>
      </c>
      <c r="F500" s="19">
        <v>57996444</v>
      </c>
      <c r="G500" s="66">
        <v>574209903429</v>
      </c>
      <c r="H500" s="52">
        <v>89</v>
      </c>
      <c r="I500" s="5" t="s">
        <v>74</v>
      </c>
      <c r="J500" s="52" cm="1">
        <f t="array" ref="J50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89</v>
      </c>
      <c r="K500" s="56" t="s">
        <v>151</v>
      </c>
      <c r="L500" s="54" t="s">
        <v>172</v>
      </c>
      <c r="M500" t="s">
        <v>43</v>
      </c>
      <c r="N500" s="15" t="s">
        <v>1129</v>
      </c>
      <c r="O500" s="5" t="s">
        <v>307</v>
      </c>
      <c r="P500" s="17" t="s">
        <v>69</v>
      </c>
      <c r="Q500" s="10"/>
      <c r="R500" s="11"/>
      <c r="S500" s="10" t="s">
        <v>173</v>
      </c>
      <c r="T500" s="3" t="str">
        <f>IF(AND(ProtocolosAF[[#This Row],[STATUS]]="APROVADO",ProtocolosAF[[#This Row],[WAIVER]]=""),"Y","")</f>
        <v/>
      </c>
      <c r="U500" t="s">
        <v>1165</v>
      </c>
      <c r="V500" s="16" t="str">
        <f t="shared" si="22"/>
        <v>2URSZSFLES/CINTIA</v>
      </c>
      <c r="W500">
        <v>447</v>
      </c>
    </row>
    <row r="501" spans="1:23" hidden="1">
      <c r="A501" s="1">
        <v>45348</v>
      </c>
      <c r="B501" t="s">
        <v>10</v>
      </c>
      <c r="C501" t="s">
        <v>1166</v>
      </c>
      <c r="D501" s="23" t="s">
        <v>1166</v>
      </c>
      <c r="E501" t="s">
        <v>41</v>
      </c>
      <c r="F501" s="19">
        <v>57564931</v>
      </c>
      <c r="G501" s="66">
        <v>576624158444</v>
      </c>
      <c r="H501" s="52">
        <v>1475</v>
      </c>
      <c r="I501" s="5">
        <v>0.1</v>
      </c>
      <c r="J501" s="52" cm="1">
        <f t="array" ref="J50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148</v>
      </c>
      <c r="K501" s="56" t="s">
        <v>345</v>
      </c>
      <c r="L501" s="54" t="s">
        <v>66</v>
      </c>
      <c r="M501" t="s">
        <v>43</v>
      </c>
      <c r="N501" s="15" t="s">
        <v>1129</v>
      </c>
      <c r="O501" s="5" t="s">
        <v>1167</v>
      </c>
      <c r="P501" s="17" t="s">
        <v>69</v>
      </c>
      <c r="Q501" s="10" t="s">
        <v>743</v>
      </c>
      <c r="R501" s="11">
        <v>45349</v>
      </c>
      <c r="S501" s="10" t="s">
        <v>48</v>
      </c>
      <c r="T501" s="3" t="str">
        <f>IF(AND(ProtocolosAF[[#This Row],[STATUS]]="APROVADO",ProtocolosAF[[#This Row],[WAIVER]]=""),"Y","")</f>
        <v/>
      </c>
      <c r="U501" t="s">
        <v>1168</v>
      </c>
      <c r="V501" s="16" t="str">
        <f t="shared" si="22"/>
        <v>2WSDI4MARTIN BAGNATI/ALEJANDRO</v>
      </c>
      <c r="W501">
        <v>448</v>
      </c>
    </row>
    <row r="502" spans="1:23" hidden="1">
      <c r="A502" s="1">
        <v>45348</v>
      </c>
      <c r="B502" t="s">
        <v>10</v>
      </c>
      <c r="C502" t="s">
        <v>1169</v>
      </c>
      <c r="D502" s="23" t="s">
        <v>1169</v>
      </c>
      <c r="E502" t="s">
        <v>41</v>
      </c>
      <c r="F502" s="19">
        <v>57564931</v>
      </c>
      <c r="G502" s="66">
        <v>576624158448</v>
      </c>
      <c r="H502" s="52">
        <v>1383</v>
      </c>
      <c r="I502" s="5">
        <v>0.1</v>
      </c>
      <c r="J502" s="52" cm="1">
        <f t="array" ref="J50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139</v>
      </c>
      <c r="K502" s="56" t="s">
        <v>345</v>
      </c>
      <c r="L502" s="54" t="s">
        <v>76</v>
      </c>
      <c r="M502" t="s">
        <v>43</v>
      </c>
      <c r="N502" s="15" t="s">
        <v>1129</v>
      </c>
      <c r="O502" s="5" t="s">
        <v>1167</v>
      </c>
      <c r="P502" s="17" t="s">
        <v>69</v>
      </c>
      <c r="Q502" s="10" t="s">
        <v>743</v>
      </c>
      <c r="R502" s="11">
        <v>45349</v>
      </c>
      <c r="S502" s="10" t="s">
        <v>48</v>
      </c>
      <c r="T502" s="3" t="str">
        <f>IF(AND(ProtocolosAF[[#This Row],[STATUS]]="APROVADO",ProtocolosAF[[#This Row],[WAIVER]]=""),"Y","")</f>
        <v/>
      </c>
      <c r="U502" t="s">
        <v>1170</v>
      </c>
      <c r="V502" s="16" t="str">
        <f t="shared" si="22"/>
        <v>2WTGAJ1.AMORIM JUNIOR/SAMUEL</v>
      </c>
      <c r="W502">
        <v>449</v>
      </c>
    </row>
    <row r="503" spans="1:23" hidden="1">
      <c r="A503" s="1">
        <v>45349</v>
      </c>
      <c r="B503" t="s">
        <v>13</v>
      </c>
      <c r="C503" t="s">
        <v>1171</v>
      </c>
      <c r="D503" s="23" t="s">
        <v>1171</v>
      </c>
      <c r="E503" t="s">
        <v>41</v>
      </c>
      <c r="F503" s="19"/>
      <c r="G503" s="66"/>
      <c r="H503" s="52">
        <v>2391</v>
      </c>
      <c r="I503" s="5">
        <v>0.1</v>
      </c>
      <c r="J503" s="52" t="str" cm="1">
        <f t="array" ref="J50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03" s="56" t="s">
        <v>1095</v>
      </c>
      <c r="L503" s="54" t="s">
        <v>66</v>
      </c>
      <c r="M503" t="s">
        <v>100</v>
      </c>
      <c r="N503" s="15" t="s">
        <v>84</v>
      </c>
      <c r="O503" s="5" t="s">
        <v>238</v>
      </c>
      <c r="P503" s="17" t="s">
        <v>46</v>
      </c>
      <c r="Q503" s="10"/>
      <c r="R503" s="11"/>
      <c r="S503" s="10"/>
      <c r="T503" s="3" t="str">
        <f>IF(AND(ProtocolosAF[[#This Row],[STATUS]]="APROVADO",ProtocolosAF[[#This Row],[WAIVER]]=""),"Y","")</f>
        <v/>
      </c>
      <c r="U503" t="s">
        <v>1172</v>
      </c>
      <c r="V503" s="16" t="str">
        <f t="shared" si="22"/>
        <v>34CF73BAFFILE PRIOLLI/FILIPE</v>
      </c>
      <c r="W503">
        <v>450</v>
      </c>
    </row>
    <row r="504" spans="1:23" hidden="1">
      <c r="A504" s="1">
        <v>45349</v>
      </c>
      <c r="B504" t="s">
        <v>13</v>
      </c>
      <c r="C504" t="s">
        <v>1171</v>
      </c>
      <c r="D504" s="23" t="s">
        <v>1171</v>
      </c>
      <c r="E504" t="s">
        <v>41</v>
      </c>
      <c r="F504" s="19"/>
      <c r="G504" s="66"/>
      <c r="H504" s="52">
        <v>2391</v>
      </c>
      <c r="I504" s="5">
        <v>0.1</v>
      </c>
      <c r="J504" s="52" t="str" cm="1">
        <f t="array" ref="J50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04" s="56" t="s">
        <v>1095</v>
      </c>
      <c r="L504" s="54" t="s">
        <v>66</v>
      </c>
      <c r="M504" t="s">
        <v>100</v>
      </c>
      <c r="N504" s="15" t="s">
        <v>84</v>
      </c>
      <c r="O504" s="5" t="s">
        <v>238</v>
      </c>
      <c r="P504" s="17" t="s">
        <v>46</v>
      </c>
      <c r="Q504" s="10"/>
      <c r="R504" s="11"/>
      <c r="S504" s="10"/>
      <c r="T504" s="3" t="str">
        <f>IF(AND(ProtocolosAF[[#This Row],[STATUS]]="APROVADO",ProtocolosAF[[#This Row],[WAIVER]]=""),"Y","")</f>
        <v/>
      </c>
      <c r="U504" t="s">
        <v>1173</v>
      </c>
      <c r="V504" s="16" t="str">
        <f t="shared" si="22"/>
        <v>34CF73LATORRACA DE ANGELIS/RICARDO</v>
      </c>
      <c r="W504">
        <v>450</v>
      </c>
    </row>
    <row r="505" spans="1:23" hidden="1">
      <c r="A505" s="1">
        <v>45349</v>
      </c>
      <c r="B505" t="s">
        <v>13</v>
      </c>
      <c r="C505" t="s">
        <v>1171</v>
      </c>
      <c r="D505" s="23" t="s">
        <v>1171</v>
      </c>
      <c r="E505" t="s">
        <v>41</v>
      </c>
      <c r="F505" s="19"/>
      <c r="G505" s="66"/>
      <c r="H505" s="52">
        <v>2391</v>
      </c>
      <c r="I505" s="5">
        <v>0.1</v>
      </c>
      <c r="J505" s="52" t="str" cm="1">
        <f t="array" ref="J50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05" s="56" t="s">
        <v>1095</v>
      </c>
      <c r="L505" s="54" t="s">
        <v>66</v>
      </c>
      <c r="M505" t="s">
        <v>100</v>
      </c>
      <c r="N505" s="15" t="s">
        <v>84</v>
      </c>
      <c r="O505" s="5" t="s">
        <v>238</v>
      </c>
      <c r="P505" s="17" t="s">
        <v>46</v>
      </c>
      <c r="Q505" s="10"/>
      <c r="R505" s="11"/>
      <c r="S505" s="10"/>
      <c r="T505" s="3" t="str">
        <f>IF(AND(ProtocolosAF[[#This Row],[STATUS]]="APROVADO",ProtocolosAF[[#This Row],[WAIVER]]=""),"Y","")</f>
        <v/>
      </c>
      <c r="U505" t="s">
        <v>1174</v>
      </c>
      <c r="V505" s="16" t="str">
        <f t="shared" si="22"/>
        <v>34CF73PEREIRA/TONIMAR FRANCISCO</v>
      </c>
      <c r="W505">
        <v>450</v>
      </c>
    </row>
    <row r="506" spans="1:23" hidden="1">
      <c r="A506" s="1">
        <v>45349</v>
      </c>
      <c r="B506" t="s">
        <v>11</v>
      </c>
      <c r="C506" t="s">
        <v>1175</v>
      </c>
      <c r="D506" s="23" t="s">
        <v>1176</v>
      </c>
      <c r="E506" t="s">
        <v>73</v>
      </c>
      <c r="F506" s="19">
        <v>57564931</v>
      </c>
      <c r="G506" s="66">
        <v>740744106875</v>
      </c>
      <c r="H506" s="52">
        <v>115</v>
      </c>
      <c r="I506" s="5" t="s">
        <v>74</v>
      </c>
      <c r="J506" s="52" cm="1">
        <f t="array" ref="J50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115</v>
      </c>
      <c r="K506" s="56" t="s">
        <v>84</v>
      </c>
      <c r="L506" s="54" t="s">
        <v>529</v>
      </c>
      <c r="M506" t="s">
        <v>43</v>
      </c>
      <c r="N506" s="15" t="s">
        <v>84</v>
      </c>
      <c r="O506" s="5" t="s">
        <v>1177</v>
      </c>
      <c r="P506" s="17" t="s">
        <v>146</v>
      </c>
      <c r="Q506" s="10" t="s">
        <v>353</v>
      </c>
      <c r="R506" s="11">
        <v>45380</v>
      </c>
      <c r="S506" s="10" t="s">
        <v>520</v>
      </c>
      <c r="T506" s="3" t="str">
        <f>IF(AND(ProtocolosAF[[#This Row],[STATUS]]="APROVADO",ProtocolosAF[[#This Row],[WAIVER]]=""),"Y","")</f>
        <v/>
      </c>
      <c r="U506" t="s">
        <v>1178</v>
      </c>
      <c r="V506" s="16" t="str">
        <f t="shared" si="22"/>
        <v>CLTZMPMINERVINO CAMPOS/GIOVANNA ROBERTA MRS</v>
      </c>
      <c r="W506">
        <v>451</v>
      </c>
    </row>
    <row r="507" spans="1:23" hidden="1">
      <c r="A507" s="1">
        <v>45350</v>
      </c>
      <c r="B507" t="s">
        <v>13</v>
      </c>
      <c r="C507" t="s">
        <v>1179</v>
      </c>
      <c r="D507" s="23" t="s">
        <v>1179</v>
      </c>
      <c r="E507" t="s">
        <v>41</v>
      </c>
      <c r="F507" s="19"/>
      <c r="G507" s="66"/>
      <c r="H507" s="52">
        <v>2803</v>
      </c>
      <c r="I507" s="5">
        <v>0.1</v>
      </c>
      <c r="J507" s="52" t="str" cm="1">
        <f t="array" ref="J50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07" s="56" t="s">
        <v>1095</v>
      </c>
      <c r="L507" s="54" t="s">
        <v>66</v>
      </c>
      <c r="M507" t="s">
        <v>217</v>
      </c>
      <c r="N507" s="15" t="s">
        <v>1012</v>
      </c>
      <c r="O507" s="5" t="s">
        <v>238</v>
      </c>
      <c r="P507" s="17" t="s">
        <v>46</v>
      </c>
      <c r="Q507" s="10"/>
      <c r="R507" s="11"/>
      <c r="S507" s="10"/>
      <c r="T507" s="3" t="str">
        <f>IF(AND(ProtocolosAF[[#This Row],[STATUS]]="APROVADO",ProtocolosAF[[#This Row],[WAIVER]]=""),"Y","")</f>
        <v/>
      </c>
      <c r="U507" t="s">
        <v>1172</v>
      </c>
      <c r="V507" s="16" t="str">
        <f t="shared" si="22"/>
        <v>38VS8DBAFFILE PRIOLLI/FILIPE</v>
      </c>
      <c r="W507">
        <v>452</v>
      </c>
    </row>
    <row r="508" spans="1:23" hidden="1">
      <c r="A508" s="1">
        <v>45350</v>
      </c>
      <c r="B508" t="s">
        <v>13</v>
      </c>
      <c r="C508" t="s">
        <v>1179</v>
      </c>
      <c r="D508" s="23" t="s">
        <v>1179</v>
      </c>
      <c r="E508" t="s">
        <v>41</v>
      </c>
      <c r="F508" s="19"/>
      <c r="G508" s="66"/>
      <c r="H508" s="52">
        <v>2803</v>
      </c>
      <c r="I508" s="5">
        <v>0.1</v>
      </c>
      <c r="J508" s="52" t="str" cm="1">
        <f t="array" ref="J50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08" s="56" t="s">
        <v>1095</v>
      </c>
      <c r="L508" s="54" t="s">
        <v>66</v>
      </c>
      <c r="M508" t="s">
        <v>217</v>
      </c>
      <c r="N508" s="15" t="s">
        <v>1012</v>
      </c>
      <c r="O508" s="5" t="s">
        <v>238</v>
      </c>
      <c r="P508" s="17" t="s">
        <v>46</v>
      </c>
      <c r="Q508" s="10"/>
      <c r="R508" s="11"/>
      <c r="S508" s="10"/>
      <c r="T508" s="3" t="str">
        <f>IF(AND(ProtocolosAF[[#This Row],[STATUS]]="APROVADO",ProtocolosAF[[#This Row],[WAIVER]]=""),"Y","")</f>
        <v/>
      </c>
      <c r="U508" t="s">
        <v>1173</v>
      </c>
      <c r="V508" s="16" t="str">
        <f t="shared" si="22"/>
        <v>38VS8DLATORRACA DE ANGELIS/RICARDO</v>
      </c>
      <c r="W508">
        <v>452</v>
      </c>
    </row>
    <row r="509" spans="1:23" hidden="1">
      <c r="A509" s="1">
        <v>45350</v>
      </c>
      <c r="B509" t="s">
        <v>13</v>
      </c>
      <c r="C509" t="s">
        <v>1179</v>
      </c>
      <c r="D509" s="23" t="s">
        <v>1179</v>
      </c>
      <c r="E509" t="s">
        <v>41</v>
      </c>
      <c r="F509" s="19"/>
      <c r="G509" s="66"/>
      <c r="H509" s="52">
        <v>2803</v>
      </c>
      <c r="I509" s="5">
        <v>0.1</v>
      </c>
      <c r="J509" s="52" t="str" cm="1">
        <f t="array" ref="J50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09" s="56" t="s">
        <v>1095</v>
      </c>
      <c r="L509" s="54" t="s">
        <v>66</v>
      </c>
      <c r="M509" t="s">
        <v>217</v>
      </c>
      <c r="N509" s="15" t="s">
        <v>1012</v>
      </c>
      <c r="O509" s="5" t="s">
        <v>238</v>
      </c>
      <c r="P509" s="17" t="s">
        <v>46</v>
      </c>
      <c r="Q509" s="10"/>
      <c r="R509" s="11"/>
      <c r="S509" s="10"/>
      <c r="T509" s="3" t="str">
        <f>IF(AND(ProtocolosAF[[#This Row],[STATUS]]="APROVADO",ProtocolosAF[[#This Row],[WAIVER]]=""),"Y","")</f>
        <v/>
      </c>
      <c r="U509" t="s">
        <v>1174</v>
      </c>
      <c r="V509" s="16" t="str">
        <f t="shared" si="22"/>
        <v>38VS8DPEREIRA/TONIMAR FRANCISCO</v>
      </c>
      <c r="W509">
        <v>452</v>
      </c>
    </row>
    <row r="510" spans="1:23" hidden="1">
      <c r="A510" s="1">
        <v>45352</v>
      </c>
      <c r="B510" t="s">
        <v>10</v>
      </c>
      <c r="C510" t="s">
        <v>1180</v>
      </c>
      <c r="D510" s="23" t="s">
        <v>1181</v>
      </c>
      <c r="E510" t="s">
        <v>41</v>
      </c>
      <c r="F510" s="19"/>
      <c r="G510" s="66"/>
      <c r="H510" s="52">
        <v>1054</v>
      </c>
      <c r="I510" s="5">
        <v>0.08</v>
      </c>
      <c r="J510" s="52" t="str" cm="1">
        <f t="array" ref="J51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10" s="56" t="s">
        <v>189</v>
      </c>
      <c r="L510" s="54" t="s">
        <v>76</v>
      </c>
      <c r="M510" t="s">
        <v>100</v>
      </c>
      <c r="N510" s="15" t="s">
        <v>1129</v>
      </c>
      <c r="O510" s="5" t="s">
        <v>583</v>
      </c>
      <c r="P510" s="17" t="s">
        <v>69</v>
      </c>
      <c r="Q510" s="10"/>
      <c r="R510" s="11"/>
      <c r="S510" s="10"/>
      <c r="T510" s="3" t="str">
        <f>IF(AND(ProtocolosAF[[#This Row],[STATUS]]="APROVADO",ProtocolosAF[[#This Row],[WAIVER]]=""),"Y","")</f>
        <v/>
      </c>
      <c r="U510" t="s">
        <v>1182</v>
      </c>
      <c r="V510" s="16" t="str">
        <f t="shared" si="22"/>
        <v>HWSEVKYOUN/SARA MRS</v>
      </c>
      <c r="W510">
        <v>454</v>
      </c>
    </row>
    <row r="511" spans="1:23" hidden="1">
      <c r="A511" s="1">
        <v>45357</v>
      </c>
      <c r="B511" t="s">
        <v>11</v>
      </c>
      <c r="C511" t="s">
        <v>1183</v>
      </c>
      <c r="D511" s="23" t="s">
        <v>1184</v>
      </c>
      <c r="E511" t="s">
        <v>73</v>
      </c>
      <c r="F511" s="19">
        <v>57524401</v>
      </c>
      <c r="G511" s="66">
        <v>576687905496</v>
      </c>
      <c r="H511" s="52">
        <v>89</v>
      </c>
      <c r="I511" s="5" t="s">
        <v>74</v>
      </c>
      <c r="J511" s="52" cm="1">
        <f t="array" ref="J51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89</v>
      </c>
      <c r="K511" s="56" t="s">
        <v>99</v>
      </c>
      <c r="L511" s="54" t="s">
        <v>172</v>
      </c>
      <c r="M511" t="s">
        <v>43</v>
      </c>
      <c r="N511" s="15" t="s">
        <v>84</v>
      </c>
      <c r="O511" s="5" t="s">
        <v>78</v>
      </c>
      <c r="P511" s="17" t="s">
        <v>69</v>
      </c>
      <c r="Q511" s="10" t="s">
        <v>291</v>
      </c>
      <c r="R511" s="11">
        <v>45366</v>
      </c>
      <c r="S511" s="10" t="s">
        <v>520</v>
      </c>
      <c r="T511" s="3" t="str">
        <f>IF(AND(ProtocolosAF[[#This Row],[STATUS]]="APROVADO",ProtocolosAF[[#This Row],[WAIVER]]=""),"Y","")</f>
        <v/>
      </c>
      <c r="U511" t="s">
        <v>1185</v>
      </c>
      <c r="V511" s="16" t="str">
        <f t="shared" si="22"/>
        <v>CUIFYUSAID/MARIA ANGELICA</v>
      </c>
      <c r="W511">
        <v>457</v>
      </c>
    </row>
    <row r="512" spans="1:23" hidden="1">
      <c r="A512" s="1">
        <v>45357</v>
      </c>
      <c r="B512" t="s">
        <v>11</v>
      </c>
      <c r="C512" t="s">
        <v>1186</v>
      </c>
      <c r="D512" s="23" t="s">
        <v>1187</v>
      </c>
      <c r="E512" t="s">
        <v>73</v>
      </c>
      <c r="F512" s="19">
        <v>57524401</v>
      </c>
      <c r="G512" s="66">
        <v>576687878680</v>
      </c>
      <c r="H512" s="52">
        <v>89</v>
      </c>
      <c r="I512" s="5" t="s">
        <v>74</v>
      </c>
      <c r="J512" s="52" cm="1">
        <f t="array" ref="J51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89</v>
      </c>
      <c r="K512" s="56" t="s">
        <v>99</v>
      </c>
      <c r="L512" s="54" t="s">
        <v>172</v>
      </c>
      <c r="M512" t="s">
        <v>43</v>
      </c>
      <c r="N512" s="15" t="s">
        <v>84</v>
      </c>
      <c r="O512" s="5" t="s">
        <v>78</v>
      </c>
      <c r="P512" s="17" t="s">
        <v>69</v>
      </c>
      <c r="Q512" s="10" t="s">
        <v>291</v>
      </c>
      <c r="R512" s="11">
        <v>45366</v>
      </c>
      <c r="S512" s="10" t="s">
        <v>520</v>
      </c>
      <c r="T512" s="3" t="str">
        <f>IF(AND(ProtocolosAF[[#This Row],[STATUS]]="APROVADO",ProtocolosAF[[#This Row],[WAIVER]]=""),"Y","")</f>
        <v/>
      </c>
      <c r="U512" t="s">
        <v>1188</v>
      </c>
      <c r="V512" s="16" t="str">
        <f t="shared" si="22"/>
        <v>MOICSJDE MELLO MONTEIRO/ADRIANA</v>
      </c>
      <c r="W512">
        <v>456</v>
      </c>
    </row>
    <row r="513" spans="1:23" hidden="1">
      <c r="A513" s="1">
        <v>45357</v>
      </c>
      <c r="B513" t="s">
        <v>11</v>
      </c>
      <c r="C513" t="s">
        <v>1189</v>
      </c>
      <c r="D513" s="23" t="s">
        <v>1190</v>
      </c>
      <c r="E513" t="s">
        <v>41</v>
      </c>
      <c r="F513" s="19"/>
      <c r="G513" s="66"/>
      <c r="H513" s="52">
        <v>9995</v>
      </c>
      <c r="I513" s="5">
        <v>0.1</v>
      </c>
      <c r="J513" s="52" t="str" cm="1">
        <f t="array" ref="J51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13" s="56" t="s">
        <v>99</v>
      </c>
      <c r="L513" s="54" t="s">
        <v>76</v>
      </c>
      <c r="M513" t="s">
        <v>100</v>
      </c>
      <c r="N513" s="15" t="s">
        <v>1012</v>
      </c>
      <c r="O513" s="5" t="s">
        <v>126</v>
      </c>
      <c r="P513" s="17" t="s">
        <v>69</v>
      </c>
      <c r="Q513" s="10"/>
      <c r="R513" s="11"/>
      <c r="S513" s="10"/>
      <c r="T513" s="3" t="str">
        <f>IF(AND(ProtocolosAF[[#This Row],[STATUS]]="APROVADO",ProtocolosAF[[#This Row],[WAIVER]]=""),"Y","")</f>
        <v/>
      </c>
      <c r="U513" t="s">
        <v>1191</v>
      </c>
      <c r="V513" s="16" t="str">
        <f t="shared" si="22"/>
        <v>FGTLSSCOELHO/RAFAEL</v>
      </c>
      <c r="W513">
        <v>459</v>
      </c>
    </row>
    <row r="514" spans="1:23" hidden="1">
      <c r="A514" s="1">
        <v>45358</v>
      </c>
      <c r="B514" t="s">
        <v>11</v>
      </c>
      <c r="C514" t="s">
        <v>1186</v>
      </c>
      <c r="D514" s="23" t="s">
        <v>1187</v>
      </c>
      <c r="E514" t="s">
        <v>73</v>
      </c>
      <c r="F514" s="19"/>
      <c r="G514" s="66"/>
      <c r="H514" s="52">
        <v>89</v>
      </c>
      <c r="I514" s="5" t="s">
        <v>74</v>
      </c>
      <c r="J514" s="52" t="str" cm="1">
        <f t="array" ref="J51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14" s="56" t="s">
        <v>99</v>
      </c>
      <c r="L514" s="54" t="s">
        <v>172</v>
      </c>
      <c r="M514" t="s">
        <v>100</v>
      </c>
      <c r="N514" s="15" t="s">
        <v>84</v>
      </c>
      <c r="O514" s="5" t="s">
        <v>1192</v>
      </c>
      <c r="P514" s="17" t="s">
        <v>69</v>
      </c>
      <c r="Q514" s="10"/>
      <c r="R514" s="11"/>
      <c r="S514" s="10"/>
      <c r="T514" s="3" t="str">
        <f>IF(AND(ProtocolosAF[[#This Row],[STATUS]]="APROVADO",ProtocolosAF[[#This Row],[WAIVER]]=""),"Y","")</f>
        <v/>
      </c>
      <c r="U514" t="s">
        <v>1188</v>
      </c>
      <c r="V514" s="16" t="str">
        <f t="shared" si="22"/>
        <v>MOICSJDE MELLO MONTEIRO/ADRIANA</v>
      </c>
      <c r="W514">
        <v>460</v>
      </c>
    </row>
    <row r="515" spans="1:23" hidden="1">
      <c r="A515" s="1">
        <v>45358</v>
      </c>
      <c r="B515" t="s">
        <v>13</v>
      </c>
      <c r="C515" t="s">
        <v>1193</v>
      </c>
      <c r="D515" s="23" t="s">
        <v>1193</v>
      </c>
      <c r="E515" t="s">
        <v>41</v>
      </c>
      <c r="F515" s="19">
        <v>57564931</v>
      </c>
      <c r="G515" s="66">
        <v>576624229387</v>
      </c>
      <c r="H515" s="52">
        <v>847</v>
      </c>
      <c r="I515" s="5">
        <v>0.2</v>
      </c>
      <c r="J515" s="52" cm="1">
        <f t="array" ref="J51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170</v>
      </c>
      <c r="K515" s="56" t="s">
        <v>151</v>
      </c>
      <c r="L515" s="54" t="s">
        <v>1194</v>
      </c>
      <c r="M515" t="s">
        <v>43</v>
      </c>
      <c r="N515" s="15" t="s">
        <v>1096</v>
      </c>
      <c r="O515" s="5" t="s">
        <v>915</v>
      </c>
      <c r="P515" s="17" t="s">
        <v>146</v>
      </c>
      <c r="Q515" s="10" t="s">
        <v>222</v>
      </c>
      <c r="R515" s="11">
        <v>45359</v>
      </c>
      <c r="S515" s="10" t="s">
        <v>48</v>
      </c>
      <c r="T515" s="3" t="str">
        <f>IF(AND(ProtocolosAF[[#This Row],[STATUS]]="APROVADO",ProtocolosAF[[#This Row],[WAIVER]]=""),"Y","")</f>
        <v/>
      </c>
      <c r="U515" t="s">
        <v>1195</v>
      </c>
      <c r="V515" s="16" t="str">
        <f t="shared" si="22"/>
        <v>4HJF8RDE CARVALHO MATTOS/CAROLINA</v>
      </c>
      <c r="W515">
        <v>461</v>
      </c>
    </row>
    <row r="516" spans="1:23" hidden="1">
      <c r="A516" s="1">
        <v>45358</v>
      </c>
      <c r="B516" t="s">
        <v>13</v>
      </c>
      <c r="C516" t="s">
        <v>1196</v>
      </c>
      <c r="D516" s="23" t="s">
        <v>1196</v>
      </c>
      <c r="E516" t="s">
        <v>512</v>
      </c>
      <c r="F516" s="19">
        <v>57524401</v>
      </c>
      <c r="G516" s="66">
        <v>576624244222</v>
      </c>
      <c r="H516" s="52">
        <v>185</v>
      </c>
      <c r="I516" s="5" t="s">
        <v>74</v>
      </c>
      <c r="J516" s="52" cm="1">
        <f t="array" ref="J51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185</v>
      </c>
      <c r="K516" s="56" t="s">
        <v>1197</v>
      </c>
      <c r="L516" s="54" t="s">
        <v>1198</v>
      </c>
      <c r="M516" t="s">
        <v>43</v>
      </c>
      <c r="N516" s="15" t="s">
        <v>1096</v>
      </c>
      <c r="O516" s="5" t="s">
        <v>715</v>
      </c>
      <c r="P516" s="17" t="s">
        <v>255</v>
      </c>
      <c r="Q516" s="10" t="s">
        <v>291</v>
      </c>
      <c r="R516" s="11">
        <v>45359</v>
      </c>
      <c r="S516" s="10" t="s">
        <v>720</v>
      </c>
      <c r="T516" s="3" t="str">
        <f>IF(AND(ProtocolosAF[[#This Row],[STATUS]]="APROVADO",ProtocolosAF[[#This Row],[WAIVER]]=""),"Y","")</f>
        <v/>
      </c>
      <c r="U516" t="s">
        <v>1199</v>
      </c>
      <c r="V516" s="16" t="str">
        <f t="shared" si="22"/>
        <v>3SKHK2ASSUNCAO/MILVANY</v>
      </c>
      <c r="W516">
        <v>465</v>
      </c>
    </row>
    <row r="517" spans="1:23" hidden="1">
      <c r="A517" s="1">
        <v>45358</v>
      </c>
      <c r="B517" t="s">
        <v>13</v>
      </c>
      <c r="C517" t="s">
        <v>1196</v>
      </c>
      <c r="D517" s="23" t="s">
        <v>1196</v>
      </c>
      <c r="E517" t="s">
        <v>512</v>
      </c>
      <c r="F517" s="19">
        <v>57524401</v>
      </c>
      <c r="G517" s="66">
        <v>576624244224</v>
      </c>
      <c r="H517" s="52">
        <v>185</v>
      </c>
      <c r="I517" s="5" t="s">
        <v>74</v>
      </c>
      <c r="J517" s="52" cm="1">
        <f t="array" ref="J51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185</v>
      </c>
      <c r="K517" s="56" t="s">
        <v>1197</v>
      </c>
      <c r="L517" s="54" t="s">
        <v>1198</v>
      </c>
      <c r="M517" t="s">
        <v>43</v>
      </c>
      <c r="N517" s="15" t="s">
        <v>1096</v>
      </c>
      <c r="O517" s="5" t="s">
        <v>715</v>
      </c>
      <c r="P517" s="17" t="s">
        <v>255</v>
      </c>
      <c r="Q517" s="10" t="s">
        <v>291</v>
      </c>
      <c r="R517" s="11">
        <v>45359</v>
      </c>
      <c r="S517" s="10" t="s">
        <v>720</v>
      </c>
      <c r="T517" s="3" t="str">
        <f>IF(AND(ProtocolosAF[[#This Row],[STATUS]]="APROVADO",ProtocolosAF[[#This Row],[WAIVER]]=""),"Y","")</f>
        <v/>
      </c>
      <c r="U517" t="s">
        <v>1200</v>
      </c>
      <c r="V517" s="16" t="str">
        <f t="shared" si="22"/>
        <v>3SKHK2ASSUNCAO/RONALDO</v>
      </c>
      <c r="W517">
        <v>465</v>
      </c>
    </row>
    <row r="518" spans="1:23" hidden="1">
      <c r="A518" s="1">
        <v>45358</v>
      </c>
      <c r="B518" t="s">
        <v>13</v>
      </c>
      <c r="C518" t="s">
        <v>1201</v>
      </c>
      <c r="D518" s="23" t="s">
        <v>1202</v>
      </c>
      <c r="E518" t="s">
        <v>41</v>
      </c>
      <c r="F518" s="19">
        <v>57564931</v>
      </c>
      <c r="G518" s="66">
        <v>576687960186</v>
      </c>
      <c r="H518" s="52">
        <v>1134</v>
      </c>
      <c r="I518" s="5">
        <v>0.1</v>
      </c>
      <c r="J518" s="52" cm="1">
        <f t="array" ref="J51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114</v>
      </c>
      <c r="K518" s="56" t="s">
        <v>817</v>
      </c>
      <c r="L518" s="54" t="s">
        <v>76</v>
      </c>
      <c r="M518" t="s">
        <v>43</v>
      </c>
      <c r="N518" s="15" t="s">
        <v>1096</v>
      </c>
      <c r="O518" s="5" t="s">
        <v>1203</v>
      </c>
      <c r="P518" s="17" t="s">
        <v>46</v>
      </c>
      <c r="Q518" s="10" t="s">
        <v>291</v>
      </c>
      <c r="R518" s="11">
        <v>45365</v>
      </c>
      <c r="S518" s="10" t="s">
        <v>1204</v>
      </c>
      <c r="T518" s="3" t="str">
        <f>IF(AND(ProtocolosAF[[#This Row],[STATUS]]="APROVADO",ProtocolosAF[[#This Row],[WAIVER]]=""),"Y","")</f>
        <v/>
      </c>
      <c r="U518" t="s">
        <v>1205</v>
      </c>
      <c r="V518" s="16" t="str">
        <f t="shared" si="22"/>
        <v>NZQHGVCOSTA DE ALMEIDA/THIAGO</v>
      </c>
      <c r="W518">
        <v>466</v>
      </c>
    </row>
    <row r="519" spans="1:23" hidden="1">
      <c r="A519" s="1">
        <v>45358</v>
      </c>
      <c r="B519" t="s">
        <v>10</v>
      </c>
      <c r="C519" t="s">
        <v>1206</v>
      </c>
      <c r="D519" s="23" t="s">
        <v>1207</v>
      </c>
      <c r="E519" t="s">
        <v>41</v>
      </c>
      <c r="F519" s="19">
        <v>57564931</v>
      </c>
      <c r="G519" s="66">
        <v>576687953701</v>
      </c>
      <c r="H519" s="52">
        <v>1376</v>
      </c>
      <c r="I519" s="5">
        <v>0.06</v>
      </c>
      <c r="J519" s="52" cm="1">
        <f t="array" ref="J51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83</v>
      </c>
      <c r="K519" s="56" t="s">
        <v>189</v>
      </c>
      <c r="L519" s="54" t="s">
        <v>76</v>
      </c>
      <c r="M519" t="s">
        <v>43</v>
      </c>
      <c r="N519" s="15" t="s">
        <v>1129</v>
      </c>
      <c r="O519" s="5" t="s">
        <v>249</v>
      </c>
      <c r="P519" s="17" t="s">
        <v>69</v>
      </c>
      <c r="Q519" s="10" t="s">
        <v>222</v>
      </c>
      <c r="R519" s="11">
        <v>45362</v>
      </c>
      <c r="S519" s="10" t="s">
        <v>48</v>
      </c>
      <c r="T519" s="3" t="str">
        <f>IF(AND(ProtocolosAF[[#This Row],[STATUS]]="APROVADO",ProtocolosAF[[#This Row],[WAIVER]]=""),"Y","")</f>
        <v/>
      </c>
      <c r="U519" t="s">
        <v>1208</v>
      </c>
      <c r="V519" s="16" t="str">
        <f t="shared" ref="V519:V582" si="23">_xlfn.CONCAT(C519,U519)</f>
        <v>KITYKUGUIDUGLI/VICTOR AUGUSTO MR</v>
      </c>
      <c r="W519">
        <v>467</v>
      </c>
    </row>
    <row r="520" spans="1:23" hidden="1">
      <c r="A520" s="1">
        <v>45358</v>
      </c>
      <c r="B520" t="s">
        <v>10</v>
      </c>
      <c r="C520" t="s">
        <v>1209</v>
      </c>
      <c r="D520" s="23" t="s">
        <v>1210</v>
      </c>
      <c r="E520" t="s">
        <v>512</v>
      </c>
      <c r="F520" s="19">
        <v>57564931</v>
      </c>
      <c r="G520" s="66">
        <v>576687949432</v>
      </c>
      <c r="H520" s="52">
        <v>275</v>
      </c>
      <c r="I520" s="5" t="s">
        <v>74</v>
      </c>
      <c r="J520" s="52" cm="1">
        <f t="array" ref="J52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275</v>
      </c>
      <c r="K520" s="56" t="s">
        <v>1211</v>
      </c>
      <c r="L520" s="54" t="s">
        <v>172</v>
      </c>
      <c r="M520" t="s">
        <v>43</v>
      </c>
      <c r="N520" s="15" t="s">
        <v>1129</v>
      </c>
      <c r="O520" s="5" t="s">
        <v>1192</v>
      </c>
      <c r="P520" s="17" t="s">
        <v>69</v>
      </c>
      <c r="Q520" s="10" t="s">
        <v>1212</v>
      </c>
      <c r="R520" s="11">
        <v>45358</v>
      </c>
      <c r="S520" s="10" t="s">
        <v>720</v>
      </c>
      <c r="T520" s="3" t="str">
        <f>IF(AND(ProtocolosAF[[#This Row],[STATUS]]="APROVADO",ProtocolosAF[[#This Row],[WAIVER]]=""),"Y","")</f>
        <v/>
      </c>
      <c r="U520" t="s">
        <v>1213</v>
      </c>
      <c r="V520" s="16" t="str">
        <f t="shared" si="23"/>
        <v>CDOPIBNEVES/JOSE ROBERTO</v>
      </c>
    </row>
    <row r="521" spans="1:23" hidden="1">
      <c r="A521" s="1">
        <v>45359</v>
      </c>
      <c r="B521" t="s">
        <v>11</v>
      </c>
      <c r="C521" t="s">
        <v>1214</v>
      </c>
      <c r="D521" s="23" t="s">
        <v>1215</v>
      </c>
      <c r="E521" t="s">
        <v>41</v>
      </c>
      <c r="F521" s="19"/>
      <c r="G521" s="66"/>
      <c r="H521" s="52">
        <v>68</v>
      </c>
      <c r="I521" s="5">
        <v>0.08</v>
      </c>
      <c r="J521" s="52" t="str" cm="1">
        <f t="array" ref="J52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21" s="56" t="s">
        <v>1104</v>
      </c>
      <c r="L521" s="54" t="s">
        <v>172</v>
      </c>
      <c r="M521" t="s">
        <v>100</v>
      </c>
      <c r="N521" s="15" t="s">
        <v>84</v>
      </c>
      <c r="O521" s="5" t="s">
        <v>1216</v>
      </c>
      <c r="P521" s="17" t="s">
        <v>255</v>
      </c>
      <c r="Q521" s="10"/>
      <c r="R521" s="11"/>
      <c r="S521" s="10"/>
      <c r="T521" s="3" t="str">
        <f>IF(AND(ProtocolosAF[[#This Row],[STATUS]]="APROVADO",ProtocolosAF[[#This Row],[WAIVER]]=""),"Y","")</f>
        <v/>
      </c>
      <c r="U521" t="s">
        <v>1217</v>
      </c>
      <c r="V521" s="16" t="str">
        <f t="shared" si="23"/>
        <v>76LRFWZUANAZZI/LEONARDO AUGUSTOMR</v>
      </c>
      <c r="W521">
        <v>468</v>
      </c>
    </row>
    <row r="522" spans="1:23" hidden="1">
      <c r="A522" s="1">
        <v>45359</v>
      </c>
      <c r="B522" t="s">
        <v>11</v>
      </c>
      <c r="C522" t="s">
        <v>1214</v>
      </c>
      <c r="D522" s="23" t="s">
        <v>1215</v>
      </c>
      <c r="E522" t="s">
        <v>41</v>
      </c>
      <c r="F522" s="19"/>
      <c r="G522" s="66"/>
      <c r="H522" s="52">
        <v>68</v>
      </c>
      <c r="I522" s="5">
        <v>0.08</v>
      </c>
      <c r="J522" s="52" t="str" cm="1">
        <f t="array" ref="J52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22" s="56" t="s">
        <v>1104</v>
      </c>
      <c r="L522" s="54" t="s">
        <v>172</v>
      </c>
      <c r="M522" t="s">
        <v>100</v>
      </c>
      <c r="N522" s="15" t="s">
        <v>84</v>
      </c>
      <c r="O522" s="5" t="s">
        <v>1216</v>
      </c>
      <c r="P522" s="17" t="s">
        <v>255</v>
      </c>
      <c r="Q522" s="10"/>
      <c r="R522" s="11"/>
      <c r="S522" s="10"/>
      <c r="T522" s="3" t="str">
        <f>IF(AND(ProtocolosAF[[#This Row],[STATUS]]="APROVADO",ProtocolosAF[[#This Row],[WAIVER]]=""),"Y","")</f>
        <v/>
      </c>
      <c r="U522" t="s">
        <v>1218</v>
      </c>
      <c r="V522" s="16" t="str">
        <f t="shared" si="23"/>
        <v>76LRFWCARDACCI/TATHIANAMRS</v>
      </c>
      <c r="W522">
        <v>468</v>
      </c>
    </row>
    <row r="523" spans="1:23" hidden="1">
      <c r="A523" s="1">
        <v>45362</v>
      </c>
      <c r="B523" t="s">
        <v>13</v>
      </c>
      <c r="C523" t="s">
        <v>1219</v>
      </c>
      <c r="D523" s="23" t="s">
        <v>1220</v>
      </c>
      <c r="E523" t="s">
        <v>41</v>
      </c>
      <c r="F523" s="19"/>
      <c r="G523" s="66"/>
      <c r="H523" s="52">
        <v>4333</v>
      </c>
      <c r="I523" s="5">
        <v>0.1</v>
      </c>
      <c r="J523" s="52" t="str" cm="1">
        <f t="array" ref="J52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23" s="56" t="s">
        <v>817</v>
      </c>
      <c r="L523" s="54" t="s">
        <v>66</v>
      </c>
      <c r="M523" t="s">
        <v>100</v>
      </c>
      <c r="N523" s="15" t="s">
        <v>1096</v>
      </c>
      <c r="O523" s="5" t="s">
        <v>1221</v>
      </c>
      <c r="P523" s="17" t="s">
        <v>69</v>
      </c>
      <c r="Q523" s="10"/>
      <c r="R523" s="11"/>
      <c r="S523" s="10"/>
      <c r="T523" s="3" t="str">
        <f>IF(AND(ProtocolosAF[[#This Row],[STATUS]]="APROVADO",ProtocolosAF[[#This Row],[WAIVER]]=""),"Y","")</f>
        <v/>
      </c>
      <c r="U523" t="s">
        <v>1222</v>
      </c>
      <c r="V523" s="16" t="str">
        <f t="shared" si="23"/>
        <v>JFGTZONEUMARK/SONIA</v>
      </c>
      <c r="W523">
        <v>469</v>
      </c>
    </row>
    <row r="524" spans="1:23" hidden="1">
      <c r="A524" s="1">
        <v>45363</v>
      </c>
      <c r="B524" t="s">
        <v>13</v>
      </c>
      <c r="C524" t="s">
        <v>1223</v>
      </c>
      <c r="D524" s="23" t="s">
        <v>1224</v>
      </c>
      <c r="E524" t="s">
        <v>41</v>
      </c>
      <c r="F524" s="19"/>
      <c r="G524" s="66"/>
      <c r="H524" s="52">
        <v>1574</v>
      </c>
      <c r="I524" s="5">
        <v>0.1</v>
      </c>
      <c r="J524" s="52" t="str" cm="1">
        <f t="array" ref="J52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24" s="56" t="s">
        <v>817</v>
      </c>
      <c r="L524" s="54" t="s">
        <v>66</v>
      </c>
      <c r="M524" t="s">
        <v>100</v>
      </c>
      <c r="N524" s="15" t="s">
        <v>1096</v>
      </c>
      <c r="O524" s="5" t="s">
        <v>669</v>
      </c>
      <c r="P524" s="17" t="s">
        <v>69</v>
      </c>
      <c r="Q524" s="10"/>
      <c r="R524" s="11"/>
      <c r="S524" s="10"/>
      <c r="T524" s="3" t="str">
        <f>IF(AND(ProtocolosAF[[#This Row],[STATUS]]="APROVADO",ProtocolosAF[[#This Row],[WAIVER]]=""),"Y","")</f>
        <v/>
      </c>
      <c r="U524" t="s">
        <v>1225</v>
      </c>
      <c r="V524" s="16" t="str">
        <f t="shared" si="23"/>
        <v>IRKIDXDA SILVA ELVIRA/EDUARDO</v>
      </c>
      <c r="W524">
        <v>472</v>
      </c>
    </row>
    <row r="525" spans="1:23" hidden="1">
      <c r="A525" s="1">
        <v>45363</v>
      </c>
      <c r="B525" t="s">
        <v>13</v>
      </c>
      <c r="C525" t="s">
        <v>1223</v>
      </c>
      <c r="D525" s="23" t="s">
        <v>1224</v>
      </c>
      <c r="E525" t="s">
        <v>41</v>
      </c>
      <c r="F525" s="19"/>
      <c r="G525" s="66"/>
      <c r="H525" s="52">
        <v>1574</v>
      </c>
      <c r="I525" s="5">
        <v>0.1</v>
      </c>
      <c r="J525" s="52" t="str" cm="1">
        <f t="array" ref="J52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25" s="56" t="s">
        <v>817</v>
      </c>
      <c r="L525" s="54" t="s">
        <v>66</v>
      </c>
      <c r="M525" t="s">
        <v>100</v>
      </c>
      <c r="N525" s="15" t="s">
        <v>1096</v>
      </c>
      <c r="O525" s="5" t="s">
        <v>669</v>
      </c>
      <c r="P525" s="17" t="s">
        <v>69</v>
      </c>
      <c r="Q525" s="10"/>
      <c r="R525" s="11"/>
      <c r="S525" s="10"/>
      <c r="T525" s="3" t="str">
        <f>IF(AND(ProtocolosAF[[#This Row],[STATUS]]="APROVADO",ProtocolosAF[[#This Row],[WAIVER]]=""),"Y","")</f>
        <v/>
      </c>
      <c r="U525" t="s">
        <v>1226</v>
      </c>
      <c r="V525" s="16" t="str">
        <f t="shared" si="23"/>
        <v>IRKIDXPOLO FILHO/JOAO ROBERTO</v>
      </c>
      <c r="W525">
        <v>472</v>
      </c>
    </row>
    <row r="526" spans="1:23" hidden="1">
      <c r="A526" s="1">
        <v>45364</v>
      </c>
      <c r="B526" t="s">
        <v>13</v>
      </c>
      <c r="C526" t="s">
        <v>1227</v>
      </c>
      <c r="D526" s="23" t="s">
        <v>1227</v>
      </c>
      <c r="E526" t="s">
        <v>41</v>
      </c>
      <c r="F526" s="19"/>
      <c r="G526" s="66"/>
      <c r="H526" s="52">
        <v>1269</v>
      </c>
      <c r="I526" s="5">
        <v>0.1</v>
      </c>
      <c r="J526" s="52" t="str" cm="1">
        <f t="array" ref="J52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26" s="56" t="s">
        <v>817</v>
      </c>
      <c r="L526" s="54" t="s">
        <v>66</v>
      </c>
      <c r="M526" t="s">
        <v>100</v>
      </c>
      <c r="N526" s="15" t="s">
        <v>1096</v>
      </c>
      <c r="O526" s="5" t="s">
        <v>111</v>
      </c>
      <c r="P526" s="17" t="s">
        <v>69</v>
      </c>
      <c r="Q526" s="10"/>
      <c r="R526" s="11"/>
      <c r="S526" s="10"/>
      <c r="T526" s="3" t="str">
        <f>IF(AND(ProtocolosAF[[#This Row],[STATUS]]="APROVADO",ProtocolosAF[[#This Row],[WAIVER]]=""),"Y","")</f>
        <v/>
      </c>
      <c r="U526" t="s">
        <v>1228</v>
      </c>
      <c r="V526" s="16" t="str">
        <f t="shared" si="23"/>
        <v>2NYZT7MOREIRA DA SILVA/DIVANIL</v>
      </c>
      <c r="W526">
        <v>473</v>
      </c>
    </row>
    <row r="527" spans="1:23" hidden="1">
      <c r="A527" s="1">
        <v>45365</v>
      </c>
      <c r="B527" t="s">
        <v>11</v>
      </c>
      <c r="C527" t="s">
        <v>1229</v>
      </c>
      <c r="D527" s="23" t="s">
        <v>1229</v>
      </c>
      <c r="E527" t="s">
        <v>41</v>
      </c>
      <c r="F527" s="19">
        <v>57564931</v>
      </c>
      <c r="G527" s="66">
        <v>576624289755</v>
      </c>
      <c r="H527" s="52">
        <v>712</v>
      </c>
      <c r="I527" s="5">
        <v>0.15</v>
      </c>
      <c r="J527" s="52" cm="1">
        <f t="array" ref="J52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107</v>
      </c>
      <c r="K527" s="56" t="s">
        <v>1230</v>
      </c>
      <c r="L527" s="54" t="s">
        <v>66</v>
      </c>
      <c r="M527" t="s">
        <v>43</v>
      </c>
      <c r="N527" s="15" t="s">
        <v>1129</v>
      </c>
      <c r="O527" s="5" t="s">
        <v>160</v>
      </c>
      <c r="P527" s="17" t="s">
        <v>46</v>
      </c>
      <c r="Q527" s="10" t="s">
        <v>222</v>
      </c>
      <c r="R527" s="11">
        <v>45371</v>
      </c>
      <c r="S527" s="10" t="s">
        <v>48</v>
      </c>
      <c r="T527" s="3" t="str">
        <f>IF(AND(ProtocolosAF[[#This Row],[STATUS]]="APROVADO",ProtocolosAF[[#This Row],[WAIVER]]=""),"Y","")</f>
        <v/>
      </c>
      <c r="U527" t="s">
        <v>1231</v>
      </c>
      <c r="V527" s="16" t="str">
        <f t="shared" si="23"/>
        <v>2OYI9FTANNURI/JORGE EDUARDOMR</v>
      </c>
      <c r="W527">
        <v>474</v>
      </c>
    </row>
    <row r="528" spans="1:23" hidden="1">
      <c r="A528" s="1">
        <v>45365</v>
      </c>
      <c r="B528" t="s">
        <v>11</v>
      </c>
      <c r="C528" t="s">
        <v>1229</v>
      </c>
      <c r="D528" s="23" t="s">
        <v>1229</v>
      </c>
      <c r="E528" t="s">
        <v>41</v>
      </c>
      <c r="F528" s="19">
        <v>57564931</v>
      </c>
      <c r="G528" s="66">
        <v>576624289756</v>
      </c>
      <c r="H528" s="52">
        <v>712</v>
      </c>
      <c r="I528" s="5">
        <v>0.15</v>
      </c>
      <c r="J528" s="52" cm="1">
        <f t="array" ref="J52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107</v>
      </c>
      <c r="K528" s="56" t="s">
        <v>1230</v>
      </c>
      <c r="L528" s="54" t="s">
        <v>66</v>
      </c>
      <c r="M528" t="s">
        <v>43</v>
      </c>
      <c r="N528" s="15" t="s">
        <v>1129</v>
      </c>
      <c r="O528" s="5" t="s">
        <v>160</v>
      </c>
      <c r="P528" s="17" t="s">
        <v>46</v>
      </c>
      <c r="Q528" s="10" t="s">
        <v>222</v>
      </c>
      <c r="R528" s="11">
        <v>45371</v>
      </c>
      <c r="S528" s="10" t="s">
        <v>48</v>
      </c>
      <c r="T528" s="3" t="str">
        <f>IF(AND(ProtocolosAF[[#This Row],[STATUS]]="APROVADO",ProtocolosAF[[#This Row],[WAIVER]]=""),"Y","")</f>
        <v/>
      </c>
      <c r="U528" t="s">
        <v>1232</v>
      </c>
      <c r="V528" s="16" t="str">
        <f t="shared" si="23"/>
        <v>2OYI9FASSUMPCAO TANNURI/FERNANDAMRS</v>
      </c>
      <c r="W528">
        <v>474</v>
      </c>
    </row>
    <row r="529" spans="1:23" hidden="1">
      <c r="A529" s="1">
        <v>45365</v>
      </c>
      <c r="B529" t="s">
        <v>11</v>
      </c>
      <c r="C529" t="s">
        <v>1229</v>
      </c>
      <c r="D529" s="23" t="s">
        <v>1229</v>
      </c>
      <c r="E529" t="s">
        <v>41</v>
      </c>
      <c r="F529" s="19">
        <v>57564931</v>
      </c>
      <c r="G529" s="66">
        <v>576624289757</v>
      </c>
      <c r="H529" s="52">
        <v>712</v>
      </c>
      <c r="I529" s="5">
        <v>0.15</v>
      </c>
      <c r="J529" s="52" cm="1">
        <f t="array" ref="J52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107</v>
      </c>
      <c r="K529" s="56" t="s">
        <v>1230</v>
      </c>
      <c r="L529" s="54" t="s">
        <v>66</v>
      </c>
      <c r="M529" t="s">
        <v>43</v>
      </c>
      <c r="N529" s="15" t="s">
        <v>1129</v>
      </c>
      <c r="O529" s="5" t="s">
        <v>160</v>
      </c>
      <c r="P529" s="17" t="s">
        <v>46</v>
      </c>
      <c r="Q529" s="10" t="s">
        <v>222</v>
      </c>
      <c r="R529" s="11">
        <v>45371</v>
      </c>
      <c r="S529" s="10" t="s">
        <v>48</v>
      </c>
      <c r="T529" s="3" t="str">
        <f>IF(AND(ProtocolosAF[[#This Row],[STATUS]]="APROVADO",ProtocolosAF[[#This Row],[WAIVER]]=""),"Y","")</f>
        <v/>
      </c>
      <c r="U529" t="s">
        <v>1233</v>
      </c>
      <c r="V529" s="16" t="str">
        <f t="shared" si="23"/>
        <v>2OYI9FASSUMPCAO TANNURI/JORGE EDUARDOMR</v>
      </c>
      <c r="W529">
        <v>474</v>
      </c>
    </row>
    <row r="530" spans="1:23" hidden="1">
      <c r="A530" s="1">
        <v>45365</v>
      </c>
      <c r="B530" t="s">
        <v>11</v>
      </c>
      <c r="C530" t="s">
        <v>1234</v>
      </c>
      <c r="D530" s="23" t="s">
        <v>1234</v>
      </c>
      <c r="E530" t="s">
        <v>41</v>
      </c>
      <c r="F530" s="19">
        <v>57564931</v>
      </c>
      <c r="G530" s="66">
        <v>576624289758</v>
      </c>
      <c r="H530" s="52">
        <v>662</v>
      </c>
      <c r="I530" s="5">
        <v>0.15</v>
      </c>
      <c r="J530" s="52" cm="1">
        <f t="array" ref="J53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100</v>
      </c>
      <c r="K530" s="56" t="s">
        <v>1230</v>
      </c>
      <c r="L530" s="54" t="s">
        <v>66</v>
      </c>
      <c r="M530" t="s">
        <v>43</v>
      </c>
      <c r="N530" s="15" t="s">
        <v>1129</v>
      </c>
      <c r="O530" s="5" t="s">
        <v>160</v>
      </c>
      <c r="P530" s="17" t="s">
        <v>46</v>
      </c>
      <c r="Q530" s="67" t="s">
        <v>222</v>
      </c>
      <c r="R530" s="11">
        <v>45371</v>
      </c>
      <c r="S530" s="10" t="s">
        <v>48</v>
      </c>
      <c r="T530" s="3" t="str">
        <f>IF(AND(ProtocolosAF[[#This Row],[STATUS]]="APROVADO",ProtocolosAF[[#This Row],[WAIVER]]=""),"Y","")</f>
        <v/>
      </c>
      <c r="U530" t="s">
        <v>1235</v>
      </c>
      <c r="V530" s="16" t="str">
        <f t="shared" si="23"/>
        <v>2JYDF3ASSUMPCAO TANNURI/LUIS EDUARDO MR</v>
      </c>
      <c r="W530">
        <v>475</v>
      </c>
    </row>
    <row r="531" spans="1:23" hidden="1">
      <c r="A531" s="1">
        <v>45371</v>
      </c>
      <c r="B531" t="s">
        <v>11</v>
      </c>
      <c r="C531" t="s">
        <v>1236</v>
      </c>
      <c r="D531" s="23" t="s">
        <v>1237</v>
      </c>
      <c r="E531" t="s">
        <v>73</v>
      </c>
      <c r="F531" s="19">
        <v>57564931</v>
      </c>
      <c r="G531" s="66">
        <v>574207249095</v>
      </c>
      <c r="H531" s="52">
        <v>89</v>
      </c>
      <c r="I531" s="5" t="s">
        <v>74</v>
      </c>
      <c r="J531" s="52" cm="1">
        <f t="array" ref="J53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89</v>
      </c>
      <c r="K531" s="56" t="s">
        <v>1230</v>
      </c>
      <c r="L531" s="54" t="s">
        <v>1238</v>
      </c>
      <c r="M531" t="s">
        <v>43</v>
      </c>
      <c r="N531" s="15" t="s">
        <v>1129</v>
      </c>
      <c r="O531" s="5" t="s">
        <v>1239</v>
      </c>
      <c r="P531" s="17" t="s">
        <v>146</v>
      </c>
      <c r="Q531" s="67" t="s">
        <v>222</v>
      </c>
      <c r="R531" s="11">
        <v>45376</v>
      </c>
      <c r="S531" s="10" t="s">
        <v>48</v>
      </c>
      <c r="T531" s="3" t="str">
        <f>IF(AND(ProtocolosAF[[#This Row],[STATUS]]="APROVADO",ProtocolosAF[[#This Row],[WAIVER]]=""),"Y","")</f>
        <v/>
      </c>
      <c r="U531" t="s">
        <v>1240</v>
      </c>
      <c r="V531" s="16" t="str">
        <f t="shared" si="23"/>
        <v>YZBYTUCABRAL GARDNER/ANA CRISTINA MRS</v>
      </c>
      <c r="W531">
        <v>480</v>
      </c>
    </row>
    <row r="532" spans="1:23" hidden="1">
      <c r="A532" s="1">
        <v>45371</v>
      </c>
      <c r="B532" t="s">
        <v>15</v>
      </c>
      <c r="C532" t="s">
        <v>1241</v>
      </c>
      <c r="D532" s="23" t="s">
        <v>1241</v>
      </c>
      <c r="E532" t="s">
        <v>41</v>
      </c>
      <c r="F532" s="19">
        <v>57564931</v>
      </c>
      <c r="G532" s="66">
        <v>576624332909</v>
      </c>
      <c r="H532" s="52">
        <v>476</v>
      </c>
      <c r="I532" s="5">
        <v>0.2</v>
      </c>
      <c r="J532" s="52" cm="1">
        <f t="array" ref="J53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96</v>
      </c>
      <c r="K532" s="56" t="s">
        <v>1155</v>
      </c>
      <c r="L532" s="54" t="s">
        <v>76</v>
      </c>
      <c r="M532" t="s">
        <v>43</v>
      </c>
      <c r="N532" s="15" t="s">
        <v>1012</v>
      </c>
      <c r="O532" s="5" t="s">
        <v>1242</v>
      </c>
      <c r="P532" s="17" t="s">
        <v>46</v>
      </c>
      <c r="Q532" s="67" t="s">
        <v>79</v>
      </c>
      <c r="R532" s="11">
        <v>45372</v>
      </c>
      <c r="S532" s="10" t="s">
        <v>48</v>
      </c>
      <c r="T532" s="3" t="str">
        <f>IF(AND(ProtocolosAF[[#This Row],[STATUS]]="APROVADO",ProtocolosAF[[#This Row],[WAIVER]]=""),"Y","")</f>
        <v/>
      </c>
      <c r="U532" t="s">
        <v>1243</v>
      </c>
      <c r="V532" s="16" t="str">
        <f t="shared" si="23"/>
        <v>3TW993AVILA CARDOSO/RAFAEL MR</v>
      </c>
      <c r="W532">
        <v>482</v>
      </c>
    </row>
    <row r="533" spans="1:23" hidden="1">
      <c r="A533" s="1">
        <v>45371</v>
      </c>
      <c r="B533" t="s">
        <v>15</v>
      </c>
      <c r="C533" t="s">
        <v>1244</v>
      </c>
      <c r="D533" s="23" t="s">
        <v>1244</v>
      </c>
      <c r="E533" t="s">
        <v>41</v>
      </c>
      <c r="F533" s="19">
        <v>57564931</v>
      </c>
      <c r="G533" s="66">
        <v>576624336174</v>
      </c>
      <c r="H533" s="52">
        <v>425</v>
      </c>
      <c r="I533" s="5">
        <v>0.2</v>
      </c>
      <c r="J533" s="52" cm="1">
        <f t="array" ref="J53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85</v>
      </c>
      <c r="K533" s="56" t="s">
        <v>1155</v>
      </c>
      <c r="L533" s="54" t="s">
        <v>76</v>
      </c>
      <c r="M533" t="s">
        <v>43</v>
      </c>
      <c r="N533" s="15" t="s">
        <v>1012</v>
      </c>
      <c r="O533" s="5" t="s">
        <v>1242</v>
      </c>
      <c r="P533" s="17" t="s">
        <v>46</v>
      </c>
      <c r="Q533" s="67" t="s">
        <v>79</v>
      </c>
      <c r="R533" s="11">
        <v>45372</v>
      </c>
      <c r="S533" s="10" t="s">
        <v>48</v>
      </c>
      <c r="T533" s="3" t="str">
        <f>IF(AND(ProtocolosAF[[#This Row],[STATUS]]="APROVADO",ProtocolosAF[[#This Row],[WAIVER]]=""),"Y","")</f>
        <v/>
      </c>
      <c r="U533" t="s">
        <v>1245</v>
      </c>
      <c r="V533" s="16" t="str">
        <f t="shared" si="23"/>
        <v>3TWW73GAMARIA RODRIGUES DE SOUZA/PAULA ROBERTA MRS</v>
      </c>
      <c r="W533">
        <v>481</v>
      </c>
    </row>
    <row r="534" spans="1:23" hidden="1">
      <c r="A534" s="1">
        <v>45371</v>
      </c>
      <c r="B534" t="s">
        <v>11</v>
      </c>
      <c r="C534" t="s">
        <v>1246</v>
      </c>
      <c r="D534" s="23" t="s">
        <v>1247</v>
      </c>
      <c r="E534" t="s">
        <v>41</v>
      </c>
      <c r="F534" s="19">
        <v>57564931</v>
      </c>
      <c r="G534" s="66">
        <v>576688042646</v>
      </c>
      <c r="H534" s="52">
        <v>925.72</v>
      </c>
      <c r="I534" s="5">
        <v>0.1</v>
      </c>
      <c r="J534" s="52" cm="1">
        <f t="array" ref="J53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93</v>
      </c>
      <c r="K534" s="56" t="s">
        <v>1248</v>
      </c>
      <c r="L534" s="54" t="s">
        <v>76</v>
      </c>
      <c r="M534" t="s">
        <v>43</v>
      </c>
      <c r="N534" s="15" t="s">
        <v>1129</v>
      </c>
      <c r="O534" s="5" t="s">
        <v>68</v>
      </c>
      <c r="P534" s="17" t="s">
        <v>46</v>
      </c>
      <c r="Q534" s="67" t="s">
        <v>1249</v>
      </c>
      <c r="R534" s="11">
        <v>45376</v>
      </c>
      <c r="S534" s="10" t="s">
        <v>48</v>
      </c>
      <c r="T534" s="3" t="str">
        <f>IF(AND(ProtocolosAF[[#This Row],[STATUS]]="APROVADO",ProtocolosAF[[#This Row],[WAIVER]]=""),"Y","")</f>
        <v/>
      </c>
      <c r="U534" t="s">
        <v>1250</v>
      </c>
      <c r="V534" s="16" t="str">
        <f t="shared" si="23"/>
        <v>OFRBNAMARTINS SYDOW/EVANIZE - 1.1</v>
      </c>
      <c r="W534">
        <v>483</v>
      </c>
    </row>
    <row r="535" spans="1:23" hidden="1">
      <c r="A535" s="1">
        <v>45372</v>
      </c>
      <c r="B535" t="s">
        <v>10</v>
      </c>
      <c r="C535" t="s">
        <v>1251</v>
      </c>
      <c r="D535" s="23" t="s">
        <v>1252</v>
      </c>
      <c r="E535" t="s">
        <v>41</v>
      </c>
      <c r="F535" s="68">
        <v>57564931</v>
      </c>
      <c r="G535" s="66">
        <v>576688045138</v>
      </c>
      <c r="H535" s="52">
        <v>2263</v>
      </c>
      <c r="I535" s="5">
        <v>0.1</v>
      </c>
      <c r="J535" s="52" cm="1">
        <f t="array" ref="J53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227</v>
      </c>
      <c r="K535" s="56" t="s">
        <v>336</v>
      </c>
      <c r="L535" s="54" t="s">
        <v>76</v>
      </c>
      <c r="M535" t="s">
        <v>43</v>
      </c>
      <c r="N535" s="15" t="s">
        <v>1129</v>
      </c>
      <c r="O535" s="5" t="s">
        <v>715</v>
      </c>
      <c r="P535" s="17" t="s">
        <v>255</v>
      </c>
      <c r="Q535" s="67" t="s">
        <v>222</v>
      </c>
      <c r="R535" s="11">
        <v>45376</v>
      </c>
      <c r="S535" s="10" t="s">
        <v>48</v>
      </c>
      <c r="T535" s="3" t="str">
        <f>IF(AND(ProtocolosAF[[#This Row],[STATUS]]="APROVADO",ProtocolosAF[[#This Row],[WAIVER]]=""),"Y","")</f>
        <v/>
      </c>
      <c r="U535" t="s">
        <v>1253</v>
      </c>
      <c r="V535" s="16" t="str">
        <f t="shared" si="23"/>
        <v>OIKUENCHETRIT/AMAURY</v>
      </c>
      <c r="W535">
        <v>484</v>
      </c>
    </row>
    <row r="536" spans="1:23" hidden="1">
      <c r="A536" s="1">
        <v>45372</v>
      </c>
      <c r="B536" t="s">
        <v>11</v>
      </c>
      <c r="C536" t="s">
        <v>1254</v>
      </c>
      <c r="D536" s="23" t="s">
        <v>1255</v>
      </c>
      <c r="E536" t="s">
        <v>512</v>
      </c>
      <c r="F536" s="19">
        <v>57519652</v>
      </c>
      <c r="G536" s="66">
        <v>576687978848</v>
      </c>
      <c r="H536" s="52">
        <v>184</v>
      </c>
      <c r="I536" s="5" t="s">
        <v>74</v>
      </c>
      <c r="J536" s="52" cm="1">
        <f t="array" ref="J53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184</v>
      </c>
      <c r="K536" s="56" t="s">
        <v>834</v>
      </c>
      <c r="L536" s="54" t="s">
        <v>1256</v>
      </c>
      <c r="M536" t="s">
        <v>43</v>
      </c>
      <c r="N536" s="15" t="s">
        <v>1096</v>
      </c>
      <c r="O536" s="5" t="s">
        <v>1257</v>
      </c>
      <c r="P536" s="17" t="s">
        <v>46</v>
      </c>
      <c r="Q536" s="67" t="s">
        <v>291</v>
      </c>
      <c r="R536" s="11">
        <v>45372</v>
      </c>
      <c r="S536" s="10" t="s">
        <v>720</v>
      </c>
      <c r="T536" s="3" t="str">
        <f>IF(AND(ProtocolosAF[[#This Row],[STATUS]]="APROVADO",ProtocolosAF[[#This Row],[WAIVER]]=""),"Y","")</f>
        <v/>
      </c>
      <c r="U536" t="s">
        <v>1258</v>
      </c>
      <c r="V536" s="16" t="str">
        <f t="shared" si="23"/>
        <v>ECPMIMGOMES ADAS OKUMA/MARIANA</v>
      </c>
      <c r="W536">
        <v>485</v>
      </c>
    </row>
    <row r="537" spans="1:23" hidden="1">
      <c r="A537" s="1">
        <v>45373</v>
      </c>
      <c r="B537" t="s">
        <v>11</v>
      </c>
      <c r="C537" t="s">
        <v>1259</v>
      </c>
      <c r="D537" s="23" t="s">
        <v>623</v>
      </c>
      <c r="E537" t="s">
        <v>41</v>
      </c>
      <c r="F537" s="19">
        <v>57564931</v>
      </c>
      <c r="G537" s="66">
        <v>576688060060</v>
      </c>
      <c r="H537" s="52">
        <v>5874</v>
      </c>
      <c r="I537" s="5">
        <v>0.1</v>
      </c>
      <c r="J537" s="52" cm="1">
        <f t="array" ref="J53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588</v>
      </c>
      <c r="K537" s="56" t="s">
        <v>1260</v>
      </c>
      <c r="L537" s="54" t="s">
        <v>76</v>
      </c>
      <c r="M537" t="s">
        <v>43</v>
      </c>
      <c r="N537" s="15" t="s">
        <v>1129</v>
      </c>
      <c r="O537" s="5" t="s">
        <v>1261</v>
      </c>
      <c r="P537" s="17" t="s">
        <v>69</v>
      </c>
      <c r="Q537" s="67" t="s">
        <v>222</v>
      </c>
      <c r="R537" s="11">
        <v>45379</v>
      </c>
      <c r="S537" s="10" t="s">
        <v>1262</v>
      </c>
      <c r="T537" s="3" t="str">
        <f>IF(AND(ProtocolosAF[[#This Row],[STATUS]]="APROVADO",ProtocolosAF[[#This Row],[WAIVER]]=""),"Y","")</f>
        <v/>
      </c>
      <c r="U537" t="s">
        <v>1263</v>
      </c>
      <c r="V537" s="16" t="str">
        <f t="shared" si="23"/>
        <v>OVKYJZFONSECA DE JESUS/DANIEL MR-PAX1</v>
      </c>
      <c r="W537">
        <v>486</v>
      </c>
    </row>
    <row r="538" spans="1:23" hidden="1">
      <c r="A538" s="1">
        <v>45373</v>
      </c>
      <c r="B538" t="s">
        <v>11</v>
      </c>
      <c r="C538" t="s">
        <v>1259</v>
      </c>
      <c r="D538" s="23" t="s">
        <v>623</v>
      </c>
      <c r="E538" t="s">
        <v>41</v>
      </c>
      <c r="F538" s="19">
        <v>57564931</v>
      </c>
      <c r="G538" s="66">
        <v>576688060062</v>
      </c>
      <c r="H538" s="52">
        <v>5874</v>
      </c>
      <c r="I538" s="5">
        <v>0.1</v>
      </c>
      <c r="J538" s="52" cm="1">
        <f t="array" ref="J53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588</v>
      </c>
      <c r="K538" s="56" t="s">
        <v>1260</v>
      </c>
      <c r="L538" s="54" t="s">
        <v>76</v>
      </c>
      <c r="M538" t="s">
        <v>43</v>
      </c>
      <c r="N538" s="15" t="s">
        <v>1129</v>
      </c>
      <c r="O538" s="5" t="s">
        <v>1261</v>
      </c>
      <c r="P538" s="17" t="s">
        <v>69</v>
      </c>
      <c r="Q538" s="67" t="s">
        <v>222</v>
      </c>
      <c r="R538" s="11">
        <v>45379</v>
      </c>
      <c r="S538" s="10" t="s">
        <v>1262</v>
      </c>
      <c r="T538" s="3" t="str">
        <f>IF(AND(ProtocolosAF[[#This Row],[STATUS]]="APROVADO",ProtocolosAF[[#This Row],[WAIVER]]=""),"Y","")</f>
        <v/>
      </c>
      <c r="U538" t="s">
        <v>1264</v>
      </c>
      <c r="V538" s="16" t="str">
        <f t="shared" si="23"/>
        <v>OVKYJZABREU PEREIRA/ELAINE MRS-PAX2</v>
      </c>
      <c r="W538">
        <v>486</v>
      </c>
    </row>
    <row r="539" spans="1:23" hidden="1">
      <c r="A539" s="1">
        <v>45373</v>
      </c>
      <c r="B539" t="s">
        <v>11</v>
      </c>
      <c r="C539" t="s">
        <v>1259</v>
      </c>
      <c r="D539" s="23" t="s">
        <v>623</v>
      </c>
      <c r="E539" t="s">
        <v>41</v>
      </c>
      <c r="F539" s="19">
        <v>57564931</v>
      </c>
      <c r="G539" s="66">
        <v>576688060064</v>
      </c>
      <c r="H539" s="52">
        <v>5874</v>
      </c>
      <c r="I539" s="5">
        <v>0.1</v>
      </c>
      <c r="J539" s="52" cm="1">
        <f t="array" ref="J53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588</v>
      </c>
      <c r="K539" s="56" t="s">
        <v>1260</v>
      </c>
      <c r="L539" s="54" t="s">
        <v>76</v>
      </c>
      <c r="M539" t="s">
        <v>43</v>
      </c>
      <c r="N539" s="15" t="s">
        <v>1129</v>
      </c>
      <c r="O539" s="5" t="s">
        <v>1261</v>
      </c>
      <c r="P539" s="17" t="s">
        <v>69</v>
      </c>
      <c r="Q539" s="67" t="s">
        <v>222</v>
      </c>
      <c r="R539" s="11">
        <v>45379</v>
      </c>
      <c r="S539" s="10" t="s">
        <v>1262</v>
      </c>
      <c r="T539" s="3" t="str">
        <f>IF(AND(ProtocolosAF[[#This Row],[STATUS]]="APROVADO",ProtocolosAF[[#This Row],[WAIVER]]=""),"Y","")</f>
        <v/>
      </c>
      <c r="U539" t="s">
        <v>1265</v>
      </c>
      <c r="V539" s="16" t="str">
        <f t="shared" si="23"/>
        <v>OVKYJZPEREIRA DE JESUS/JOAO DANIEL-PAX3</v>
      </c>
      <c r="W539">
        <v>486</v>
      </c>
    </row>
    <row r="540" spans="1:23" hidden="1">
      <c r="A540" s="1">
        <v>45379</v>
      </c>
      <c r="B540" t="s">
        <v>10</v>
      </c>
      <c r="C540" t="s">
        <v>1266</v>
      </c>
      <c r="D540" t="s">
        <v>1267</v>
      </c>
      <c r="E540" t="s">
        <v>41</v>
      </c>
      <c r="F540" s="19">
        <v>57564931</v>
      </c>
      <c r="G540" s="53">
        <v>576688095168</v>
      </c>
      <c r="H540" s="52">
        <v>1335</v>
      </c>
      <c r="I540" s="5">
        <v>0.19</v>
      </c>
      <c r="J540" s="52" cm="1">
        <f t="array" ref="J54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254</v>
      </c>
      <c r="K540" s="56" t="s">
        <v>1268</v>
      </c>
      <c r="L540" s="54" t="s">
        <v>76</v>
      </c>
      <c r="M540" t="s">
        <v>43</v>
      </c>
      <c r="N540" s="15" t="s">
        <v>1129</v>
      </c>
      <c r="O540" s="5" t="s">
        <v>160</v>
      </c>
      <c r="P540" s="17" t="s">
        <v>69</v>
      </c>
      <c r="Q540" s="10" t="s">
        <v>222</v>
      </c>
      <c r="R540" s="11">
        <v>45379</v>
      </c>
      <c r="S540" s="10" t="s">
        <v>48</v>
      </c>
      <c r="T540" s="3" t="str">
        <f>IF(AND(ProtocolosAF[[#This Row],[STATUS]]="APROVADO",ProtocolosAF[[#This Row],[WAIVER]]=""),"Y","")</f>
        <v/>
      </c>
      <c r="V540" s="16" t="str">
        <f t="shared" si="23"/>
        <v>KYNXMO</v>
      </c>
    </row>
    <row r="541" spans="1:23" hidden="1">
      <c r="A541" s="1">
        <v>45383</v>
      </c>
      <c r="B541" t="s">
        <v>10</v>
      </c>
      <c r="C541" t="s">
        <v>1269</v>
      </c>
      <c r="D541" s="23" t="s">
        <v>1270</v>
      </c>
      <c r="E541" t="s">
        <v>41</v>
      </c>
      <c r="F541" s="19">
        <v>57564931</v>
      </c>
      <c r="G541" s="53">
        <v>573529079225</v>
      </c>
      <c r="H541" s="52">
        <v>1799</v>
      </c>
      <c r="I541" s="5">
        <v>7.0000000000000007E-2</v>
      </c>
      <c r="J541" s="52" cm="1">
        <f t="array" ref="J54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126</v>
      </c>
      <c r="K541" s="56" t="s">
        <v>345</v>
      </c>
      <c r="L541" s="54" t="s">
        <v>76</v>
      </c>
      <c r="M541" t="s">
        <v>43</v>
      </c>
      <c r="N541" s="15" t="s">
        <v>1129</v>
      </c>
      <c r="O541" s="5" t="s">
        <v>417</v>
      </c>
      <c r="P541" s="17" t="s">
        <v>46</v>
      </c>
      <c r="Q541" s="10" t="s">
        <v>1271</v>
      </c>
      <c r="R541" s="11">
        <v>45387</v>
      </c>
      <c r="S541" s="10" t="s">
        <v>48</v>
      </c>
      <c r="T541" s="3" t="str">
        <f>IF(AND(ProtocolosAF[[#This Row],[STATUS]]="APROVADO",ProtocolosAF[[#This Row],[WAIVER]]=""),"Y","")</f>
        <v/>
      </c>
      <c r="U541" t="s">
        <v>1272</v>
      </c>
      <c r="V541" s="16" t="str">
        <f t="shared" si="23"/>
        <v>SNHBBROSWIN FLACH/MATTHIAS MR</v>
      </c>
      <c r="W541">
        <v>487</v>
      </c>
    </row>
    <row r="542" spans="1:23" hidden="1">
      <c r="A542" s="1">
        <v>45383</v>
      </c>
      <c r="B542" t="s">
        <v>13</v>
      </c>
      <c r="C542" t="s">
        <v>1273</v>
      </c>
      <c r="D542" s="23" t="s">
        <v>1273</v>
      </c>
      <c r="E542" t="s">
        <v>41</v>
      </c>
      <c r="F542" s="19"/>
      <c r="G542" s="53"/>
      <c r="H542" s="52">
        <v>1870</v>
      </c>
      <c r="I542" s="5">
        <v>0.1</v>
      </c>
      <c r="J542" s="52" t="str" cm="1">
        <f t="array" ref="J54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42" s="56" t="s">
        <v>1095</v>
      </c>
      <c r="L542" s="54" t="s">
        <v>66</v>
      </c>
      <c r="M542" t="s">
        <v>100</v>
      </c>
      <c r="N542" s="15" t="s">
        <v>1012</v>
      </c>
      <c r="O542" s="5" t="s">
        <v>583</v>
      </c>
      <c r="P542" s="17" t="s">
        <v>46</v>
      </c>
      <c r="Q542" s="10"/>
      <c r="R542" s="11"/>
      <c r="S542" s="10"/>
      <c r="T542" s="3" t="str">
        <f>IF(AND(ProtocolosAF[[#This Row],[STATUS]]="APROVADO",ProtocolosAF[[#This Row],[WAIVER]]=""),"Y","")</f>
        <v/>
      </c>
      <c r="U542" t="s">
        <v>1274</v>
      </c>
      <c r="V542" s="16" t="str">
        <f t="shared" si="23"/>
        <v>2V7RBDDE MORAES/ADRIANA ROBERTA</v>
      </c>
      <c r="W542">
        <v>488</v>
      </c>
    </row>
    <row r="543" spans="1:23" hidden="1">
      <c r="A543" s="1">
        <v>45383</v>
      </c>
      <c r="B543" t="s">
        <v>13</v>
      </c>
      <c r="C543" t="s">
        <v>1273</v>
      </c>
      <c r="D543" s="23" t="s">
        <v>1273</v>
      </c>
      <c r="E543" t="s">
        <v>41</v>
      </c>
      <c r="F543" s="19"/>
      <c r="G543" s="53"/>
      <c r="H543" s="52">
        <v>1870</v>
      </c>
      <c r="I543" s="5">
        <v>0.1</v>
      </c>
      <c r="J543" s="52" t="str" cm="1">
        <f t="array" ref="J54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43" s="56" t="s">
        <v>1095</v>
      </c>
      <c r="L543" s="54" t="s">
        <v>66</v>
      </c>
      <c r="M543" t="s">
        <v>100</v>
      </c>
      <c r="N543" s="15" t="s">
        <v>1012</v>
      </c>
      <c r="O543" s="5" t="s">
        <v>583</v>
      </c>
      <c r="P543" s="17" t="s">
        <v>46</v>
      </c>
      <c r="Q543" s="10"/>
      <c r="R543" s="11"/>
      <c r="S543" s="10"/>
      <c r="T543" s="3" t="str">
        <f>IF(AND(ProtocolosAF[[#This Row],[STATUS]]="APROVADO",ProtocolosAF[[#This Row],[WAIVER]]=""),"Y","")</f>
        <v/>
      </c>
      <c r="U543" t="s">
        <v>1275</v>
      </c>
      <c r="V543" s="16" t="str">
        <f t="shared" si="23"/>
        <v>2V7RBDDE MORAES/LIGIA</v>
      </c>
      <c r="W543">
        <v>488</v>
      </c>
    </row>
    <row r="544" spans="1:23" hidden="1">
      <c r="A544" s="1">
        <v>45383</v>
      </c>
      <c r="B544" t="s">
        <v>13</v>
      </c>
      <c r="C544" t="s">
        <v>1273</v>
      </c>
      <c r="D544" s="23" t="s">
        <v>1273</v>
      </c>
      <c r="E544" t="s">
        <v>41</v>
      </c>
      <c r="F544" s="19"/>
      <c r="G544" s="53"/>
      <c r="H544" s="52">
        <v>1870</v>
      </c>
      <c r="I544" s="5">
        <v>0.1</v>
      </c>
      <c r="J544" s="52" t="str" cm="1">
        <f t="array" ref="J54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44" s="56" t="s">
        <v>1095</v>
      </c>
      <c r="L544" s="54" t="s">
        <v>66</v>
      </c>
      <c r="M544" t="s">
        <v>100</v>
      </c>
      <c r="N544" s="15" t="s">
        <v>1012</v>
      </c>
      <c r="O544" s="5" t="s">
        <v>583</v>
      </c>
      <c r="P544" s="17" t="s">
        <v>46</v>
      </c>
      <c r="Q544" s="10"/>
      <c r="R544" s="11"/>
      <c r="S544" s="10"/>
      <c r="T544" s="3" t="str">
        <f>IF(AND(ProtocolosAF[[#This Row],[STATUS]]="APROVADO",ProtocolosAF[[#This Row],[WAIVER]]=""),"Y","")</f>
        <v/>
      </c>
      <c r="U544" t="s">
        <v>1276</v>
      </c>
      <c r="V544" s="16" t="str">
        <f t="shared" si="23"/>
        <v>2V7RBDGRECO/ANA MARIA</v>
      </c>
      <c r="W544">
        <v>488</v>
      </c>
    </row>
    <row r="545" spans="1:23" hidden="1">
      <c r="A545" s="1">
        <v>45383</v>
      </c>
      <c r="B545" t="s">
        <v>12</v>
      </c>
      <c r="C545" t="s">
        <v>1277</v>
      </c>
      <c r="D545" s="23" t="s">
        <v>1278</v>
      </c>
      <c r="E545" t="s">
        <v>41</v>
      </c>
      <c r="F545" s="19">
        <v>57564931</v>
      </c>
      <c r="G545" s="53">
        <v>572041089992</v>
      </c>
      <c r="H545" s="52">
        <v>645</v>
      </c>
      <c r="I545" s="5">
        <v>0.1</v>
      </c>
      <c r="J545" s="52" cm="1">
        <f t="array" ref="J54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65</v>
      </c>
      <c r="K545" s="56" t="s">
        <v>1279</v>
      </c>
      <c r="L545" s="54" t="s">
        <v>76</v>
      </c>
      <c r="M545" t="s">
        <v>43</v>
      </c>
      <c r="N545" s="15" t="s">
        <v>1096</v>
      </c>
      <c r="O545" s="5" t="s">
        <v>116</v>
      </c>
      <c r="P545" s="17" t="s">
        <v>69</v>
      </c>
      <c r="Q545" s="10" t="s">
        <v>291</v>
      </c>
      <c r="R545" s="11">
        <v>45383</v>
      </c>
      <c r="S545" s="10" t="s">
        <v>48</v>
      </c>
      <c r="T545" s="3" t="str">
        <f>IF(AND(ProtocolosAF[[#This Row],[STATUS]]="APROVADO",ProtocolosAF[[#This Row],[WAIVER]]=""),"Y","")</f>
        <v/>
      </c>
      <c r="U545" t="s">
        <v>1280</v>
      </c>
      <c r="V545" s="16" t="str">
        <f t="shared" si="23"/>
        <v xml:space="preserve">7FBDNBAPICELLA/MARIKA </v>
      </c>
      <c r="W545">
        <v>489</v>
      </c>
    </row>
    <row r="546" spans="1:23" hidden="1">
      <c r="A546" s="1">
        <v>45384</v>
      </c>
      <c r="B546" t="s">
        <v>13</v>
      </c>
      <c r="C546" t="s">
        <v>1281</v>
      </c>
      <c r="D546" s="23" t="s">
        <v>1282</v>
      </c>
      <c r="E546" t="s">
        <v>41</v>
      </c>
      <c r="F546" s="19">
        <v>57564931</v>
      </c>
      <c r="G546" s="53">
        <v>573529088786</v>
      </c>
      <c r="H546" s="52">
        <v>1712</v>
      </c>
      <c r="I546" s="5">
        <v>0.1</v>
      </c>
      <c r="J546" s="52" cm="1">
        <f t="array" ref="J54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172</v>
      </c>
      <c r="K546" s="56" t="s">
        <v>1095</v>
      </c>
      <c r="L546" s="54" t="s">
        <v>66</v>
      </c>
      <c r="M546" t="s">
        <v>43</v>
      </c>
      <c r="N546" s="15" t="s">
        <v>1096</v>
      </c>
      <c r="O546" s="5" t="s">
        <v>1283</v>
      </c>
      <c r="P546" s="17" t="s">
        <v>46</v>
      </c>
      <c r="Q546" s="10" t="s">
        <v>291</v>
      </c>
      <c r="R546" s="11">
        <v>45385</v>
      </c>
      <c r="S546" s="10" t="s">
        <v>48</v>
      </c>
      <c r="T546" s="3" t="str">
        <f>IF(AND(ProtocolosAF[[#This Row],[STATUS]]="APROVADO",ProtocolosAF[[#This Row],[WAIVER]]=""),"Y","")</f>
        <v/>
      </c>
      <c r="U546" t="s">
        <v>1274</v>
      </c>
      <c r="V546" s="16" t="str">
        <f t="shared" si="23"/>
        <v>NTIIDCDE MORAES/ADRIANA ROBERTA</v>
      </c>
      <c r="W546">
        <v>490</v>
      </c>
    </row>
    <row r="547" spans="1:23" hidden="1">
      <c r="A547" s="1">
        <v>45384</v>
      </c>
      <c r="B547" t="s">
        <v>13</v>
      </c>
      <c r="C547" t="s">
        <v>1281</v>
      </c>
      <c r="D547" s="23" t="s">
        <v>1282</v>
      </c>
      <c r="E547" t="s">
        <v>41</v>
      </c>
      <c r="F547" s="19">
        <v>57564931</v>
      </c>
      <c r="G547" s="53">
        <v>573529088788</v>
      </c>
      <c r="H547" s="52">
        <v>1712</v>
      </c>
      <c r="I547" s="5">
        <v>0.1</v>
      </c>
      <c r="J547" s="52" cm="1">
        <f t="array" ref="J54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172</v>
      </c>
      <c r="K547" s="56" t="s">
        <v>1095</v>
      </c>
      <c r="L547" s="54" t="s">
        <v>66</v>
      </c>
      <c r="M547" t="s">
        <v>43</v>
      </c>
      <c r="N547" s="15" t="s">
        <v>1096</v>
      </c>
      <c r="O547" s="5" t="s">
        <v>1283</v>
      </c>
      <c r="P547" s="17" t="s">
        <v>46</v>
      </c>
      <c r="Q547" s="10" t="s">
        <v>291</v>
      </c>
      <c r="R547" s="11">
        <v>45385</v>
      </c>
      <c r="S547" s="10" t="s">
        <v>48</v>
      </c>
      <c r="T547" s="3" t="str">
        <f>IF(AND(ProtocolosAF[[#This Row],[STATUS]]="APROVADO",ProtocolosAF[[#This Row],[WAIVER]]=""),"Y","")</f>
        <v/>
      </c>
      <c r="U547" t="s">
        <v>1275</v>
      </c>
      <c r="V547" s="16" t="str">
        <f t="shared" si="23"/>
        <v>NTIIDCDE MORAES/LIGIA</v>
      </c>
      <c r="W547">
        <v>490</v>
      </c>
    </row>
    <row r="548" spans="1:23" hidden="1">
      <c r="A548" s="1">
        <v>45384</v>
      </c>
      <c r="B548" t="s">
        <v>13</v>
      </c>
      <c r="C548" t="s">
        <v>1281</v>
      </c>
      <c r="D548" s="23" t="s">
        <v>1282</v>
      </c>
      <c r="E548" t="s">
        <v>41</v>
      </c>
      <c r="F548" s="19">
        <v>57564931</v>
      </c>
      <c r="G548" s="53">
        <v>573529088790</v>
      </c>
      <c r="H548" s="52">
        <v>1712</v>
      </c>
      <c r="I548" s="5">
        <v>0.1</v>
      </c>
      <c r="J548" s="52" cm="1">
        <f t="array" ref="J54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172</v>
      </c>
      <c r="K548" s="56" t="s">
        <v>1095</v>
      </c>
      <c r="L548" s="54" t="s">
        <v>66</v>
      </c>
      <c r="M548" t="s">
        <v>43</v>
      </c>
      <c r="N548" s="15" t="s">
        <v>1096</v>
      </c>
      <c r="O548" s="5" t="s">
        <v>1283</v>
      </c>
      <c r="P548" s="17" t="s">
        <v>46</v>
      </c>
      <c r="Q548" s="10" t="s">
        <v>291</v>
      </c>
      <c r="R548" s="11">
        <v>45385</v>
      </c>
      <c r="S548" s="10" t="s">
        <v>48</v>
      </c>
      <c r="T548" s="3" t="str">
        <f>IF(AND(ProtocolosAF[[#This Row],[STATUS]]="APROVADO",ProtocolosAF[[#This Row],[WAIVER]]=""),"Y","")</f>
        <v/>
      </c>
      <c r="U548" t="s">
        <v>1276</v>
      </c>
      <c r="V548" s="16" t="str">
        <f t="shared" si="23"/>
        <v>NTIIDCGRECO/ANA MARIA</v>
      </c>
      <c r="W548">
        <v>490</v>
      </c>
    </row>
    <row r="549" spans="1:23" hidden="1">
      <c r="A549" s="1">
        <v>45385</v>
      </c>
      <c r="B549" t="s">
        <v>15</v>
      </c>
      <c r="C549" t="s">
        <v>1284</v>
      </c>
      <c r="D549" s="23" t="s">
        <v>1284</v>
      </c>
      <c r="E549" t="s">
        <v>41</v>
      </c>
      <c r="F549" s="19">
        <v>57564931</v>
      </c>
      <c r="G549" s="53">
        <v>576624428538</v>
      </c>
      <c r="H549" s="52">
        <v>1106</v>
      </c>
      <c r="I549" s="5">
        <v>0.1</v>
      </c>
      <c r="J549" s="52" cm="1">
        <f t="array" ref="J54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111</v>
      </c>
      <c r="K549" s="56" t="s">
        <v>1155</v>
      </c>
      <c r="L549" s="54" t="s">
        <v>76</v>
      </c>
      <c r="M549" t="s">
        <v>43</v>
      </c>
      <c r="N549" s="15" t="s">
        <v>1012</v>
      </c>
      <c r="O549" s="5" t="s">
        <v>101</v>
      </c>
      <c r="P549" s="17" t="s">
        <v>69</v>
      </c>
      <c r="Q549" s="10" t="s">
        <v>79</v>
      </c>
      <c r="R549" s="11">
        <v>45385</v>
      </c>
      <c r="S549" s="10" t="s">
        <v>48</v>
      </c>
      <c r="T549" s="3" t="str">
        <f>IF(AND(ProtocolosAF[[#This Row],[STATUS]]="APROVADO",ProtocolosAF[[#This Row],[WAIVER]]=""),"Y","")</f>
        <v/>
      </c>
      <c r="U549" t="s">
        <v>1285</v>
      </c>
      <c r="V549" s="16" t="str">
        <f t="shared" si="23"/>
        <v>34BMG2CASTRO DE AGUIAR/RONA</v>
      </c>
      <c r="W549">
        <v>493</v>
      </c>
    </row>
    <row r="550" spans="1:23" hidden="1">
      <c r="A550" s="1">
        <v>45385</v>
      </c>
      <c r="B550" t="s">
        <v>10</v>
      </c>
      <c r="C550" t="s">
        <v>1286</v>
      </c>
      <c r="D550" s="23" t="s">
        <v>1287</v>
      </c>
      <c r="E550" t="s">
        <v>41</v>
      </c>
      <c r="F550" s="19">
        <v>57564931</v>
      </c>
      <c r="G550" s="53">
        <v>573529098931</v>
      </c>
      <c r="H550" s="52">
        <v>1118.73</v>
      </c>
      <c r="I550" s="5">
        <v>0.1</v>
      </c>
      <c r="J550" s="52" cm="1">
        <f t="array" ref="J55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112</v>
      </c>
      <c r="K550" s="56" t="s">
        <v>336</v>
      </c>
      <c r="L550" s="54" t="s">
        <v>76</v>
      </c>
      <c r="M550" t="s">
        <v>43</v>
      </c>
      <c r="N550" s="15" t="s">
        <v>1129</v>
      </c>
      <c r="O550" s="5" t="s">
        <v>111</v>
      </c>
      <c r="P550" s="17" t="s">
        <v>255</v>
      </c>
      <c r="Q550" s="10" t="s">
        <v>222</v>
      </c>
      <c r="R550" s="11">
        <v>45387</v>
      </c>
      <c r="S550" s="10" t="s">
        <v>48</v>
      </c>
      <c r="T550" s="3" t="str">
        <f>IF(AND(ProtocolosAF[[#This Row],[STATUS]]="APROVADO",ProtocolosAF[[#This Row],[WAIVER]]=""),"Y","")</f>
        <v/>
      </c>
      <c r="U550" t="s">
        <v>1288</v>
      </c>
      <c r="V550" s="16" t="str">
        <f t="shared" si="23"/>
        <v>KIEFEPROCHA PINTO E SILVA/FABIO MR</v>
      </c>
      <c r="W550">
        <v>494</v>
      </c>
    </row>
    <row r="551" spans="1:23" hidden="1">
      <c r="A551" s="1">
        <v>45385</v>
      </c>
      <c r="B551" t="s">
        <v>10</v>
      </c>
      <c r="C551" t="s">
        <v>1289</v>
      </c>
      <c r="D551" s="23" t="s">
        <v>1290</v>
      </c>
      <c r="E551" t="s">
        <v>41</v>
      </c>
      <c r="F551" s="19">
        <v>57564931</v>
      </c>
      <c r="G551" s="53">
        <v>573529097439</v>
      </c>
      <c r="H551" s="52">
        <v>3129</v>
      </c>
      <c r="I551" s="5">
        <v>0.1</v>
      </c>
      <c r="J551" s="52" cm="1">
        <f t="array" ref="J55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313</v>
      </c>
      <c r="K551" s="56" t="s">
        <v>336</v>
      </c>
      <c r="L551" s="54" t="s">
        <v>76</v>
      </c>
      <c r="M551" t="s">
        <v>43</v>
      </c>
      <c r="N551" s="15" t="s">
        <v>1129</v>
      </c>
      <c r="O551" s="5" t="s">
        <v>769</v>
      </c>
      <c r="P551" s="17" t="s">
        <v>69</v>
      </c>
      <c r="Q551" s="10" t="s">
        <v>147</v>
      </c>
      <c r="R551" s="11">
        <v>45387</v>
      </c>
      <c r="S551" s="10" t="s">
        <v>48</v>
      </c>
      <c r="T551" s="3" t="str">
        <f>IF(AND(ProtocolosAF[[#This Row],[STATUS]]="APROVADO",ProtocolosAF[[#This Row],[WAIVER]]=""),"Y","")</f>
        <v/>
      </c>
      <c r="U551" t="s">
        <v>1291</v>
      </c>
      <c r="V551" s="16" t="str">
        <f t="shared" si="23"/>
        <v>LOZGDPTAPIA/LUIZ HENRIQUE MR</v>
      </c>
      <c r="W551">
        <v>495</v>
      </c>
    </row>
    <row r="552" spans="1:23" hidden="1">
      <c r="A552" s="1">
        <v>45385</v>
      </c>
      <c r="B552" t="s">
        <v>15</v>
      </c>
      <c r="C552" t="s">
        <v>1292</v>
      </c>
      <c r="D552" s="23" t="s">
        <v>1292</v>
      </c>
      <c r="E552" t="s">
        <v>41</v>
      </c>
      <c r="F552" s="19"/>
      <c r="G552" s="53"/>
      <c r="H552" s="52">
        <v>938</v>
      </c>
      <c r="I552" s="5">
        <v>0.1</v>
      </c>
      <c r="J552" s="52" t="str" cm="1">
        <f t="array" ref="J55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52" s="56" t="s">
        <v>1293</v>
      </c>
      <c r="L552" s="54" t="s">
        <v>76</v>
      </c>
      <c r="M552" t="s">
        <v>100</v>
      </c>
      <c r="N552" s="15" t="s">
        <v>1129</v>
      </c>
      <c r="O552" s="5" t="s">
        <v>167</v>
      </c>
      <c r="P552" s="17" t="s">
        <v>69</v>
      </c>
      <c r="Q552" s="10"/>
      <c r="R552" s="11"/>
      <c r="S552" s="10"/>
      <c r="T552" s="3" t="str">
        <f>IF(AND(ProtocolosAF[[#This Row],[STATUS]]="APROVADO",ProtocolosAF[[#This Row],[WAIVER]]=""),"Y","")</f>
        <v/>
      </c>
      <c r="U552" t="s">
        <v>1294</v>
      </c>
      <c r="V552" s="16" t="str">
        <f t="shared" si="23"/>
        <v>394OK91.CARVALHO DA SILVA/ALEXANDRE MR</v>
      </c>
      <c r="W552">
        <v>497</v>
      </c>
    </row>
    <row r="553" spans="1:23" hidden="1">
      <c r="A553" s="1">
        <v>45385</v>
      </c>
      <c r="B553" t="s">
        <v>15</v>
      </c>
      <c r="C553" t="s">
        <v>1292</v>
      </c>
      <c r="D553" s="23" t="s">
        <v>1292</v>
      </c>
      <c r="E553" t="s">
        <v>41</v>
      </c>
      <c r="F553" s="19"/>
      <c r="G553" s="53"/>
      <c r="H553" s="52">
        <v>938</v>
      </c>
      <c r="I553" s="5">
        <v>0.1</v>
      </c>
      <c r="J553" s="52" t="str" cm="1">
        <f t="array" ref="J55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53" s="56" t="s">
        <v>1293</v>
      </c>
      <c r="L553" s="54" t="s">
        <v>76</v>
      </c>
      <c r="M553" t="s">
        <v>100</v>
      </c>
      <c r="N553" s="15" t="s">
        <v>1129</v>
      </c>
      <c r="O553" s="5" t="s">
        <v>167</v>
      </c>
      <c r="P553" s="17" t="s">
        <v>69</v>
      </c>
      <c r="Q553" s="10"/>
      <c r="R553" s="11"/>
      <c r="S553" s="10"/>
      <c r="T553" s="3" t="str">
        <f>IF(AND(ProtocolosAF[[#This Row],[STATUS]]="APROVADO",ProtocolosAF[[#This Row],[WAIVER]]=""),"Y","")</f>
        <v/>
      </c>
      <c r="U553" t="s">
        <v>1295</v>
      </c>
      <c r="V553" s="16" t="str">
        <f t="shared" si="23"/>
        <v>394OK9 2.MONTENEGRO CARVALHO/PEDRO MR</v>
      </c>
      <c r="W553">
        <v>497</v>
      </c>
    </row>
    <row r="554" spans="1:23" hidden="1">
      <c r="A554" s="1">
        <v>45385</v>
      </c>
      <c r="B554" t="s">
        <v>15</v>
      </c>
      <c r="C554" t="s">
        <v>1296</v>
      </c>
      <c r="D554" s="23" t="s">
        <v>1297</v>
      </c>
      <c r="E554" t="s">
        <v>41</v>
      </c>
      <c r="F554" s="19">
        <v>57564931</v>
      </c>
      <c r="G554" s="53">
        <v>573529099735</v>
      </c>
      <c r="H554" s="52">
        <v>879</v>
      </c>
      <c r="I554" s="5">
        <v>0.1</v>
      </c>
      <c r="J554" s="52" cm="1">
        <f t="array" ref="J55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88</v>
      </c>
      <c r="K554" s="56" t="s">
        <v>1293</v>
      </c>
      <c r="L554" s="54" t="s">
        <v>76</v>
      </c>
      <c r="M554" t="s">
        <v>43</v>
      </c>
      <c r="N554" s="15" t="s">
        <v>1129</v>
      </c>
      <c r="O554" s="5" t="s">
        <v>167</v>
      </c>
      <c r="P554" s="17" t="s">
        <v>69</v>
      </c>
      <c r="Q554" s="10" t="s">
        <v>1298</v>
      </c>
      <c r="R554" s="11">
        <v>45386</v>
      </c>
      <c r="S554" s="10" t="s">
        <v>48</v>
      </c>
      <c r="T554" s="3" t="str">
        <f>IF(AND(ProtocolosAF[[#This Row],[STATUS]]="APROVADO",ProtocolosAF[[#This Row],[WAIVER]]=""),"Y","")</f>
        <v/>
      </c>
      <c r="U554" t="s">
        <v>1299</v>
      </c>
      <c r="V554" s="16" t="str">
        <f t="shared" si="23"/>
        <v>NVVZXQ1.1MONTENEGRO CARVALHO/CLARA MRS</v>
      </c>
      <c r="W554">
        <v>496</v>
      </c>
    </row>
    <row r="555" spans="1:23" hidden="1">
      <c r="A555" s="1">
        <v>45385</v>
      </c>
      <c r="B555" t="s">
        <v>15</v>
      </c>
      <c r="C555" t="s">
        <v>1300</v>
      </c>
      <c r="D555" s="23" t="s">
        <v>1300</v>
      </c>
      <c r="E555" t="s">
        <v>41</v>
      </c>
      <c r="F555" s="19"/>
      <c r="G555" s="53"/>
      <c r="H555" s="52">
        <v>836</v>
      </c>
      <c r="I555" s="5">
        <v>0.1</v>
      </c>
      <c r="J555" s="52" t="str" cm="1">
        <f t="array" ref="J55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55" s="56" t="s">
        <v>1293</v>
      </c>
      <c r="L555" s="54" t="s">
        <v>76</v>
      </c>
      <c r="M555" t="s">
        <v>100</v>
      </c>
      <c r="N555" s="15" t="s">
        <v>1096</v>
      </c>
      <c r="O555" s="5" t="s">
        <v>167</v>
      </c>
      <c r="P555" s="17" t="s">
        <v>69</v>
      </c>
      <c r="Q555" s="10"/>
      <c r="R555" s="11"/>
      <c r="S555" s="10"/>
      <c r="T555" s="3" t="str">
        <f>IF(AND(ProtocolosAF[[#This Row],[STATUS]]="APROVADO",ProtocolosAF[[#This Row],[WAIVER]]=""),"Y","")</f>
        <v/>
      </c>
      <c r="U555" t="s">
        <v>1301</v>
      </c>
      <c r="V555" s="16" t="str">
        <f t="shared" si="23"/>
        <v>396A4V1.DE SOUZA RAMOS ACCIOLY/MARINA MRS</v>
      </c>
      <c r="W555">
        <v>499</v>
      </c>
    </row>
    <row r="556" spans="1:23" hidden="1">
      <c r="A556" s="1">
        <v>45385</v>
      </c>
      <c r="B556" t="s">
        <v>15</v>
      </c>
      <c r="C556" t="s">
        <v>1300</v>
      </c>
      <c r="D556" s="23" t="s">
        <v>1300</v>
      </c>
      <c r="E556" t="s">
        <v>41</v>
      </c>
      <c r="F556" s="19"/>
      <c r="G556" s="53"/>
      <c r="H556" s="52">
        <v>836</v>
      </c>
      <c r="I556" s="5">
        <v>0.1</v>
      </c>
      <c r="J556" s="52" t="str" cm="1">
        <f t="array" ref="J55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56" s="56" t="s">
        <v>1293</v>
      </c>
      <c r="L556" s="54" t="s">
        <v>76</v>
      </c>
      <c r="M556" t="s">
        <v>100</v>
      </c>
      <c r="N556" s="15" t="s">
        <v>1096</v>
      </c>
      <c r="O556" s="5" t="s">
        <v>167</v>
      </c>
      <c r="P556" s="17" t="s">
        <v>69</v>
      </c>
      <c r="Q556" s="10"/>
      <c r="R556" s="11"/>
      <c r="S556" s="10"/>
      <c r="T556" s="3" t="str">
        <f>IF(AND(ProtocolosAF[[#This Row],[STATUS]]="APROVADO",ProtocolosAF[[#This Row],[WAIVER]]=""),"Y","")</f>
        <v/>
      </c>
      <c r="U556" t="s">
        <v>1302</v>
      </c>
      <c r="V556" s="16" t="str">
        <f t="shared" si="23"/>
        <v>396A4V2.MACHADO MONTENEGRO/CLAUDIA MRS</v>
      </c>
      <c r="W556">
        <v>499</v>
      </c>
    </row>
    <row r="557" spans="1:23" hidden="1">
      <c r="A557" s="1">
        <v>45385</v>
      </c>
      <c r="B557" t="s">
        <v>15</v>
      </c>
      <c r="C557" t="s">
        <v>1300</v>
      </c>
      <c r="D557" s="23" t="s">
        <v>1300</v>
      </c>
      <c r="E557" t="s">
        <v>41</v>
      </c>
      <c r="F557" s="19">
        <v>57564931</v>
      </c>
      <c r="G557" s="53">
        <v>576624433039</v>
      </c>
      <c r="H557" s="52">
        <v>836</v>
      </c>
      <c r="I557" s="5">
        <v>0.1</v>
      </c>
      <c r="J557" s="52" cm="1">
        <f t="array" ref="J55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84</v>
      </c>
      <c r="K557" s="56" t="s">
        <v>1293</v>
      </c>
      <c r="L557" s="54" t="s">
        <v>76</v>
      </c>
      <c r="M557" t="s">
        <v>43</v>
      </c>
      <c r="N557" s="15" t="s">
        <v>1129</v>
      </c>
      <c r="O557" s="5" t="s">
        <v>167</v>
      </c>
      <c r="P557" s="17" t="s">
        <v>69</v>
      </c>
      <c r="Q557" s="10" t="s">
        <v>1298</v>
      </c>
      <c r="R557" s="11">
        <v>45386</v>
      </c>
      <c r="S557" s="10" t="s">
        <v>48</v>
      </c>
      <c r="T557" s="3" t="str">
        <f>IF(AND(ProtocolosAF[[#This Row],[STATUS]]="APROVADO",ProtocolosAF[[#This Row],[WAIVER]]=""),"Y","")</f>
        <v/>
      </c>
      <c r="U557" t="s">
        <v>1301</v>
      </c>
      <c r="V557" s="16" t="str">
        <f t="shared" si="23"/>
        <v>396A4V1.DE SOUZA RAMOS ACCIOLY/MARINA MRS</v>
      </c>
      <c r="W557">
        <v>498</v>
      </c>
    </row>
    <row r="558" spans="1:23" hidden="1">
      <c r="A558" s="1">
        <v>45385</v>
      </c>
      <c r="B558" t="s">
        <v>15</v>
      </c>
      <c r="C558" t="s">
        <v>1300</v>
      </c>
      <c r="D558" s="23" t="s">
        <v>1300</v>
      </c>
      <c r="E558" t="s">
        <v>41</v>
      </c>
      <c r="F558" s="19">
        <v>57564931</v>
      </c>
      <c r="G558" s="53">
        <v>576624433041</v>
      </c>
      <c r="H558" s="52">
        <v>836</v>
      </c>
      <c r="I558" s="5">
        <v>0.1</v>
      </c>
      <c r="J558" s="52" cm="1">
        <f t="array" ref="J55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84</v>
      </c>
      <c r="K558" s="56" t="s">
        <v>1293</v>
      </c>
      <c r="L558" s="54" t="s">
        <v>76</v>
      </c>
      <c r="M558" t="s">
        <v>43</v>
      </c>
      <c r="N558" s="15" t="s">
        <v>1129</v>
      </c>
      <c r="O558" s="5" t="s">
        <v>167</v>
      </c>
      <c r="P558" s="17" t="s">
        <v>69</v>
      </c>
      <c r="Q558" s="10" t="s">
        <v>1298</v>
      </c>
      <c r="R558" s="11">
        <v>45386</v>
      </c>
      <c r="S558" s="10" t="s">
        <v>48</v>
      </c>
      <c r="T558" s="3" t="str">
        <f>IF(AND(ProtocolosAF[[#This Row],[STATUS]]="APROVADO",ProtocolosAF[[#This Row],[WAIVER]]=""),"Y","")</f>
        <v/>
      </c>
      <c r="U558" t="s">
        <v>1302</v>
      </c>
      <c r="V558" s="16" t="str">
        <f t="shared" si="23"/>
        <v>396A4V2.MACHADO MONTENEGRO/CLAUDIA MRS</v>
      </c>
      <c r="W558">
        <v>498</v>
      </c>
    </row>
    <row r="559" spans="1:23" hidden="1">
      <c r="A559" s="1">
        <v>45386</v>
      </c>
      <c r="B559" t="s">
        <v>12</v>
      </c>
      <c r="C559" t="s">
        <v>1303</v>
      </c>
      <c r="D559" s="23" t="s">
        <v>1303</v>
      </c>
      <c r="E559" t="s">
        <v>73</v>
      </c>
      <c r="F559" s="19">
        <v>57994333</v>
      </c>
      <c r="G559" s="53">
        <v>574210510098</v>
      </c>
      <c r="H559" s="52">
        <v>81</v>
      </c>
      <c r="I559" s="5" t="s">
        <v>74</v>
      </c>
      <c r="J559" s="52" cm="1">
        <f t="array" ref="J55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81</v>
      </c>
      <c r="K559" s="56" t="s">
        <v>289</v>
      </c>
      <c r="L559" s="54" t="s">
        <v>172</v>
      </c>
      <c r="M559" t="s">
        <v>43</v>
      </c>
      <c r="N559" s="15" t="s">
        <v>1096</v>
      </c>
      <c r="O559" s="5" t="s">
        <v>1304</v>
      </c>
      <c r="P559" s="17" t="s">
        <v>146</v>
      </c>
      <c r="Q559" s="10" t="s">
        <v>291</v>
      </c>
      <c r="R559" s="11">
        <v>45394</v>
      </c>
      <c r="S559" s="10" t="s">
        <v>73</v>
      </c>
      <c r="T559" s="3" t="str">
        <f>IF(AND(ProtocolosAF[[#This Row],[STATUS]]="APROVADO",ProtocolosAF[[#This Row],[WAIVER]]=""),"Y","")</f>
        <v/>
      </c>
      <c r="U559" t="s">
        <v>1305</v>
      </c>
      <c r="V559" s="16" t="str">
        <f t="shared" si="23"/>
        <v>U5NGW7DE BIASE/TIAGO</v>
      </c>
      <c r="W559">
        <v>500</v>
      </c>
    </row>
    <row r="560" spans="1:23" hidden="1">
      <c r="A560" s="1">
        <v>45386</v>
      </c>
      <c r="B560" t="s">
        <v>12</v>
      </c>
      <c r="C560" t="s">
        <v>1303</v>
      </c>
      <c r="D560" s="23" t="s">
        <v>1303</v>
      </c>
      <c r="E560" t="s">
        <v>73</v>
      </c>
      <c r="F560" s="19">
        <v>57994333</v>
      </c>
      <c r="G560" s="53">
        <v>574210510099</v>
      </c>
      <c r="H560" s="52">
        <v>76</v>
      </c>
      <c r="I560" s="5" t="s">
        <v>74</v>
      </c>
      <c r="J560" s="52" cm="1">
        <f t="array" ref="J56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76</v>
      </c>
      <c r="K560" s="56" t="s">
        <v>289</v>
      </c>
      <c r="L560" s="54" t="s">
        <v>172</v>
      </c>
      <c r="M560" t="s">
        <v>43</v>
      </c>
      <c r="N560" s="15" t="s">
        <v>1096</v>
      </c>
      <c r="O560" s="5" t="s">
        <v>1304</v>
      </c>
      <c r="P560" s="17" t="s">
        <v>146</v>
      </c>
      <c r="Q560" s="10" t="s">
        <v>291</v>
      </c>
      <c r="R560" s="11">
        <v>45394</v>
      </c>
      <c r="S560" s="10" t="s">
        <v>73</v>
      </c>
      <c r="T560" s="3" t="str">
        <f>IF(AND(ProtocolosAF[[#This Row],[STATUS]]="APROVADO",ProtocolosAF[[#This Row],[WAIVER]]=""),"Y","")</f>
        <v/>
      </c>
      <c r="U560" t="s">
        <v>1306</v>
      </c>
      <c r="V560" s="16" t="str">
        <f t="shared" si="23"/>
        <v>U5NGW7RIBEIRO JUNIOR/EMANUEL</v>
      </c>
    </row>
    <row r="561" spans="1:23" hidden="1">
      <c r="A561" s="1">
        <v>45386</v>
      </c>
      <c r="B561" t="s">
        <v>15</v>
      </c>
      <c r="C561" t="s">
        <v>1292</v>
      </c>
      <c r="D561" s="23" t="s">
        <v>1292</v>
      </c>
      <c r="E561" t="s">
        <v>41</v>
      </c>
      <c r="F561" s="19">
        <v>57564931</v>
      </c>
      <c r="G561" s="53">
        <v>576624435724</v>
      </c>
      <c r="H561" s="52">
        <v>932</v>
      </c>
      <c r="I561" s="5">
        <v>0.1</v>
      </c>
      <c r="J561" s="52" cm="1">
        <f t="array" ref="J56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94</v>
      </c>
      <c r="K561" s="56" t="s">
        <v>1293</v>
      </c>
      <c r="L561" s="54" t="s">
        <v>66</v>
      </c>
      <c r="M561" t="s">
        <v>43</v>
      </c>
      <c r="N561" s="15" t="s">
        <v>1096</v>
      </c>
      <c r="O561" s="5" t="s">
        <v>167</v>
      </c>
      <c r="P561" s="17" t="s">
        <v>69</v>
      </c>
      <c r="Q561" s="10" t="s">
        <v>1298</v>
      </c>
      <c r="R561" s="11">
        <v>45386</v>
      </c>
      <c r="S561" s="10" t="s">
        <v>48</v>
      </c>
      <c r="T561" s="3" t="str">
        <f>IF(AND(ProtocolosAF[[#This Row],[STATUS]]="APROVADO",ProtocolosAF[[#This Row],[WAIVER]]=""),"Y","")</f>
        <v/>
      </c>
      <c r="U561" t="s">
        <v>1294</v>
      </c>
      <c r="V561" s="16" t="str">
        <f t="shared" si="23"/>
        <v>394OK91.CARVALHO DA SILVA/ALEXANDRE MR</v>
      </c>
      <c r="W561">
        <v>501</v>
      </c>
    </row>
    <row r="562" spans="1:23" hidden="1">
      <c r="A562" s="1">
        <v>45386</v>
      </c>
      <c r="B562" t="s">
        <v>15</v>
      </c>
      <c r="C562" t="s">
        <v>1292</v>
      </c>
      <c r="D562" s="23" t="s">
        <v>1292</v>
      </c>
      <c r="E562" t="s">
        <v>41</v>
      </c>
      <c r="F562" s="19">
        <v>57564931</v>
      </c>
      <c r="G562" s="53">
        <v>576624435726</v>
      </c>
      <c r="H562" s="52">
        <v>932</v>
      </c>
      <c r="I562" s="5">
        <v>0.1</v>
      </c>
      <c r="J562" s="52" cm="1">
        <f t="array" ref="J56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94</v>
      </c>
      <c r="K562" s="56" t="s">
        <v>1293</v>
      </c>
      <c r="L562" s="54" t="s">
        <v>66</v>
      </c>
      <c r="M562" t="s">
        <v>43</v>
      </c>
      <c r="N562" s="15" t="s">
        <v>1096</v>
      </c>
      <c r="O562" s="5" t="s">
        <v>167</v>
      </c>
      <c r="P562" s="17" t="s">
        <v>69</v>
      </c>
      <c r="Q562" s="10" t="s">
        <v>1298</v>
      </c>
      <c r="R562" s="11">
        <v>45386</v>
      </c>
      <c r="S562" s="10" t="s">
        <v>48</v>
      </c>
      <c r="T562" s="3" t="str">
        <f>IF(AND(ProtocolosAF[[#This Row],[STATUS]]="APROVADO",ProtocolosAF[[#This Row],[WAIVER]]=""),"Y","")</f>
        <v/>
      </c>
      <c r="U562" t="s">
        <v>1307</v>
      </c>
      <c r="V562" s="16" t="str">
        <f t="shared" si="23"/>
        <v>394OK92.MONTENEGRO CARVALHO/PEDRO MR</v>
      </c>
      <c r="W562">
        <v>501</v>
      </c>
    </row>
    <row r="563" spans="1:23" hidden="1">
      <c r="A563" s="1">
        <v>45391</v>
      </c>
      <c r="B563" t="s">
        <v>10</v>
      </c>
      <c r="C563" t="s">
        <v>1308</v>
      </c>
      <c r="D563" s="23" t="s">
        <v>1309</v>
      </c>
      <c r="E563" t="s">
        <v>73</v>
      </c>
      <c r="F563" s="19">
        <v>57994602</v>
      </c>
      <c r="G563" s="53">
        <v>574207249165</v>
      </c>
      <c r="H563" s="52">
        <v>99</v>
      </c>
      <c r="I563" s="5" t="s">
        <v>74</v>
      </c>
      <c r="J563" s="52" cm="1">
        <f t="array" ref="J56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99</v>
      </c>
      <c r="K563" s="56" t="s">
        <v>306</v>
      </c>
      <c r="L563" s="54" t="s">
        <v>76</v>
      </c>
      <c r="M563" t="s">
        <v>43</v>
      </c>
      <c r="N563" s="15" t="s">
        <v>65</v>
      </c>
      <c r="O563" s="5" t="s">
        <v>78</v>
      </c>
      <c r="P563" s="17" t="s">
        <v>255</v>
      </c>
      <c r="Q563" s="10" t="s">
        <v>222</v>
      </c>
      <c r="R563" s="11">
        <v>45394</v>
      </c>
      <c r="S563" s="10" t="s">
        <v>73</v>
      </c>
      <c r="T563" s="3" t="str">
        <f>IF(AND(ProtocolosAF[[#This Row],[STATUS]]="APROVADO",ProtocolosAF[[#This Row],[WAIVER]]=""),"Y","")</f>
        <v/>
      </c>
      <c r="U563" t="s">
        <v>1310</v>
      </c>
      <c r="V563" s="16" t="str">
        <f t="shared" si="23"/>
        <v>KLFTAKVIDAL/MARIANA</v>
      </c>
      <c r="W563">
        <v>503</v>
      </c>
    </row>
    <row r="564" spans="1:23" hidden="1">
      <c r="A564" s="1">
        <v>45391</v>
      </c>
      <c r="B564" t="s">
        <v>10</v>
      </c>
      <c r="C564" t="s">
        <v>1308</v>
      </c>
      <c r="D564" s="23" t="s">
        <v>1309</v>
      </c>
      <c r="E564" t="s">
        <v>73</v>
      </c>
      <c r="F564" s="19">
        <v>57994602</v>
      </c>
      <c r="G564" s="53">
        <v>574207249167</v>
      </c>
      <c r="H564" s="52">
        <v>99</v>
      </c>
      <c r="I564" s="5" t="s">
        <v>74</v>
      </c>
      <c r="J564" s="52" cm="1">
        <f t="array" ref="J56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99</v>
      </c>
      <c r="K564" s="56" t="s">
        <v>306</v>
      </c>
      <c r="L564" s="54" t="s">
        <v>76</v>
      </c>
      <c r="M564" t="s">
        <v>43</v>
      </c>
      <c r="N564" s="15" t="s">
        <v>65</v>
      </c>
      <c r="O564" s="5" t="s">
        <v>78</v>
      </c>
      <c r="P564" s="17" t="s">
        <v>255</v>
      </c>
      <c r="Q564" s="10" t="s">
        <v>222</v>
      </c>
      <c r="R564" s="11">
        <v>45394</v>
      </c>
      <c r="S564" s="10" t="s">
        <v>73</v>
      </c>
      <c r="T564" s="3" t="str">
        <f>IF(AND(ProtocolosAF[[#This Row],[STATUS]]="APROVADO",ProtocolosAF[[#This Row],[WAIVER]]=""),"Y","")</f>
        <v/>
      </c>
      <c r="U564" t="s">
        <v>1311</v>
      </c>
      <c r="V564" s="16" t="str">
        <f t="shared" si="23"/>
        <v>KLFTAKFARACO/HELIO</v>
      </c>
      <c r="W564">
        <v>503</v>
      </c>
    </row>
    <row r="565" spans="1:23" hidden="1">
      <c r="A565" s="1">
        <v>45392</v>
      </c>
      <c r="B565" t="s">
        <v>15</v>
      </c>
      <c r="C565" t="s">
        <v>1312</v>
      </c>
      <c r="D565" s="23" t="s">
        <v>1312</v>
      </c>
      <c r="E565" t="s">
        <v>41</v>
      </c>
      <c r="F565" s="19"/>
      <c r="G565" s="53"/>
      <c r="H565" s="52">
        <v>1275</v>
      </c>
      <c r="I565" s="5">
        <v>0.1</v>
      </c>
      <c r="J565" s="52" t="str" cm="1">
        <f t="array" ref="J56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65" s="56" t="s">
        <v>1293</v>
      </c>
      <c r="L565" s="54" t="s">
        <v>76</v>
      </c>
      <c r="M565" t="s">
        <v>100</v>
      </c>
      <c r="N565" s="15" t="s">
        <v>1155</v>
      </c>
      <c r="O565" s="5" t="s">
        <v>101</v>
      </c>
      <c r="P565" s="17" t="s">
        <v>146</v>
      </c>
      <c r="Q565" s="10"/>
      <c r="R565" s="11"/>
      <c r="S565" s="10"/>
      <c r="T565" s="3" t="str">
        <f>IF(AND(ProtocolosAF[[#This Row],[STATUS]]="APROVADO",ProtocolosAF[[#This Row],[WAIVER]]=""),"Y","")</f>
        <v/>
      </c>
      <c r="U565" t="s">
        <v>1313</v>
      </c>
      <c r="V565" s="16" t="str">
        <f t="shared" si="23"/>
        <v>4EYSW81.DELPHIM/GABRIELLE</v>
      </c>
      <c r="W565">
        <v>505</v>
      </c>
    </row>
    <row r="566" spans="1:23" hidden="1">
      <c r="A566" s="1">
        <v>45392</v>
      </c>
      <c r="B566" t="s">
        <v>15</v>
      </c>
      <c r="C566" t="s">
        <v>1312</v>
      </c>
      <c r="D566" s="23" t="s">
        <v>1312</v>
      </c>
      <c r="E566" t="s">
        <v>41</v>
      </c>
      <c r="F566" s="19"/>
      <c r="G566" s="53"/>
      <c r="H566" s="52">
        <v>1275</v>
      </c>
      <c r="I566" s="5">
        <v>0.1</v>
      </c>
      <c r="J566" s="52" t="str" cm="1">
        <f t="array" ref="J56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66" s="56" t="s">
        <v>1293</v>
      </c>
      <c r="L566" s="54" t="s">
        <v>76</v>
      </c>
      <c r="M566" t="s">
        <v>100</v>
      </c>
      <c r="N566" s="15" t="s">
        <v>1155</v>
      </c>
      <c r="O566" s="5" t="s">
        <v>101</v>
      </c>
      <c r="P566" s="17" t="s">
        <v>146</v>
      </c>
      <c r="Q566" s="10"/>
      <c r="R566" s="11"/>
      <c r="S566" s="10"/>
      <c r="T566" s="3" t="str">
        <f>IF(AND(ProtocolosAF[[#This Row],[STATUS]]="APROVADO",ProtocolosAF[[#This Row],[WAIVER]]=""),"Y","")</f>
        <v/>
      </c>
      <c r="U566" t="s">
        <v>1314</v>
      </c>
      <c r="V566" s="16" t="str">
        <f t="shared" si="23"/>
        <v>4EYSW82.SOUZA/GILDER EDMAR</v>
      </c>
      <c r="W566">
        <v>505</v>
      </c>
    </row>
    <row r="567" spans="1:23" hidden="1">
      <c r="A567" s="1">
        <v>45393</v>
      </c>
      <c r="B567" t="s">
        <v>15</v>
      </c>
      <c r="C567" t="s">
        <v>1312</v>
      </c>
      <c r="D567" s="23" t="s">
        <v>1312</v>
      </c>
      <c r="E567" t="s">
        <v>41</v>
      </c>
      <c r="F567" s="19"/>
      <c r="G567" s="53"/>
      <c r="H567" s="52">
        <v>1205</v>
      </c>
      <c r="I567" s="5">
        <v>0.1</v>
      </c>
      <c r="J567" s="52" t="str" cm="1">
        <f t="array" ref="J56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67" s="56" t="s">
        <v>1293</v>
      </c>
      <c r="L567" s="54" t="s">
        <v>76</v>
      </c>
      <c r="M567" t="s">
        <v>100</v>
      </c>
      <c r="N567" s="15" t="s">
        <v>1155</v>
      </c>
      <c r="O567" s="5" t="s">
        <v>101</v>
      </c>
      <c r="P567" s="17" t="s">
        <v>146</v>
      </c>
      <c r="Q567" s="10"/>
      <c r="R567" s="11"/>
      <c r="S567" s="10"/>
      <c r="T567" s="3" t="str">
        <f>IF(AND(ProtocolosAF[[#This Row],[STATUS]]="APROVADO",ProtocolosAF[[#This Row],[WAIVER]]=""),"Y","")</f>
        <v/>
      </c>
      <c r="U567" t="s">
        <v>1313</v>
      </c>
      <c r="V567" s="16" t="str">
        <f t="shared" si="23"/>
        <v>4EYSW81.DELPHIM/GABRIELLE</v>
      </c>
      <c r="W567">
        <v>506</v>
      </c>
    </row>
    <row r="568" spans="1:23" hidden="1">
      <c r="A568" s="1">
        <v>45393</v>
      </c>
      <c r="B568" t="s">
        <v>15</v>
      </c>
      <c r="C568" t="s">
        <v>1312</v>
      </c>
      <c r="D568" s="23" t="s">
        <v>1312</v>
      </c>
      <c r="E568" t="s">
        <v>41</v>
      </c>
      <c r="F568" s="19"/>
      <c r="G568" s="53"/>
      <c r="H568" s="52">
        <v>1205</v>
      </c>
      <c r="I568" s="5">
        <v>0.1</v>
      </c>
      <c r="J568" s="52" t="str" cm="1">
        <f t="array" ref="J56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68" s="56" t="s">
        <v>1293</v>
      </c>
      <c r="L568" s="54" t="s">
        <v>76</v>
      </c>
      <c r="M568" t="s">
        <v>100</v>
      </c>
      <c r="N568" s="15" t="s">
        <v>1155</v>
      </c>
      <c r="O568" s="5" t="s">
        <v>101</v>
      </c>
      <c r="P568" s="17" t="s">
        <v>146</v>
      </c>
      <c r="Q568" s="10"/>
      <c r="R568" s="11"/>
      <c r="S568" s="10"/>
      <c r="T568" s="3" t="str">
        <f>IF(AND(ProtocolosAF[[#This Row],[STATUS]]="APROVADO",ProtocolosAF[[#This Row],[WAIVER]]=""),"Y","")</f>
        <v/>
      </c>
      <c r="U568" t="s">
        <v>1314</v>
      </c>
      <c r="V568" s="16" t="str">
        <f t="shared" si="23"/>
        <v>4EYSW82.SOUZA/GILDER EDMAR</v>
      </c>
      <c r="W568">
        <v>506</v>
      </c>
    </row>
    <row r="569" spans="1:23" hidden="1">
      <c r="A569" s="1">
        <v>45393</v>
      </c>
      <c r="B569" t="s">
        <v>11</v>
      </c>
      <c r="C569" t="s">
        <v>1315</v>
      </c>
      <c r="D569" s="23" t="s">
        <v>1316</v>
      </c>
      <c r="E569" t="s">
        <v>512</v>
      </c>
      <c r="F569" s="19">
        <v>57564931</v>
      </c>
      <c r="G569" s="53">
        <v>573529163136</v>
      </c>
      <c r="H569" s="52">
        <v>185</v>
      </c>
      <c r="I569" s="5" t="s">
        <v>74</v>
      </c>
      <c r="J569" s="52" cm="1">
        <f t="array" ref="J56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185</v>
      </c>
      <c r="K569" s="56" t="s">
        <v>1317</v>
      </c>
      <c r="L569" s="54" t="s">
        <v>529</v>
      </c>
      <c r="M569" t="s">
        <v>43</v>
      </c>
      <c r="N569" s="15" t="s">
        <v>1318</v>
      </c>
      <c r="O569" s="5" t="s">
        <v>564</v>
      </c>
      <c r="P569" s="17" t="s">
        <v>69</v>
      </c>
      <c r="Q569" s="10" t="s">
        <v>1319</v>
      </c>
      <c r="R569" s="11">
        <v>45394</v>
      </c>
      <c r="S569" s="10" t="s">
        <v>720</v>
      </c>
      <c r="T569" s="3" t="str">
        <f>IF(AND(ProtocolosAF[[#This Row],[STATUS]]="APROVADO",ProtocolosAF[[#This Row],[WAIVER]]=""),"Y","")</f>
        <v/>
      </c>
      <c r="U569" t="s">
        <v>1320</v>
      </c>
      <c r="V569" s="16" t="str">
        <f t="shared" si="23"/>
        <v>HAYTZRMOREIRA FONTENELE NETO/JOSE MR</v>
      </c>
      <c r="W569">
        <v>508</v>
      </c>
    </row>
    <row r="570" spans="1:23" hidden="1">
      <c r="A570" s="1">
        <v>45393</v>
      </c>
      <c r="B570" t="s">
        <v>15</v>
      </c>
      <c r="C570" t="s">
        <v>1321</v>
      </c>
      <c r="D570" s="23" t="s">
        <v>1321</v>
      </c>
      <c r="E570" t="s">
        <v>41</v>
      </c>
      <c r="F570" s="19">
        <v>57564931</v>
      </c>
      <c r="G570" s="53">
        <v>576624494535</v>
      </c>
      <c r="H570" s="52">
        <v>1297</v>
      </c>
      <c r="I570" s="5">
        <v>0.16</v>
      </c>
      <c r="J570" s="52" cm="1">
        <f t="array" ref="J57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208</v>
      </c>
      <c r="K570" s="56" t="s">
        <v>1155</v>
      </c>
      <c r="L570" s="54" t="s">
        <v>76</v>
      </c>
      <c r="M570" t="s">
        <v>43</v>
      </c>
      <c r="N570" s="15" t="s">
        <v>1155</v>
      </c>
      <c r="O570" s="5" t="s">
        <v>101</v>
      </c>
      <c r="P570" s="17" t="s">
        <v>69</v>
      </c>
      <c r="Q570" s="10" t="s">
        <v>79</v>
      </c>
      <c r="R570" s="11">
        <v>45394</v>
      </c>
      <c r="S570" s="10" t="s">
        <v>48</v>
      </c>
      <c r="T570" s="3" t="str">
        <f>IF(AND(ProtocolosAF[[#This Row],[STATUS]]="APROVADO",ProtocolosAF[[#This Row],[WAIVER]]=""),"Y","")</f>
        <v/>
      </c>
      <c r="U570" t="s">
        <v>1322</v>
      </c>
      <c r="V570" s="16" t="str">
        <f t="shared" si="23"/>
        <v>4L425HDELPHIM/GABRIELLE</v>
      </c>
      <c r="W570">
        <v>510</v>
      </c>
    </row>
    <row r="571" spans="1:23" hidden="1">
      <c r="A571" s="1">
        <v>45393</v>
      </c>
      <c r="B571" t="s">
        <v>15</v>
      </c>
      <c r="C571" t="s">
        <v>1321</v>
      </c>
      <c r="D571" s="23" t="s">
        <v>1321</v>
      </c>
      <c r="E571" t="s">
        <v>41</v>
      </c>
      <c r="F571" s="19">
        <v>57564931</v>
      </c>
      <c r="G571" s="53">
        <v>576624494536</v>
      </c>
      <c r="H571" s="52">
        <v>1297</v>
      </c>
      <c r="I571" s="5">
        <v>0.16</v>
      </c>
      <c r="J571" s="52" cm="1">
        <f t="array" ref="J57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208</v>
      </c>
      <c r="K571" s="56" t="s">
        <v>1155</v>
      </c>
      <c r="L571" s="54" t="s">
        <v>76</v>
      </c>
      <c r="M571" t="s">
        <v>43</v>
      </c>
      <c r="N571" s="15" t="s">
        <v>1155</v>
      </c>
      <c r="O571" s="5" t="s">
        <v>101</v>
      </c>
      <c r="P571" s="17" t="s">
        <v>69</v>
      </c>
      <c r="Q571" s="10" t="s">
        <v>79</v>
      </c>
      <c r="R571" s="11">
        <v>45394</v>
      </c>
      <c r="S571" s="10" t="s">
        <v>48</v>
      </c>
      <c r="T571" s="3" t="str">
        <f>IF(AND(ProtocolosAF[[#This Row],[STATUS]]="APROVADO",ProtocolosAF[[#This Row],[WAIVER]]=""),"Y","")</f>
        <v/>
      </c>
      <c r="U571" t="s">
        <v>1323</v>
      </c>
      <c r="V571" s="16" t="str">
        <f t="shared" si="23"/>
        <v>4L425HSOUZA/GILDER EDMAR</v>
      </c>
      <c r="W571">
        <v>510</v>
      </c>
    </row>
    <row r="572" spans="1:23" hidden="1">
      <c r="A572" s="1">
        <v>45394</v>
      </c>
      <c r="B572" t="s">
        <v>10</v>
      </c>
      <c r="C572" t="s">
        <v>1324</v>
      </c>
      <c r="D572" s="23" t="s">
        <v>1324</v>
      </c>
      <c r="E572" t="s">
        <v>41</v>
      </c>
      <c r="F572" s="19">
        <v>57564931</v>
      </c>
      <c r="G572" s="53">
        <v>576624502980</v>
      </c>
      <c r="H572" s="52">
        <v>3399</v>
      </c>
      <c r="I572" s="5">
        <v>0.1</v>
      </c>
      <c r="J572" s="52" cm="1">
        <f t="array" ref="J57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340</v>
      </c>
      <c r="K572" s="56" t="s">
        <v>336</v>
      </c>
      <c r="L572" s="54" t="s">
        <v>76</v>
      </c>
      <c r="M572" t="s">
        <v>43</v>
      </c>
      <c r="N572" s="15" t="s">
        <v>65</v>
      </c>
      <c r="O572" s="5" t="s">
        <v>557</v>
      </c>
      <c r="P572" s="17" t="s">
        <v>69</v>
      </c>
      <c r="Q572" s="10" t="s">
        <v>1325</v>
      </c>
      <c r="R572" s="11">
        <v>45394</v>
      </c>
      <c r="S572" s="10" t="s">
        <v>48</v>
      </c>
      <c r="T572" s="3" t="str">
        <f>IF(AND(ProtocolosAF[[#This Row],[STATUS]]="APROVADO",ProtocolosAF[[#This Row],[WAIVER]]=""),"Y","")</f>
        <v/>
      </c>
      <c r="U572" t="s">
        <v>1326</v>
      </c>
      <c r="V572" s="16" t="str">
        <f t="shared" si="23"/>
        <v>4PWZG2PERES SANTESTEVAM/YARA MRS</v>
      </c>
      <c r="W572">
        <v>513</v>
      </c>
    </row>
    <row r="573" spans="1:23" hidden="1">
      <c r="A573" s="1">
        <v>45398</v>
      </c>
      <c r="B573" t="s">
        <v>13</v>
      </c>
      <c r="C573" t="s">
        <v>1327</v>
      </c>
      <c r="D573" s="23" t="s">
        <v>1327</v>
      </c>
      <c r="E573" t="s">
        <v>41</v>
      </c>
      <c r="F573" s="19"/>
      <c r="G573" s="53"/>
      <c r="H573" s="52">
        <v>1542</v>
      </c>
      <c r="I573" s="5">
        <v>0.1</v>
      </c>
      <c r="J573" s="52" t="str" cm="1">
        <f t="array" ref="J57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73" s="56" t="s">
        <v>1095</v>
      </c>
      <c r="L573" s="54" t="s">
        <v>66</v>
      </c>
      <c r="M573" t="s">
        <v>100</v>
      </c>
      <c r="N573" s="15" t="s">
        <v>151</v>
      </c>
      <c r="O573" s="5" t="s">
        <v>1328</v>
      </c>
      <c r="P573" s="17" t="s">
        <v>46</v>
      </c>
      <c r="Q573" s="10"/>
      <c r="R573" s="11"/>
      <c r="S573" s="10"/>
      <c r="T573" s="3" t="str">
        <f>IF(AND(ProtocolosAF[[#This Row],[STATUS]]="APROVADO",ProtocolosAF[[#This Row],[WAIVER]]=""),"Y","")</f>
        <v/>
      </c>
      <c r="U573" t="s">
        <v>1329</v>
      </c>
      <c r="V573" s="16" t="str">
        <f t="shared" si="23"/>
        <v>2EX2V3BAYER QUEIROZ/MARIANA</v>
      </c>
      <c r="W573">
        <v>515</v>
      </c>
    </row>
    <row r="574" spans="1:23" hidden="1">
      <c r="A574" s="1">
        <v>45398</v>
      </c>
      <c r="B574" t="s">
        <v>13</v>
      </c>
      <c r="C574" t="s">
        <v>1327</v>
      </c>
      <c r="D574" s="23" t="s">
        <v>1327</v>
      </c>
      <c r="E574" t="s">
        <v>41</v>
      </c>
      <c r="F574" s="19"/>
      <c r="G574" s="53"/>
      <c r="H574" s="52">
        <v>1542</v>
      </c>
      <c r="I574" s="5">
        <v>0.1</v>
      </c>
      <c r="J574" s="52" t="str" cm="1">
        <f t="array" ref="J57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74" s="56" t="s">
        <v>1095</v>
      </c>
      <c r="L574" s="54" t="s">
        <v>66</v>
      </c>
      <c r="M574" t="s">
        <v>100</v>
      </c>
      <c r="N574" s="15" t="s">
        <v>151</v>
      </c>
      <c r="O574" s="5" t="s">
        <v>1328</v>
      </c>
      <c r="P574" s="17" t="s">
        <v>46</v>
      </c>
      <c r="Q574" s="10"/>
      <c r="R574" s="11"/>
      <c r="S574" s="10"/>
      <c r="T574" s="3" t="str">
        <f>IF(AND(ProtocolosAF[[#This Row],[STATUS]]="APROVADO",ProtocolosAF[[#This Row],[WAIVER]]=""),"Y","")</f>
        <v/>
      </c>
      <c r="U574" t="s">
        <v>1330</v>
      </c>
      <c r="V574" s="16" t="str">
        <f t="shared" si="23"/>
        <v>2EX2V3GORDON/MICHEL</v>
      </c>
      <c r="W574">
        <v>515</v>
      </c>
    </row>
    <row r="575" spans="1:23" hidden="1">
      <c r="A575" s="1">
        <v>45398</v>
      </c>
      <c r="B575" t="s">
        <v>13</v>
      </c>
      <c r="C575" t="s">
        <v>1327</v>
      </c>
      <c r="D575" s="23" t="s">
        <v>1327</v>
      </c>
      <c r="E575" t="s">
        <v>41</v>
      </c>
      <c r="F575" s="19"/>
      <c r="G575" s="53"/>
      <c r="H575" s="52">
        <v>1542</v>
      </c>
      <c r="I575" s="5">
        <v>0.1</v>
      </c>
      <c r="J575" s="52" t="str" cm="1">
        <f t="array" ref="J57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75" s="56" t="s">
        <v>1095</v>
      </c>
      <c r="L575" s="54" t="s">
        <v>66</v>
      </c>
      <c r="M575" t="s">
        <v>100</v>
      </c>
      <c r="N575" s="15" t="s">
        <v>151</v>
      </c>
      <c r="O575" s="5" t="s">
        <v>1328</v>
      </c>
      <c r="P575" s="17" t="s">
        <v>46</v>
      </c>
      <c r="Q575" s="10"/>
      <c r="R575" s="11"/>
      <c r="S575" s="10"/>
      <c r="T575" s="3" t="str">
        <f>IF(AND(ProtocolosAF[[#This Row],[STATUS]]="APROVADO",ProtocolosAF[[#This Row],[WAIVER]]=""),"Y","")</f>
        <v/>
      </c>
      <c r="U575" t="s">
        <v>1331</v>
      </c>
      <c r="V575" s="16" t="str">
        <f t="shared" si="23"/>
        <v>2EX2V3ZUHLSDORFF DE PAIVA GORDON/ELISA</v>
      </c>
      <c r="W575">
        <v>515</v>
      </c>
    </row>
    <row r="576" spans="1:23" hidden="1">
      <c r="A576" s="1">
        <v>45399</v>
      </c>
      <c r="B576" t="s">
        <v>10</v>
      </c>
      <c r="C576" t="s">
        <v>1332</v>
      </c>
      <c r="D576" s="23" t="s">
        <v>1332</v>
      </c>
      <c r="E576" t="s">
        <v>41</v>
      </c>
      <c r="F576" s="19">
        <v>57564931</v>
      </c>
      <c r="G576" s="53">
        <v>576624534139</v>
      </c>
      <c r="H576" s="52">
        <v>1309</v>
      </c>
      <c r="I576" s="5">
        <v>0.15</v>
      </c>
      <c r="J576" s="52" cm="1">
        <f t="array" ref="J57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197</v>
      </c>
      <c r="K576" s="56" t="s">
        <v>903</v>
      </c>
      <c r="L576" s="54" t="s">
        <v>76</v>
      </c>
      <c r="M576" t="s">
        <v>43</v>
      </c>
      <c r="N576" s="15" t="s">
        <v>65</v>
      </c>
      <c r="O576" s="5" t="s">
        <v>249</v>
      </c>
      <c r="P576" s="17" t="s">
        <v>46</v>
      </c>
      <c r="Q576" s="10" t="s">
        <v>1333</v>
      </c>
      <c r="R576" s="11">
        <v>45399</v>
      </c>
      <c r="S576" s="10" t="s">
        <v>48</v>
      </c>
      <c r="T576" s="3" t="str">
        <f>IF(AND(ProtocolosAF[[#This Row],[STATUS]]="APROVADO",ProtocolosAF[[#This Row],[WAIVER]]=""),"Y","")</f>
        <v/>
      </c>
      <c r="U576" t="s">
        <v>1334</v>
      </c>
      <c r="V576" s="16" t="str">
        <f t="shared" si="23"/>
        <v>2KXRF9CAVALHEIRO MARCONDES/CESAR AUGUSTO</v>
      </c>
      <c r="W576">
        <v>518</v>
      </c>
    </row>
    <row r="577" spans="1:23" hidden="1">
      <c r="A577" s="1">
        <v>45400</v>
      </c>
      <c r="B577" t="s">
        <v>13</v>
      </c>
      <c r="C577" t="s">
        <v>1335</v>
      </c>
      <c r="D577" s="23" t="s">
        <v>1336</v>
      </c>
      <c r="E577" t="s">
        <v>512</v>
      </c>
      <c r="F577" s="19"/>
      <c r="G577" s="53"/>
      <c r="H577" s="52">
        <v>250</v>
      </c>
      <c r="I577" s="5" t="s">
        <v>74</v>
      </c>
      <c r="J577" s="52" t="str" cm="1">
        <f t="array" ref="J57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77" s="56" t="s">
        <v>151</v>
      </c>
      <c r="L577" s="54" t="s">
        <v>513</v>
      </c>
      <c r="M577" t="s">
        <v>217</v>
      </c>
      <c r="N577" s="15" t="s">
        <v>151</v>
      </c>
      <c r="O577" s="5" t="s">
        <v>1337</v>
      </c>
      <c r="P577" s="17" t="s">
        <v>69</v>
      </c>
      <c r="Q577" s="10"/>
      <c r="R577" s="11"/>
      <c r="S577" s="10"/>
      <c r="T577" s="3" t="str">
        <f>IF(AND(ProtocolosAF[[#This Row],[STATUS]]="APROVADO",ProtocolosAF[[#This Row],[WAIVER]]=""),"Y","")</f>
        <v/>
      </c>
      <c r="U577" t="s">
        <v>1338</v>
      </c>
      <c r="V577" s="16" t="str">
        <f t="shared" si="23"/>
        <v>FHKEVXMOUTINHO/BERNARDINA DALVA</v>
      </c>
      <c r="W577">
        <v>519</v>
      </c>
    </row>
    <row r="578" spans="1:23" hidden="1">
      <c r="A578" s="1">
        <v>45400</v>
      </c>
      <c r="B578" t="s">
        <v>13</v>
      </c>
      <c r="C578" t="s">
        <v>1335</v>
      </c>
      <c r="D578" s="23" t="s">
        <v>1336</v>
      </c>
      <c r="E578" t="s">
        <v>512</v>
      </c>
      <c r="F578" s="19">
        <v>57564931</v>
      </c>
      <c r="G578" s="53">
        <v>573529208644</v>
      </c>
      <c r="H578" s="52">
        <v>236</v>
      </c>
      <c r="I578" s="5" t="s">
        <v>74</v>
      </c>
      <c r="J578" s="52" cm="1">
        <f t="array" ref="J57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236</v>
      </c>
      <c r="K578" s="56" t="s">
        <v>151</v>
      </c>
      <c r="L578" s="54" t="s">
        <v>513</v>
      </c>
      <c r="M578" t="s">
        <v>43</v>
      </c>
      <c r="N578" s="15" t="s">
        <v>151</v>
      </c>
      <c r="O578" s="5" t="s">
        <v>1337</v>
      </c>
      <c r="P578" s="17" t="s">
        <v>69</v>
      </c>
      <c r="Q578" s="10" t="s">
        <v>168</v>
      </c>
      <c r="R578" s="11">
        <v>45400</v>
      </c>
      <c r="S578" s="10" t="s">
        <v>720</v>
      </c>
      <c r="T578" s="3" t="str">
        <f>IF(AND(ProtocolosAF[[#This Row],[STATUS]]="APROVADO",ProtocolosAF[[#This Row],[WAIVER]]=""),"Y","")</f>
        <v/>
      </c>
      <c r="U578" t="s">
        <v>1338</v>
      </c>
      <c r="V578" s="16" t="str">
        <f t="shared" si="23"/>
        <v>FHKEVXMOUTINHO/BERNARDINA DALVA</v>
      </c>
      <c r="W578">
        <v>520</v>
      </c>
    </row>
    <row r="579" spans="1:23" hidden="1">
      <c r="A579" s="1">
        <v>45400</v>
      </c>
      <c r="B579" t="s">
        <v>10</v>
      </c>
      <c r="C579" t="s">
        <v>1339</v>
      </c>
      <c r="D579" s="23" t="s">
        <v>1340</v>
      </c>
      <c r="E579" t="s">
        <v>41</v>
      </c>
      <c r="F579" s="19">
        <v>57564931</v>
      </c>
      <c r="G579" s="53">
        <v>573529203238</v>
      </c>
      <c r="H579" s="52">
        <v>1632</v>
      </c>
      <c r="I579" s="5">
        <v>0.06</v>
      </c>
      <c r="J579" s="52" cm="1">
        <f t="array" ref="J57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98</v>
      </c>
      <c r="K579" s="56" t="s">
        <v>345</v>
      </c>
      <c r="L579" s="54" t="s">
        <v>76</v>
      </c>
      <c r="M579" t="s">
        <v>43</v>
      </c>
      <c r="N579" s="15" t="s">
        <v>1129</v>
      </c>
      <c r="O579" s="5" t="s">
        <v>249</v>
      </c>
      <c r="P579" s="17" t="s">
        <v>69</v>
      </c>
      <c r="Q579" s="10" t="s">
        <v>1341</v>
      </c>
      <c r="R579" s="11">
        <v>45401</v>
      </c>
      <c r="S579" s="10" t="s">
        <v>48</v>
      </c>
      <c r="T579" s="3" t="str">
        <f>IF(AND(ProtocolosAF[[#This Row],[STATUS]]="APROVADO",ProtocolosAF[[#This Row],[WAIVER]]=""),"Y","")</f>
        <v/>
      </c>
      <c r="U579" t="s">
        <v>1342</v>
      </c>
      <c r="V579" s="16" t="str">
        <f t="shared" si="23"/>
        <v>IDGSII1.1MODELLI DE ANDRADE/LUIS GUSTAVO</v>
      </c>
      <c r="W579">
        <v>521</v>
      </c>
    </row>
    <row r="580" spans="1:23" hidden="1">
      <c r="A580" s="1">
        <v>45400</v>
      </c>
      <c r="B580" t="s">
        <v>10</v>
      </c>
      <c r="C580" t="s">
        <v>1343</v>
      </c>
      <c r="D580" s="23" t="s">
        <v>1344</v>
      </c>
      <c r="E580" t="s">
        <v>41</v>
      </c>
      <c r="F580" s="19">
        <v>57564931</v>
      </c>
      <c r="G580" s="53">
        <v>573529203221</v>
      </c>
      <c r="H580" s="52">
        <v>1764</v>
      </c>
      <c r="I580" s="5">
        <v>0.06</v>
      </c>
      <c r="J580" s="52" cm="1">
        <f t="array" ref="J58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106</v>
      </c>
      <c r="K580" s="56" t="s">
        <v>189</v>
      </c>
      <c r="L580" s="54" t="s">
        <v>76</v>
      </c>
      <c r="M580" t="s">
        <v>43</v>
      </c>
      <c r="N580" s="15" t="s">
        <v>1129</v>
      </c>
      <c r="O580" s="5" t="s">
        <v>1283</v>
      </c>
      <c r="P580" s="17" t="s">
        <v>146</v>
      </c>
      <c r="Q580" s="10" t="s">
        <v>1345</v>
      </c>
      <c r="R580" s="11">
        <v>45401</v>
      </c>
      <c r="S580" s="10" t="s">
        <v>48</v>
      </c>
      <c r="T580" s="3" t="str">
        <f>IF(AND(ProtocolosAF[[#This Row],[STATUS]]="APROVADO",ProtocolosAF[[#This Row],[WAIVER]]=""),"Y","")</f>
        <v/>
      </c>
      <c r="U580" t="s">
        <v>1346</v>
      </c>
      <c r="V580" s="16" t="str">
        <f t="shared" si="23"/>
        <v>HKQLAGIRION ALVES/DIMAS MR</v>
      </c>
      <c r="W580">
        <v>522</v>
      </c>
    </row>
    <row r="581" spans="1:23" hidden="1">
      <c r="A581" s="1">
        <v>45400</v>
      </c>
      <c r="B581" t="s">
        <v>10</v>
      </c>
      <c r="C581" t="s">
        <v>1347</v>
      </c>
      <c r="D581" s="23" t="s">
        <v>1348</v>
      </c>
      <c r="E581" t="s">
        <v>41</v>
      </c>
      <c r="F581" s="19">
        <v>57564931</v>
      </c>
      <c r="G581" s="53">
        <v>573529203259</v>
      </c>
      <c r="H581" s="52">
        <v>1632</v>
      </c>
      <c r="I581" s="5">
        <v>0.06</v>
      </c>
      <c r="J581" s="52" cm="1">
        <f t="array" ref="J58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98</v>
      </c>
      <c r="K581" s="56" t="s">
        <v>345</v>
      </c>
      <c r="L581" s="54" t="s">
        <v>76</v>
      </c>
      <c r="M581" t="s">
        <v>43</v>
      </c>
      <c r="N581" s="15" t="s">
        <v>1129</v>
      </c>
      <c r="O581" s="5" t="s">
        <v>249</v>
      </c>
      <c r="P581" s="17" t="s">
        <v>69</v>
      </c>
      <c r="Q581" s="10" t="s">
        <v>1341</v>
      </c>
      <c r="R581" s="11">
        <v>45401</v>
      </c>
      <c r="S581" s="10" t="s">
        <v>48</v>
      </c>
      <c r="T581" s="3" t="str">
        <f>IF(AND(ProtocolosAF[[#This Row],[STATUS]]="APROVADO",ProtocolosAF[[#This Row],[WAIVER]]=""),"Y","")</f>
        <v/>
      </c>
      <c r="U581" t="s">
        <v>1349</v>
      </c>
      <c r="V581" s="16" t="str">
        <f t="shared" si="23"/>
        <v>IBXZAP1.1PFEFERMAN HEILBERG/ITA</v>
      </c>
      <c r="W581">
        <v>523</v>
      </c>
    </row>
    <row r="582" spans="1:23" hidden="1">
      <c r="A582" s="1">
        <v>45404</v>
      </c>
      <c r="B582" t="s">
        <v>10</v>
      </c>
      <c r="C582" t="s">
        <v>1350</v>
      </c>
      <c r="D582" s="23" t="s">
        <v>1350</v>
      </c>
      <c r="E582" t="s">
        <v>41</v>
      </c>
      <c r="F582" s="19"/>
      <c r="G582" s="53"/>
      <c r="H582" s="52">
        <v>1671</v>
      </c>
      <c r="I582" s="5">
        <v>0.06</v>
      </c>
      <c r="J582" s="52" t="str" cm="1">
        <f t="array" ref="J58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82" s="56" t="s">
        <v>189</v>
      </c>
      <c r="L582" s="54" t="s">
        <v>76</v>
      </c>
      <c r="M582" t="s">
        <v>100</v>
      </c>
      <c r="N582" s="15" t="s">
        <v>1129</v>
      </c>
      <c r="O582" s="5" t="s">
        <v>417</v>
      </c>
      <c r="P582" s="17" t="s">
        <v>69</v>
      </c>
      <c r="Q582" s="10"/>
      <c r="R582" s="11"/>
      <c r="S582" s="10"/>
      <c r="T582" s="3" t="str">
        <f>IF(AND(ProtocolosAF[[#This Row],[STATUS]]="APROVADO",ProtocolosAF[[#This Row],[WAIVER]]=""),"Y","")</f>
        <v/>
      </c>
      <c r="U582" t="s">
        <v>1351</v>
      </c>
      <c r="V582" s="16" t="str">
        <f t="shared" si="23"/>
        <v>ZLZPRKCOSTA/JUNIOR</v>
      </c>
      <c r="W582">
        <v>524</v>
      </c>
    </row>
    <row r="583" spans="1:23" hidden="1">
      <c r="A583" s="1">
        <v>45404</v>
      </c>
      <c r="B583" t="s">
        <v>10</v>
      </c>
      <c r="C583" t="s">
        <v>1350</v>
      </c>
      <c r="D583" s="23" t="s">
        <v>1350</v>
      </c>
      <c r="E583" t="s">
        <v>41</v>
      </c>
      <c r="F583" s="19"/>
      <c r="G583" s="53"/>
      <c r="H583" s="52">
        <v>1568</v>
      </c>
      <c r="I583" s="5">
        <v>0.06</v>
      </c>
      <c r="J583" s="52" t="str" cm="1">
        <f t="array" ref="J58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83" s="56" t="s">
        <v>189</v>
      </c>
      <c r="L583" s="54" t="s">
        <v>76</v>
      </c>
      <c r="M583" t="s">
        <v>100</v>
      </c>
      <c r="N583" s="15" t="s">
        <v>1129</v>
      </c>
      <c r="O583" s="5" t="s">
        <v>417</v>
      </c>
      <c r="P583" s="17" t="s">
        <v>69</v>
      </c>
      <c r="Q583" s="10"/>
      <c r="R583" s="11"/>
      <c r="S583" s="10"/>
      <c r="T583" s="3" t="str">
        <f>IF(AND(ProtocolosAF[[#This Row],[STATUS]]="APROVADO",ProtocolosAF[[#This Row],[WAIVER]]=""),"Y","")</f>
        <v/>
      </c>
      <c r="U583" t="s">
        <v>1352</v>
      </c>
      <c r="V583" s="16" t="str">
        <f t="shared" ref="V583:V646" si="24">_xlfn.CONCAT(C583,U583)</f>
        <v>ZLZPRKCOSTA/ALAN</v>
      </c>
      <c r="W583">
        <v>524</v>
      </c>
    </row>
    <row r="584" spans="1:23" hidden="1">
      <c r="A584" s="1">
        <v>45405</v>
      </c>
      <c r="B584" t="s">
        <v>13</v>
      </c>
      <c r="C584" t="s">
        <v>1353</v>
      </c>
      <c r="D584" s="23" t="s">
        <v>1354</v>
      </c>
      <c r="E584" t="s">
        <v>512</v>
      </c>
      <c r="F584" s="19">
        <v>57564931</v>
      </c>
      <c r="G584" s="53">
        <v>573529231664</v>
      </c>
      <c r="H584" s="52">
        <v>188</v>
      </c>
      <c r="I584" s="5" t="s">
        <v>74</v>
      </c>
      <c r="J584" s="52" cm="1">
        <f t="array" ref="J58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188</v>
      </c>
      <c r="K584" s="56" t="s">
        <v>1355</v>
      </c>
      <c r="L584" s="54" t="s">
        <v>529</v>
      </c>
      <c r="M584" t="s">
        <v>43</v>
      </c>
      <c r="N584" s="15" t="s">
        <v>151</v>
      </c>
      <c r="O584" s="5" t="s">
        <v>539</v>
      </c>
      <c r="P584" s="17" t="s">
        <v>69</v>
      </c>
      <c r="Q584" s="10" t="s">
        <v>168</v>
      </c>
      <c r="R584" s="11">
        <v>45405</v>
      </c>
      <c r="S584" s="10" t="s">
        <v>720</v>
      </c>
      <c r="T584" s="3" t="str">
        <f>IF(AND(ProtocolosAF[[#This Row],[STATUS]]="APROVADO",ProtocolosAF[[#This Row],[WAIVER]]=""),"Y","")</f>
        <v/>
      </c>
      <c r="U584" t="s">
        <v>1356</v>
      </c>
      <c r="V584" s="16" t="str">
        <f t="shared" si="24"/>
        <v>ISOHVSCHAGAS ANDREOZZI/RODRIGO</v>
      </c>
      <c r="W584">
        <v>525</v>
      </c>
    </row>
    <row r="585" spans="1:23" hidden="1">
      <c r="A585" s="1">
        <v>45405</v>
      </c>
      <c r="B585" t="s">
        <v>10</v>
      </c>
      <c r="C585" t="s">
        <v>1357</v>
      </c>
      <c r="D585" s="23" t="s">
        <v>1358</v>
      </c>
      <c r="E585" t="s">
        <v>41</v>
      </c>
      <c r="F585" s="19">
        <v>57564931</v>
      </c>
      <c r="G585" s="53">
        <v>573529231651</v>
      </c>
      <c r="H585" s="52">
        <v>2172</v>
      </c>
      <c r="I585" s="5">
        <v>0.1</v>
      </c>
      <c r="J585" s="52" cm="1">
        <f t="array" ref="J58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218</v>
      </c>
      <c r="K585" s="56" t="s">
        <v>336</v>
      </c>
      <c r="L585" s="54" t="s">
        <v>76</v>
      </c>
      <c r="M585" t="s">
        <v>43</v>
      </c>
      <c r="N585" s="15" t="s">
        <v>65</v>
      </c>
      <c r="O585" s="5" t="s">
        <v>249</v>
      </c>
      <c r="P585" s="17" t="s">
        <v>69</v>
      </c>
      <c r="Q585" s="10" t="s">
        <v>1325</v>
      </c>
      <c r="R585" s="11">
        <v>45405</v>
      </c>
      <c r="S585" s="10" t="s">
        <v>48</v>
      </c>
      <c r="T585" s="3" t="str">
        <f>IF(AND(ProtocolosAF[[#This Row],[STATUS]]="APROVADO",ProtocolosAF[[#This Row],[WAIVER]]=""),"Y","")</f>
        <v/>
      </c>
      <c r="U585" t="s">
        <v>1359</v>
      </c>
      <c r="V585" s="16" t="str">
        <f t="shared" si="24"/>
        <v>WELYQDFERREIRA MICHELON/TATIANA</v>
      </c>
      <c r="W585">
        <v>526</v>
      </c>
    </row>
    <row r="586" spans="1:23" ht="16.5" hidden="1">
      <c r="A586" s="1">
        <v>45414</v>
      </c>
      <c r="B586" t="s">
        <v>10</v>
      </c>
      <c r="C586" t="s">
        <v>1360</v>
      </c>
      <c r="D586" s="69" t="s">
        <v>1361</v>
      </c>
      <c r="E586" t="s">
        <v>41</v>
      </c>
      <c r="F586" s="19">
        <v>57564931</v>
      </c>
      <c r="G586" s="53">
        <v>573529288434</v>
      </c>
      <c r="H586" s="52">
        <v>1560</v>
      </c>
      <c r="I586" s="5">
        <v>0.2</v>
      </c>
      <c r="J586" s="52" cm="1">
        <f t="array" ref="J58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312</v>
      </c>
      <c r="K586" t="s">
        <v>903</v>
      </c>
      <c r="L586" s="54" t="s">
        <v>76</v>
      </c>
      <c r="M586" t="s">
        <v>43</v>
      </c>
      <c r="N586" s="15" t="s">
        <v>65</v>
      </c>
      <c r="O586" s="5" t="s">
        <v>234</v>
      </c>
      <c r="P586" s="17" t="s">
        <v>69</v>
      </c>
      <c r="Q586" s="10" t="s">
        <v>1333</v>
      </c>
      <c r="R586" s="11">
        <v>45415</v>
      </c>
      <c r="S586" s="10" t="s">
        <v>48</v>
      </c>
      <c r="T586" s="3" t="str">
        <f>IF(AND(ProtocolosAF[[#This Row],[STATUS]]="APROVADO",ProtocolosAF[[#This Row],[WAIVER]]=""),"Y","")</f>
        <v/>
      </c>
      <c r="U586" t="s">
        <v>1362</v>
      </c>
      <c r="V586" s="16" t="str">
        <f t="shared" si="24"/>
        <v>DQRVVJESTEFAN/FERNANDO</v>
      </c>
    </row>
    <row r="587" spans="1:23" ht="16.5" hidden="1">
      <c r="A587" s="1">
        <v>45414</v>
      </c>
      <c r="B587" t="s">
        <v>10</v>
      </c>
      <c r="C587" t="s">
        <v>1363</v>
      </c>
      <c r="D587" s="70" t="s">
        <v>1364</v>
      </c>
      <c r="E587" t="s">
        <v>41</v>
      </c>
      <c r="F587" s="19">
        <v>57564931</v>
      </c>
      <c r="G587" s="53">
        <v>573529297302</v>
      </c>
      <c r="H587" s="52">
        <v>1658</v>
      </c>
      <c r="I587" s="5">
        <v>0.1</v>
      </c>
      <c r="J587" s="52" cm="1">
        <f t="array" ref="J58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166</v>
      </c>
      <c r="K587" s="56" t="s">
        <v>1365</v>
      </c>
      <c r="L587" s="54" t="s">
        <v>76</v>
      </c>
      <c r="M587" t="s">
        <v>43</v>
      </c>
      <c r="N587" s="15" t="s">
        <v>65</v>
      </c>
      <c r="O587" s="5" t="s">
        <v>167</v>
      </c>
      <c r="P587" s="17" t="s">
        <v>255</v>
      </c>
      <c r="Q587" s="10" t="s">
        <v>1366</v>
      </c>
      <c r="R587" s="11">
        <v>45414</v>
      </c>
      <c r="S587" s="10" t="s">
        <v>48</v>
      </c>
      <c r="T587" s="3" t="str">
        <f>IF(AND(ProtocolosAF[[#This Row],[STATUS]]="APROVADO",ProtocolosAF[[#This Row],[WAIVER]]=""),"Y","")</f>
        <v/>
      </c>
      <c r="U587" t="s">
        <v>1367</v>
      </c>
      <c r="V587" s="16" t="str">
        <f t="shared" si="24"/>
        <v>YOCPJFREZENDE MEDEIROS/RODRIGO</v>
      </c>
      <c r="W587">
        <v>527</v>
      </c>
    </row>
    <row r="588" spans="1:23" ht="16.5" hidden="1">
      <c r="A588" s="1">
        <v>45414</v>
      </c>
      <c r="B588" t="s">
        <v>10</v>
      </c>
      <c r="C588" t="s">
        <v>1368</v>
      </c>
      <c r="D588" s="70" t="s">
        <v>1369</v>
      </c>
      <c r="E588" t="s">
        <v>41</v>
      </c>
      <c r="F588" s="19">
        <v>57564931</v>
      </c>
      <c r="G588" s="53">
        <v>573529294510</v>
      </c>
      <c r="H588" s="52">
        <v>2524</v>
      </c>
      <c r="I588" s="5">
        <v>0.2</v>
      </c>
      <c r="J588" s="52" cm="1">
        <f t="array" ref="J58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505</v>
      </c>
      <c r="K588" s="56" t="s">
        <v>189</v>
      </c>
      <c r="L588" s="54" t="s">
        <v>76</v>
      </c>
      <c r="M588" t="s">
        <v>43</v>
      </c>
      <c r="N588" s="15" t="s">
        <v>65</v>
      </c>
      <c r="O588" s="5" t="s">
        <v>1370</v>
      </c>
      <c r="P588" s="17" t="s">
        <v>69</v>
      </c>
      <c r="Q588" s="10" t="s">
        <v>1345</v>
      </c>
      <c r="R588" s="11">
        <v>45415</v>
      </c>
      <c r="S588" s="10" t="s">
        <v>48</v>
      </c>
      <c r="T588" s="3" t="str">
        <f>IF(AND(ProtocolosAF[[#This Row],[STATUS]]="APROVADO",ProtocolosAF[[#This Row],[WAIVER]]=""),"Y","")</f>
        <v/>
      </c>
      <c r="U588" t="s">
        <v>1371</v>
      </c>
      <c r="V588" s="16" t="str">
        <f t="shared" si="24"/>
        <v>LAVXNEMATTOS ALVES/LEONARDO MR</v>
      </c>
      <c r="W588">
        <v>528</v>
      </c>
    </row>
    <row r="589" spans="1:23" ht="16.5" hidden="1">
      <c r="A589" s="1">
        <v>45414</v>
      </c>
      <c r="B589" t="s">
        <v>10</v>
      </c>
      <c r="C589" t="s">
        <v>1368</v>
      </c>
      <c r="D589" s="70" t="s">
        <v>1369</v>
      </c>
      <c r="E589" t="s">
        <v>41</v>
      </c>
      <c r="F589" s="19">
        <v>57564931</v>
      </c>
      <c r="G589" s="53">
        <v>573529294511</v>
      </c>
      <c r="H589" s="52">
        <v>2524</v>
      </c>
      <c r="I589" s="5">
        <v>0.2</v>
      </c>
      <c r="J589" s="52" cm="1">
        <f t="array" ref="J58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505</v>
      </c>
      <c r="K589" s="56" t="s">
        <v>189</v>
      </c>
      <c r="L589" s="54" t="s">
        <v>76</v>
      </c>
      <c r="M589" t="s">
        <v>43</v>
      </c>
      <c r="N589" s="15" t="s">
        <v>65</v>
      </c>
      <c r="O589" s="5" t="s">
        <v>1370</v>
      </c>
      <c r="P589" s="17" t="s">
        <v>69</v>
      </c>
      <c r="Q589" s="10" t="s">
        <v>1345</v>
      </c>
      <c r="R589" s="11">
        <v>45415</v>
      </c>
      <c r="S589" s="10" t="s">
        <v>48</v>
      </c>
      <c r="T589" s="3" t="str">
        <f>IF(AND(ProtocolosAF[[#This Row],[STATUS]]="APROVADO",ProtocolosAF[[#This Row],[WAIVER]]=""),"Y","")</f>
        <v/>
      </c>
      <c r="U589" t="s">
        <v>1372</v>
      </c>
      <c r="V589" s="16" t="str">
        <f t="shared" si="24"/>
        <v>LAVXNEPINHEIRO/MARCO ANTONIO MR</v>
      </c>
      <c r="W589">
        <v>528</v>
      </c>
    </row>
    <row r="590" spans="1:23" ht="16.5" hidden="1">
      <c r="A590" s="1">
        <v>45415</v>
      </c>
      <c r="B590" t="s">
        <v>13</v>
      </c>
      <c r="C590" t="s">
        <v>1373</v>
      </c>
      <c r="D590" s="70" t="s">
        <v>1374</v>
      </c>
      <c r="E590" t="s">
        <v>41</v>
      </c>
      <c r="F590" s="19">
        <v>57564931</v>
      </c>
      <c r="G590" s="53">
        <v>573529282758</v>
      </c>
      <c r="H590" s="52">
        <v>1788</v>
      </c>
      <c r="I590" s="5">
        <v>7.0000000000000007E-2</v>
      </c>
      <c r="J590" s="52" cm="1">
        <f t="array" ref="J59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126</v>
      </c>
      <c r="K590" s="56" t="s">
        <v>1355</v>
      </c>
      <c r="L590" s="54" t="s">
        <v>66</v>
      </c>
      <c r="M590" t="s">
        <v>43</v>
      </c>
      <c r="N590" s="15" t="s">
        <v>151</v>
      </c>
      <c r="O590" s="5" t="s">
        <v>130</v>
      </c>
      <c r="P590" s="17" t="s">
        <v>69</v>
      </c>
      <c r="Q590" s="10" t="s">
        <v>168</v>
      </c>
      <c r="R590" s="11">
        <v>45415</v>
      </c>
      <c r="S590" s="10" t="s">
        <v>48</v>
      </c>
      <c r="T590" s="3" t="str">
        <f>IF(AND(ProtocolosAF[[#This Row],[STATUS]]="APROVADO",ProtocolosAF[[#This Row],[WAIVER]]=""),"Y","")</f>
        <v/>
      </c>
      <c r="U590" t="s">
        <v>1375</v>
      </c>
      <c r="V590" s="16" t="str">
        <f t="shared" si="24"/>
        <v>OJNSKRSANTIAGO D OLIVEIRA/JEFFERSON</v>
      </c>
      <c r="W590">
        <v>529</v>
      </c>
    </row>
    <row r="591" spans="1:23" ht="16.5" hidden="1">
      <c r="A591" s="1">
        <v>45415</v>
      </c>
      <c r="B591" t="s">
        <v>13</v>
      </c>
      <c r="C591" t="s">
        <v>1376</v>
      </c>
      <c r="D591" s="70" t="s">
        <v>1377</v>
      </c>
      <c r="E591" t="s">
        <v>41</v>
      </c>
      <c r="F591" s="19">
        <v>57564931</v>
      </c>
      <c r="G591" s="53">
        <v>573529284509</v>
      </c>
      <c r="H591" s="52">
        <v>1854</v>
      </c>
      <c r="I591" s="5">
        <v>7.0000000000000007E-2</v>
      </c>
      <c r="J591" s="52" cm="1">
        <f t="array" ref="J59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130</v>
      </c>
      <c r="K591" s="56" t="s">
        <v>1355</v>
      </c>
      <c r="L591" s="54" t="s">
        <v>66</v>
      </c>
      <c r="M591" t="s">
        <v>43</v>
      </c>
      <c r="N591" s="15" t="s">
        <v>151</v>
      </c>
      <c r="O591" s="5" t="s">
        <v>130</v>
      </c>
      <c r="P591" s="17" t="s">
        <v>69</v>
      </c>
      <c r="Q591" s="10" t="s">
        <v>168</v>
      </c>
      <c r="R591" s="11">
        <v>45415</v>
      </c>
      <c r="S591" s="10" t="s">
        <v>48</v>
      </c>
      <c r="T591" s="3" t="str">
        <f>IF(AND(ProtocolosAF[[#This Row],[STATUS]]="APROVADO",ProtocolosAF[[#This Row],[WAIVER]]=""),"Y","")</f>
        <v/>
      </c>
      <c r="U591" t="s">
        <v>1378</v>
      </c>
      <c r="V591" s="16" t="str">
        <f t="shared" si="24"/>
        <v>SJMZDCLUZ PENZ/GUSTAVO</v>
      </c>
      <c r="W591">
        <v>530</v>
      </c>
    </row>
    <row r="592" spans="1:23" ht="16.5" hidden="1">
      <c r="A592" s="1">
        <v>45415</v>
      </c>
      <c r="B592" t="s">
        <v>13</v>
      </c>
      <c r="C592" t="s">
        <v>1379</v>
      </c>
      <c r="D592" s="70" t="s">
        <v>1379</v>
      </c>
      <c r="E592" t="s">
        <v>41</v>
      </c>
      <c r="F592" s="19">
        <v>57564931</v>
      </c>
      <c r="G592" s="53">
        <v>573045853536</v>
      </c>
      <c r="H592" s="52">
        <v>1555</v>
      </c>
      <c r="I592" s="5">
        <v>7.0000000000000007E-2</v>
      </c>
      <c r="J592" s="52" cm="1">
        <f t="array" ref="J59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109</v>
      </c>
      <c r="K592" s="56" t="s">
        <v>151</v>
      </c>
      <c r="L592" s="54" t="s">
        <v>76</v>
      </c>
      <c r="M592" t="s">
        <v>43</v>
      </c>
      <c r="N592" s="15" t="s">
        <v>151</v>
      </c>
      <c r="O592" s="5" t="s">
        <v>190</v>
      </c>
      <c r="P592" s="17" t="s">
        <v>69</v>
      </c>
      <c r="Q592" s="10" t="s">
        <v>168</v>
      </c>
      <c r="R592" s="11">
        <v>45415</v>
      </c>
      <c r="S592" s="10" t="s">
        <v>48</v>
      </c>
      <c r="T592" s="3" t="str">
        <f>IF(AND(ProtocolosAF[[#This Row],[STATUS]]="APROVADO",ProtocolosAF[[#This Row],[WAIVER]]=""),"Y","")</f>
        <v/>
      </c>
      <c r="U592" t="s">
        <v>1380</v>
      </c>
      <c r="V592" s="16" t="str">
        <f t="shared" si="24"/>
        <v>25JBGHPINHO DE BARROS/RAISA MRS</v>
      </c>
      <c r="W592">
        <v>532</v>
      </c>
    </row>
    <row r="593" spans="1:23" ht="16.5" hidden="1">
      <c r="A593" s="1">
        <v>45415</v>
      </c>
      <c r="B593" t="s">
        <v>13</v>
      </c>
      <c r="C593" t="s">
        <v>1381</v>
      </c>
      <c r="D593" s="70" t="s">
        <v>1382</v>
      </c>
      <c r="E593" t="s">
        <v>41</v>
      </c>
      <c r="F593" s="19">
        <v>57564931</v>
      </c>
      <c r="G593" s="53">
        <v>573529310391</v>
      </c>
      <c r="H593" s="52">
        <v>1623</v>
      </c>
      <c r="I593" s="5">
        <v>7.0000000000000007E-2</v>
      </c>
      <c r="J593" s="52" cm="1">
        <f t="array" ref="J59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114</v>
      </c>
      <c r="K593" s="56" t="s">
        <v>151</v>
      </c>
      <c r="L593" s="54" t="s">
        <v>76</v>
      </c>
      <c r="M593" t="s">
        <v>43</v>
      </c>
      <c r="N593" s="15" t="s">
        <v>151</v>
      </c>
      <c r="O593" s="5" t="s">
        <v>190</v>
      </c>
      <c r="P593" s="17" t="s">
        <v>69</v>
      </c>
      <c r="Q593" s="10" t="s">
        <v>168</v>
      </c>
      <c r="R593" s="11">
        <v>45415</v>
      </c>
      <c r="S593" s="10" t="s">
        <v>48</v>
      </c>
      <c r="T593" s="3" t="str">
        <f>IF(AND(ProtocolosAF[[#This Row],[STATUS]]="APROVADO",ProtocolosAF[[#This Row],[WAIVER]]=""),"Y","")</f>
        <v/>
      </c>
      <c r="U593" t="s">
        <v>1383</v>
      </c>
      <c r="V593" s="16" t="str">
        <f t="shared" si="24"/>
        <v>MZQBKKPEREIRA DOS SANTOS/RENAN MR</v>
      </c>
      <c r="W593">
        <v>533</v>
      </c>
    </row>
    <row r="594" spans="1:23" ht="16.5" hidden="1">
      <c r="A594" s="1">
        <v>45420</v>
      </c>
      <c r="B594" t="s">
        <v>14</v>
      </c>
      <c r="C594" t="s">
        <v>1384</v>
      </c>
      <c r="D594" s="70" t="s">
        <v>1384</v>
      </c>
      <c r="E594" t="s">
        <v>41</v>
      </c>
      <c r="F594" s="19"/>
      <c r="G594" s="53"/>
      <c r="H594" s="52">
        <v>4891</v>
      </c>
      <c r="I594" s="5">
        <v>0.1</v>
      </c>
      <c r="J594" s="52" t="str" cm="1">
        <f t="array" ref="J59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94" s="56" t="s">
        <v>1095</v>
      </c>
      <c r="L594" s="54" t="s">
        <v>1385</v>
      </c>
      <c r="M594" t="s">
        <v>100</v>
      </c>
      <c r="N594" s="15" t="s">
        <v>1089</v>
      </c>
      <c r="O594" s="5" t="s">
        <v>152</v>
      </c>
      <c r="P594" s="17" t="s">
        <v>46</v>
      </c>
      <c r="Q594" s="10"/>
      <c r="R594" s="11"/>
      <c r="S594" s="10"/>
      <c r="T594" s="3" t="str">
        <f>IF(AND(ProtocolosAF[[#This Row],[STATUS]]="APROVADO",ProtocolosAF[[#This Row],[WAIVER]]=""),"Y","")</f>
        <v/>
      </c>
      <c r="U594" t="s">
        <v>1386</v>
      </c>
      <c r="V594" s="16" t="str">
        <f t="shared" si="24"/>
        <v>2T5HNWDEUCHER NETO/GUILHERME PAULO</v>
      </c>
      <c r="W594">
        <v>537</v>
      </c>
    </row>
    <row r="595" spans="1:23" ht="16.5" hidden="1">
      <c r="A595" s="1">
        <v>45420</v>
      </c>
      <c r="B595" t="s">
        <v>14</v>
      </c>
      <c r="C595" t="s">
        <v>1384</v>
      </c>
      <c r="D595" s="70" t="s">
        <v>1384</v>
      </c>
      <c r="E595" t="s">
        <v>41</v>
      </c>
      <c r="F595" s="19"/>
      <c r="G595" s="53"/>
      <c r="H595" s="52">
        <v>4891</v>
      </c>
      <c r="I595" s="5">
        <v>0.1</v>
      </c>
      <c r="J595" s="52" t="str" cm="1">
        <f t="array" ref="J59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595" s="56" t="s">
        <v>1095</v>
      </c>
      <c r="L595" s="54" t="s">
        <v>1385</v>
      </c>
      <c r="M595" t="s">
        <v>100</v>
      </c>
      <c r="N595" s="15" t="s">
        <v>1089</v>
      </c>
      <c r="O595" s="5" t="s">
        <v>152</v>
      </c>
      <c r="P595" s="17" t="s">
        <v>46</v>
      </c>
      <c r="Q595" s="10"/>
      <c r="R595" s="11"/>
      <c r="S595" s="10"/>
      <c r="T595" s="3" t="str">
        <f>IF(AND(ProtocolosAF[[#This Row],[STATUS]]="APROVADO",ProtocolosAF[[#This Row],[WAIVER]]=""),"Y","")</f>
        <v/>
      </c>
      <c r="U595" t="s">
        <v>1387</v>
      </c>
      <c r="V595" s="16" t="str">
        <f t="shared" si="24"/>
        <v xml:space="preserve">2T5HNWESPER RUSSEL/JULIANA </v>
      </c>
      <c r="W595">
        <v>537</v>
      </c>
    </row>
    <row r="596" spans="1:23" ht="16.5" hidden="1">
      <c r="A596" s="1">
        <v>45433</v>
      </c>
      <c r="B596" t="s">
        <v>9</v>
      </c>
      <c r="C596" t="s">
        <v>1388</v>
      </c>
      <c r="D596" s="70" t="s">
        <v>1388</v>
      </c>
      <c r="E596" t="s">
        <v>73</v>
      </c>
      <c r="F596" s="19">
        <v>57994602</v>
      </c>
      <c r="G596" s="53">
        <v>574207249301</v>
      </c>
      <c r="H596" s="52">
        <v>110</v>
      </c>
      <c r="I596" s="5" t="s">
        <v>74</v>
      </c>
      <c r="J596" s="52" cm="1">
        <f t="array" ref="J59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110</v>
      </c>
      <c r="K596" s="56" t="s">
        <v>1389</v>
      </c>
      <c r="L596" s="54" t="s">
        <v>529</v>
      </c>
      <c r="M596" t="s">
        <v>43</v>
      </c>
      <c r="N596" s="15" t="s">
        <v>42</v>
      </c>
      <c r="O596" s="5" t="s">
        <v>78</v>
      </c>
      <c r="P596" s="17" t="s">
        <v>46</v>
      </c>
      <c r="Q596" s="10" t="s">
        <v>250</v>
      </c>
      <c r="R596" s="11">
        <v>45435</v>
      </c>
      <c r="S596" s="10" t="s">
        <v>173</v>
      </c>
      <c r="T596" s="3" t="str">
        <f>IF(AND(ProtocolosAF[[#This Row],[STATUS]]="APROVADO",ProtocolosAF[[#This Row],[WAIVER]]=""),"Y","")</f>
        <v/>
      </c>
      <c r="U596" t="s">
        <v>1390</v>
      </c>
      <c r="V596" s="16" t="str">
        <f t="shared" si="24"/>
        <v>4NO4DVORMENESE ALTIERI/ELAINE CRISTINA</v>
      </c>
      <c r="W596">
        <v>544</v>
      </c>
    </row>
    <row r="597" spans="1:23" ht="16.5" hidden="1">
      <c r="A597" s="1">
        <v>45435</v>
      </c>
      <c r="B597" t="s">
        <v>10</v>
      </c>
      <c r="C597" t="s">
        <v>1391</v>
      </c>
      <c r="D597" s="70" t="s">
        <v>1392</v>
      </c>
      <c r="E597" t="s">
        <v>41</v>
      </c>
      <c r="F597" s="19">
        <v>57564931</v>
      </c>
      <c r="G597" s="53">
        <v>573529456152</v>
      </c>
      <c r="H597" s="52">
        <v>4163</v>
      </c>
      <c r="I597" s="5">
        <v>0.06</v>
      </c>
      <c r="J597" s="52" cm="1">
        <f t="array" ref="J59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250</v>
      </c>
      <c r="K597" s="56" t="s">
        <v>345</v>
      </c>
      <c r="L597" s="54" t="s">
        <v>76</v>
      </c>
      <c r="M597" t="s">
        <v>43</v>
      </c>
      <c r="N597" s="15" t="s">
        <v>1129</v>
      </c>
      <c r="O597" s="5" t="s">
        <v>167</v>
      </c>
      <c r="P597" s="17" t="s">
        <v>255</v>
      </c>
      <c r="Q597" s="10" t="s">
        <v>1341</v>
      </c>
      <c r="R597" s="11">
        <v>45436</v>
      </c>
      <c r="S597" s="10" t="s">
        <v>48</v>
      </c>
      <c r="T597" s="3" t="str">
        <f>IF(AND(ProtocolosAF[[#This Row],[STATUS]]="APROVADO",ProtocolosAF[[#This Row],[WAIVER]]=""),"Y","")</f>
        <v/>
      </c>
      <c r="U597" t="s">
        <v>1393</v>
      </c>
      <c r="V597" s="16" t="str">
        <f t="shared" si="24"/>
        <v>IPIICOSCARTEZZINI/MILLA MRS</v>
      </c>
      <c r="W597">
        <v>547</v>
      </c>
    </row>
    <row r="598" spans="1:23" ht="16.5" hidden="1">
      <c r="A598" s="1">
        <v>45435</v>
      </c>
      <c r="B598" t="s">
        <v>10</v>
      </c>
      <c r="C598" t="s">
        <v>1394</v>
      </c>
      <c r="D598" s="70" t="s">
        <v>1395</v>
      </c>
      <c r="E598" t="s">
        <v>41</v>
      </c>
      <c r="F598" s="19">
        <v>57564931</v>
      </c>
      <c r="G598" s="53">
        <v>573529453498</v>
      </c>
      <c r="H598" s="52">
        <v>4163</v>
      </c>
      <c r="I598" s="5">
        <v>0.06</v>
      </c>
      <c r="J598" s="52" cm="1">
        <f t="array" ref="J59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250</v>
      </c>
      <c r="K598" s="56" t="s">
        <v>345</v>
      </c>
      <c r="L598" s="54" t="s">
        <v>76</v>
      </c>
      <c r="M598" t="s">
        <v>43</v>
      </c>
      <c r="N598" s="15" t="s">
        <v>1129</v>
      </c>
      <c r="O598" s="5" t="s">
        <v>167</v>
      </c>
      <c r="P598" s="17" t="s">
        <v>255</v>
      </c>
      <c r="Q598" s="10" t="s">
        <v>1341</v>
      </c>
      <c r="R598" s="11">
        <v>45436</v>
      </c>
      <c r="S598" s="10" t="s">
        <v>48</v>
      </c>
      <c r="T598" s="3" t="str">
        <f>IF(AND(ProtocolosAF[[#This Row],[STATUS]]="APROVADO",ProtocolosAF[[#This Row],[WAIVER]]=""),"Y","")</f>
        <v/>
      </c>
      <c r="U598" t="s">
        <v>1396</v>
      </c>
      <c r="V598" s="16" t="str">
        <f t="shared" si="24"/>
        <v>FBQVAEBRANDAO/ANA CLAUDIA MRS</v>
      </c>
      <c r="W598">
        <v>548</v>
      </c>
    </row>
    <row r="599" spans="1:23" ht="16.5" hidden="1">
      <c r="A599" s="1">
        <v>45435</v>
      </c>
      <c r="B599" t="s">
        <v>10</v>
      </c>
      <c r="C599" t="s">
        <v>1397</v>
      </c>
      <c r="D599" s="70" t="s">
        <v>1398</v>
      </c>
      <c r="E599" t="s">
        <v>41</v>
      </c>
      <c r="F599" s="19">
        <v>57564931</v>
      </c>
      <c r="G599" s="53">
        <v>573529453499</v>
      </c>
      <c r="H599" s="52">
        <v>4163</v>
      </c>
      <c r="I599" s="5">
        <v>0.06</v>
      </c>
      <c r="J599" s="52" cm="1">
        <f t="array" ref="J59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250</v>
      </c>
      <c r="K599" s="56" t="s">
        <v>345</v>
      </c>
      <c r="L599" s="54" t="s">
        <v>76</v>
      </c>
      <c r="M599" t="s">
        <v>43</v>
      </c>
      <c r="N599" s="15" t="s">
        <v>1129</v>
      </c>
      <c r="O599" s="5" t="s">
        <v>167</v>
      </c>
      <c r="P599" s="17" t="s">
        <v>255</v>
      </c>
      <c r="Q599" s="10" t="s">
        <v>1341</v>
      </c>
      <c r="R599" s="11">
        <v>45436</v>
      </c>
      <c r="S599" s="10" t="s">
        <v>48</v>
      </c>
      <c r="T599" s="3" t="str">
        <f>IF(AND(ProtocolosAF[[#This Row],[STATUS]]="APROVADO",ProtocolosAF[[#This Row],[WAIVER]]=""),"Y","")</f>
        <v/>
      </c>
      <c r="U599" t="s">
        <v>1399</v>
      </c>
      <c r="V599" s="16" t="str">
        <f t="shared" si="24"/>
        <v>EFURWZSTEINMAN/DEBORA MRS</v>
      </c>
      <c r="W599">
        <v>549</v>
      </c>
    </row>
    <row r="600" spans="1:23" ht="16.5" hidden="1">
      <c r="A600" s="1">
        <v>45435</v>
      </c>
      <c r="B600" t="s">
        <v>10</v>
      </c>
      <c r="C600" t="s">
        <v>1400</v>
      </c>
      <c r="D600" s="70" t="s">
        <v>1401</v>
      </c>
      <c r="E600" t="s">
        <v>41</v>
      </c>
      <c r="F600" s="19">
        <v>57564931</v>
      </c>
      <c r="G600" s="53">
        <v>573529453494</v>
      </c>
      <c r="H600" s="52">
        <v>3453</v>
      </c>
      <c r="I600" s="5">
        <v>0.06</v>
      </c>
      <c r="J600" s="52" cm="1">
        <f t="array" ref="J60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208</v>
      </c>
      <c r="K600" s="56" t="s">
        <v>306</v>
      </c>
      <c r="L600" s="54" t="s">
        <v>76</v>
      </c>
      <c r="M600" t="s">
        <v>43</v>
      </c>
      <c r="N600" s="15" t="s">
        <v>1129</v>
      </c>
      <c r="O600" s="5" t="s">
        <v>376</v>
      </c>
      <c r="P600" s="17" t="s">
        <v>69</v>
      </c>
      <c r="Q600" s="10" t="s">
        <v>1402</v>
      </c>
      <c r="R600" s="11">
        <v>45435</v>
      </c>
      <c r="S600" s="10" t="s">
        <v>48</v>
      </c>
      <c r="T600" s="3" t="str">
        <f>IF(AND(ProtocolosAF[[#This Row],[STATUS]]="APROVADO",ProtocolosAF[[#This Row],[WAIVER]]=""),"Y","")</f>
        <v/>
      </c>
      <c r="U600" t="s">
        <v>1403</v>
      </c>
      <c r="V600" s="16" t="str">
        <f t="shared" si="24"/>
        <v>EKBWJFAGUIAR/EDSON MR</v>
      </c>
      <c r="W600">
        <v>550</v>
      </c>
    </row>
    <row r="601" spans="1:23" ht="16.5" hidden="1">
      <c r="A601" s="1">
        <v>45435</v>
      </c>
      <c r="B601" t="s">
        <v>10</v>
      </c>
      <c r="C601" t="s">
        <v>1404</v>
      </c>
      <c r="D601" s="70" t="s">
        <v>1405</v>
      </c>
      <c r="E601" t="s">
        <v>41</v>
      </c>
      <c r="F601" s="19">
        <v>57564931</v>
      </c>
      <c r="G601" s="53">
        <v>573529456102</v>
      </c>
      <c r="H601" s="52">
        <v>1289</v>
      </c>
      <c r="I601" s="5">
        <v>0.09</v>
      </c>
      <c r="J601" s="52" cm="1">
        <f t="array" ref="J60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117</v>
      </c>
      <c r="K601" s="56" t="s">
        <v>306</v>
      </c>
      <c r="L601" s="54" t="s">
        <v>76</v>
      </c>
      <c r="M601" t="s">
        <v>43</v>
      </c>
      <c r="N601" s="15" t="s">
        <v>1129</v>
      </c>
      <c r="O601" s="5" t="s">
        <v>376</v>
      </c>
      <c r="P601" s="17" t="s">
        <v>69</v>
      </c>
      <c r="Q601" s="10" t="s">
        <v>1402</v>
      </c>
      <c r="R601" s="11">
        <v>45435</v>
      </c>
      <c r="S601" s="10" t="s">
        <v>48</v>
      </c>
      <c r="T601" s="3" t="str">
        <f>IF(AND(ProtocolosAF[[#This Row],[STATUS]]="APROVADO",ProtocolosAF[[#This Row],[WAIVER]]=""),"Y","")</f>
        <v/>
      </c>
      <c r="U601" t="s">
        <v>1406</v>
      </c>
      <c r="V601" s="16" t="str">
        <f t="shared" si="24"/>
        <v>SHQQHRBRITO DA FONSECA/BRUNA MRS</v>
      </c>
      <c r="W601">
        <v>552</v>
      </c>
    </row>
    <row r="602" spans="1:23" ht="16.5" hidden="1">
      <c r="A602" s="1">
        <v>45435</v>
      </c>
      <c r="B602" t="s">
        <v>10</v>
      </c>
      <c r="C602" t="s">
        <v>1407</v>
      </c>
      <c r="D602" s="70" t="s">
        <v>1408</v>
      </c>
      <c r="E602" t="s">
        <v>41</v>
      </c>
      <c r="F602" s="19">
        <v>57564931</v>
      </c>
      <c r="G602" s="53">
        <v>573529456101</v>
      </c>
      <c r="H602" s="52">
        <v>1757</v>
      </c>
      <c r="I602" s="5">
        <v>0.09</v>
      </c>
      <c r="J602" s="52" cm="1">
        <f t="array" ref="J60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159</v>
      </c>
      <c r="K602" s="56" t="s">
        <v>306</v>
      </c>
      <c r="L602" s="54" t="s">
        <v>76</v>
      </c>
      <c r="M602" t="s">
        <v>43</v>
      </c>
      <c r="N602" s="15" t="s">
        <v>1129</v>
      </c>
      <c r="O602" s="5" t="s">
        <v>376</v>
      </c>
      <c r="P602" s="17" t="s">
        <v>69</v>
      </c>
      <c r="Q602" s="10" t="s">
        <v>1402</v>
      </c>
      <c r="R602" s="11">
        <v>45435</v>
      </c>
      <c r="S602" s="10" t="s">
        <v>48</v>
      </c>
      <c r="T602" s="3" t="str">
        <f>IF(AND(ProtocolosAF[[#This Row],[STATUS]]="APROVADO",ProtocolosAF[[#This Row],[WAIVER]]=""),"Y","")</f>
        <v/>
      </c>
      <c r="U602" t="s">
        <v>1409</v>
      </c>
      <c r="V602" s="16" t="str">
        <f t="shared" si="24"/>
        <v>OCUSDBDIAS/FRANCIANO MR</v>
      </c>
      <c r="W602">
        <v>551</v>
      </c>
    </row>
    <row r="603" spans="1:23" ht="16.5" hidden="1">
      <c r="A603" s="1">
        <v>45435</v>
      </c>
      <c r="B603" t="s">
        <v>10</v>
      </c>
      <c r="C603" t="s">
        <v>1410</v>
      </c>
      <c r="D603" s="70" t="s">
        <v>1411</v>
      </c>
      <c r="E603" t="s">
        <v>41</v>
      </c>
      <c r="F603" s="19">
        <v>57564931</v>
      </c>
      <c r="G603" s="53">
        <v>573529456150</v>
      </c>
      <c r="H603" s="52">
        <v>1289</v>
      </c>
      <c r="I603" s="5">
        <v>0.09</v>
      </c>
      <c r="J603" s="52" cm="1">
        <f t="array" ref="J60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117</v>
      </c>
      <c r="K603" s="56" t="s">
        <v>306</v>
      </c>
      <c r="L603" s="54" t="s">
        <v>76</v>
      </c>
      <c r="M603" t="s">
        <v>43</v>
      </c>
      <c r="N603" s="15" t="s">
        <v>1129</v>
      </c>
      <c r="O603" s="5" t="s">
        <v>376</v>
      </c>
      <c r="P603" s="17" t="s">
        <v>69</v>
      </c>
      <c r="Q603" s="10" t="s">
        <v>1402</v>
      </c>
      <c r="R603" s="11">
        <v>45435</v>
      </c>
      <c r="S603" s="10" t="s">
        <v>48</v>
      </c>
      <c r="T603" s="3" t="str">
        <f>IF(AND(ProtocolosAF[[#This Row],[STATUS]]="APROVADO",ProtocolosAF[[#This Row],[WAIVER]]=""),"Y","")</f>
        <v/>
      </c>
      <c r="U603" t="s">
        <v>1412</v>
      </c>
      <c r="V603" s="16" t="str">
        <f t="shared" si="24"/>
        <v>YQCWZWCOUTINHO DA SILVA/RICARDO MR</v>
      </c>
      <c r="W603">
        <v>553</v>
      </c>
    </row>
    <row r="604" spans="1:23" hidden="1">
      <c r="A604" s="1">
        <v>45435</v>
      </c>
      <c r="B604" t="s">
        <v>10</v>
      </c>
      <c r="C604" t="s">
        <v>1413</v>
      </c>
      <c r="D604" s="71" t="s">
        <v>1414</v>
      </c>
      <c r="E604" t="s">
        <v>41</v>
      </c>
      <c r="F604" s="19">
        <v>57564931</v>
      </c>
      <c r="G604" s="53">
        <v>573529456103</v>
      </c>
      <c r="H604" s="52">
        <v>1289</v>
      </c>
      <c r="I604" s="5">
        <v>0.09</v>
      </c>
      <c r="J604" s="52" cm="1">
        <f t="array" ref="J60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117</v>
      </c>
      <c r="K604" s="56" t="s">
        <v>306</v>
      </c>
      <c r="L604" s="54" t="s">
        <v>76</v>
      </c>
      <c r="M604" t="s">
        <v>43</v>
      </c>
      <c r="N604" s="15" t="s">
        <v>1129</v>
      </c>
      <c r="O604" s="5" t="s">
        <v>376</v>
      </c>
      <c r="P604" s="17" t="s">
        <v>69</v>
      </c>
      <c r="Q604" s="10" t="s">
        <v>1402</v>
      </c>
      <c r="R604" s="11">
        <v>45435</v>
      </c>
      <c r="S604" s="10" t="s">
        <v>48</v>
      </c>
      <c r="T604" s="3" t="str">
        <f>IF(AND(ProtocolosAF[[#This Row],[STATUS]]="APROVADO",ProtocolosAF[[#This Row],[WAIVER]]=""),"Y","")</f>
        <v/>
      </c>
      <c r="U604" t="s">
        <v>1415</v>
      </c>
      <c r="V604" s="16" t="str">
        <f t="shared" si="24"/>
        <v>EMFIRWTAVEIRA TAVARES/DELORME JOSE</v>
      </c>
    </row>
    <row r="605" spans="1:23" hidden="1">
      <c r="A605" s="1">
        <v>45435</v>
      </c>
      <c r="B605" t="s">
        <v>10</v>
      </c>
      <c r="C605" t="s">
        <v>1416</v>
      </c>
      <c r="D605" s="72" t="s">
        <v>1417</v>
      </c>
      <c r="E605" t="s">
        <v>41</v>
      </c>
      <c r="F605" s="19">
        <v>57564931</v>
      </c>
      <c r="G605" s="53">
        <v>573529458272</v>
      </c>
      <c r="H605" s="52">
        <v>2247</v>
      </c>
      <c r="I605" s="5">
        <v>0.09</v>
      </c>
      <c r="J605" s="52" cm="1">
        <f t="array" ref="J60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203</v>
      </c>
      <c r="K605" s="56" t="s">
        <v>105</v>
      </c>
      <c r="L605" s="54" t="s">
        <v>66</v>
      </c>
      <c r="M605" t="s">
        <v>43</v>
      </c>
      <c r="N605" s="15" t="s">
        <v>65</v>
      </c>
      <c r="O605" s="5" t="s">
        <v>140</v>
      </c>
      <c r="P605" s="17" t="s">
        <v>46</v>
      </c>
      <c r="Q605" s="10" t="s">
        <v>1418</v>
      </c>
      <c r="R605" s="11">
        <v>45435</v>
      </c>
      <c r="S605" s="10" t="s">
        <v>48</v>
      </c>
      <c r="T605" s="3" t="str">
        <f>IF(AND(ProtocolosAF[[#This Row],[STATUS]]="APROVADO",ProtocolosAF[[#This Row],[WAIVER]]=""),"Y","")</f>
        <v/>
      </c>
      <c r="U605" t="s">
        <v>1419</v>
      </c>
      <c r="V605" s="16" t="str">
        <f t="shared" si="24"/>
        <v>NDJFVGPOUSADA/ISABELA</v>
      </c>
      <c r="W605">
        <v>555</v>
      </c>
    </row>
    <row r="606" spans="1:23" hidden="1">
      <c r="A606" s="1">
        <v>45439</v>
      </c>
      <c r="B606" t="s">
        <v>10</v>
      </c>
      <c r="C606" t="s">
        <v>1420</v>
      </c>
      <c r="D606" s="72" t="s">
        <v>1421</v>
      </c>
      <c r="E606" t="s">
        <v>73</v>
      </c>
      <c r="F606" s="19">
        <v>57564931</v>
      </c>
      <c r="G606" s="53">
        <v>574207249316</v>
      </c>
      <c r="H606" s="52">
        <v>178</v>
      </c>
      <c r="I606" s="5" t="s">
        <v>74</v>
      </c>
      <c r="J606" s="52" cm="1">
        <f t="array" ref="J60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</v>
      </c>
      <c r="K606" s="56" t="s">
        <v>189</v>
      </c>
      <c r="L606" s="54" t="s">
        <v>76</v>
      </c>
      <c r="M606" t="s">
        <v>43</v>
      </c>
      <c r="N606" s="15" t="s">
        <v>65</v>
      </c>
      <c r="O606" s="5" t="s">
        <v>152</v>
      </c>
      <c r="P606" s="17" t="s">
        <v>69</v>
      </c>
      <c r="Q606" s="10" t="s">
        <v>1345</v>
      </c>
      <c r="R606" s="11">
        <v>45443</v>
      </c>
      <c r="S606" s="10" t="s">
        <v>173</v>
      </c>
      <c r="T606" s="3" t="str">
        <f>IF(AND(ProtocolosAF[[#This Row],[STATUS]]="APROVADO",ProtocolosAF[[#This Row],[WAIVER]]=""),"Y","")</f>
        <v/>
      </c>
      <c r="U606" t="s">
        <v>1422</v>
      </c>
      <c r="V606" s="16" t="str">
        <f t="shared" si="24"/>
        <v>SLJRYHMALUF FILHO/FAUZE MR</v>
      </c>
      <c r="W606">
        <v>556</v>
      </c>
    </row>
    <row r="607" spans="1:23" hidden="1">
      <c r="A607" s="1">
        <v>45440</v>
      </c>
      <c r="B607" t="s">
        <v>10</v>
      </c>
      <c r="C607" t="s">
        <v>1423</v>
      </c>
      <c r="D607" s="72" t="s">
        <v>1424</v>
      </c>
      <c r="E607" t="s">
        <v>73</v>
      </c>
      <c r="F607" s="19">
        <v>57564931</v>
      </c>
      <c r="G607" s="53">
        <v>570574207249</v>
      </c>
      <c r="H607" s="52">
        <v>178</v>
      </c>
      <c r="I607" s="5" t="s">
        <v>74</v>
      </c>
      <c r="J607" s="52" cm="1">
        <f t="array" ref="J60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</v>
      </c>
      <c r="K607" s="56" t="s">
        <v>1129</v>
      </c>
      <c r="L607" s="54" t="s">
        <v>172</v>
      </c>
      <c r="M607" t="s">
        <v>43</v>
      </c>
      <c r="N607" s="15" t="s">
        <v>1129</v>
      </c>
      <c r="O607" s="5" t="s">
        <v>78</v>
      </c>
      <c r="P607" s="17" t="s">
        <v>146</v>
      </c>
      <c r="Q607" s="10" t="s">
        <v>1345</v>
      </c>
      <c r="R607" s="11">
        <v>45443</v>
      </c>
      <c r="S607" s="10" t="s">
        <v>173</v>
      </c>
      <c r="T607" s="3" t="str">
        <f>IF(AND(ProtocolosAF[[#This Row],[STATUS]]="APROVADO",ProtocolosAF[[#This Row],[WAIVER]]=""),"Y","")</f>
        <v/>
      </c>
      <c r="U607" t="s">
        <v>1425</v>
      </c>
      <c r="V607" s="16" t="str">
        <f t="shared" si="24"/>
        <v>EJKYGKFERREIRA VAZ ZANARDO/ALESSANDRA</v>
      </c>
      <c r="W607">
        <v>558</v>
      </c>
    </row>
    <row r="608" spans="1:23" hidden="1">
      <c r="A608" s="1">
        <v>45447</v>
      </c>
      <c r="B608" t="s">
        <v>15</v>
      </c>
      <c r="C608" t="s">
        <v>1426</v>
      </c>
      <c r="D608" s="72" t="s">
        <v>1426</v>
      </c>
      <c r="E608" t="s">
        <v>41</v>
      </c>
      <c r="F608" s="19">
        <v>57564931</v>
      </c>
      <c r="G608" s="53">
        <v>573046094491</v>
      </c>
      <c r="H608" s="52">
        <v>952</v>
      </c>
      <c r="I608" s="5">
        <v>0.08</v>
      </c>
      <c r="J608" s="52" cm="1">
        <f t="array" ref="J60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77</v>
      </c>
      <c r="K608" s="56" t="s">
        <v>1293</v>
      </c>
      <c r="L608" s="54" t="s">
        <v>76</v>
      </c>
      <c r="M608" t="s">
        <v>43</v>
      </c>
      <c r="N608" s="15" t="s">
        <v>1155</v>
      </c>
      <c r="O608" s="5" t="s">
        <v>1283</v>
      </c>
      <c r="P608" s="17" t="s">
        <v>46</v>
      </c>
      <c r="Q608" s="10" t="s">
        <v>1298</v>
      </c>
      <c r="R608" s="11">
        <v>45449</v>
      </c>
      <c r="S608" s="10" t="s">
        <v>48</v>
      </c>
      <c r="T608" s="3" t="str">
        <f>IF(AND(ProtocolosAF[[#This Row],[STATUS]]="APROVADO",ProtocolosAF[[#This Row],[WAIVER]]=""),"Y","")</f>
        <v/>
      </c>
      <c r="U608" t="s">
        <v>1427</v>
      </c>
      <c r="V608" s="16" t="str">
        <f t="shared" si="24"/>
        <v>4O6BM31.LEAL/JANAINA MRS</v>
      </c>
      <c r="W608">
        <v>562</v>
      </c>
    </row>
    <row r="609" spans="1:23" hidden="1">
      <c r="A609" s="1">
        <v>45447</v>
      </c>
      <c r="B609" t="s">
        <v>15</v>
      </c>
      <c r="C609" t="s">
        <v>1426</v>
      </c>
      <c r="D609" s="72" t="s">
        <v>1426</v>
      </c>
      <c r="E609" t="s">
        <v>41</v>
      </c>
      <c r="F609" s="19">
        <v>57564931</v>
      </c>
      <c r="G609" s="53">
        <v>573046094492</v>
      </c>
      <c r="H609" s="52">
        <v>952</v>
      </c>
      <c r="I609" s="5">
        <v>0.08</v>
      </c>
      <c r="J609" s="52" cm="1">
        <f t="array" ref="J60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77</v>
      </c>
      <c r="K609" s="56" t="s">
        <v>1293</v>
      </c>
      <c r="L609" s="54" t="s">
        <v>76</v>
      </c>
      <c r="M609" t="s">
        <v>43</v>
      </c>
      <c r="N609" s="15" t="s">
        <v>1155</v>
      </c>
      <c r="O609" s="5" t="s">
        <v>1283</v>
      </c>
      <c r="P609" s="17" t="s">
        <v>46</v>
      </c>
      <c r="Q609" s="10" t="s">
        <v>1298</v>
      </c>
      <c r="R609" s="11">
        <v>45449</v>
      </c>
      <c r="S609" s="10" t="s">
        <v>48</v>
      </c>
      <c r="T609" s="3" t="str">
        <f>IF(AND(ProtocolosAF[[#This Row],[STATUS]]="APROVADO",ProtocolosAF[[#This Row],[WAIVER]]=""),"Y","")</f>
        <v/>
      </c>
      <c r="U609" t="s">
        <v>1428</v>
      </c>
      <c r="V609" s="16" t="str">
        <f t="shared" si="24"/>
        <v>4O6BM32.MAGALHAES/SERGIO MR</v>
      </c>
      <c r="W609">
        <v>562</v>
      </c>
    </row>
    <row r="610" spans="1:23" hidden="1">
      <c r="A610" s="1">
        <v>45447</v>
      </c>
      <c r="B610" t="s">
        <v>15</v>
      </c>
      <c r="C610" t="s">
        <v>1429</v>
      </c>
      <c r="D610" s="72" t="s">
        <v>1430</v>
      </c>
      <c r="E610" t="s">
        <v>41</v>
      </c>
      <c r="F610" s="19">
        <v>57564931</v>
      </c>
      <c r="G610" s="53">
        <v>573529529535</v>
      </c>
      <c r="H610" s="52">
        <v>2256</v>
      </c>
      <c r="I610" s="5">
        <v>0.08</v>
      </c>
      <c r="J610" s="52" cm="1">
        <f t="array" ref="J61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181</v>
      </c>
      <c r="K610" s="56" t="s">
        <v>1293</v>
      </c>
      <c r="L610" s="54" t="s">
        <v>76</v>
      </c>
      <c r="M610" t="s">
        <v>43</v>
      </c>
      <c r="N610" s="15" t="s">
        <v>1155</v>
      </c>
      <c r="O610" s="5" t="s">
        <v>45</v>
      </c>
      <c r="P610" s="17" t="s">
        <v>503</v>
      </c>
      <c r="Q610" s="10" t="s">
        <v>1298</v>
      </c>
      <c r="R610" s="11">
        <v>45448</v>
      </c>
      <c r="S610" s="10" t="s">
        <v>48</v>
      </c>
      <c r="T610" s="3" t="str">
        <f>IF(AND(ProtocolosAF[[#This Row],[STATUS]]="APROVADO",ProtocolosAF[[#This Row],[WAIVER]]=""),"Y","")</f>
        <v/>
      </c>
      <c r="U610" t="s">
        <v>1431</v>
      </c>
      <c r="V610" s="16" t="str">
        <f t="shared" si="24"/>
        <v>FMUCBD1.1GLASER DE SENNA/KARINA MRS</v>
      </c>
      <c r="W610">
        <v>563</v>
      </c>
    </row>
    <row r="611" spans="1:23" hidden="1">
      <c r="A611" s="1">
        <v>45447</v>
      </c>
      <c r="B611" t="s">
        <v>15</v>
      </c>
      <c r="C611" t="s">
        <v>1429</v>
      </c>
      <c r="D611" s="72" t="s">
        <v>1430</v>
      </c>
      <c r="E611" t="s">
        <v>41</v>
      </c>
      <c r="F611" s="19">
        <v>57564931</v>
      </c>
      <c r="G611" s="53">
        <v>573529529537</v>
      </c>
      <c r="H611" s="52">
        <v>2256</v>
      </c>
      <c r="I611" s="5">
        <v>0.08</v>
      </c>
      <c r="J611" s="52" cm="1">
        <f t="array" ref="J61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181</v>
      </c>
      <c r="K611" s="56" t="s">
        <v>1293</v>
      </c>
      <c r="L611" s="54" t="s">
        <v>76</v>
      </c>
      <c r="M611" t="s">
        <v>43</v>
      </c>
      <c r="N611" s="15" t="s">
        <v>1155</v>
      </c>
      <c r="O611" s="5" t="s">
        <v>45</v>
      </c>
      <c r="P611" s="17" t="s">
        <v>503</v>
      </c>
      <c r="Q611" s="10" t="s">
        <v>1298</v>
      </c>
      <c r="R611" s="11">
        <v>45448</v>
      </c>
      <c r="S611" s="10" t="s">
        <v>48</v>
      </c>
      <c r="T611" s="3" t="str">
        <f>IF(AND(ProtocolosAF[[#This Row],[STATUS]]="APROVADO",ProtocolosAF[[#This Row],[WAIVER]]=""),"Y","")</f>
        <v/>
      </c>
      <c r="U611" t="s">
        <v>1432</v>
      </c>
      <c r="V611" s="16" t="str">
        <f t="shared" si="24"/>
        <v>FMUCBD2.1GLASER DE SENNA/MARIA CLARA MRS</v>
      </c>
      <c r="W611">
        <v>563</v>
      </c>
    </row>
    <row r="612" spans="1:23" hidden="1">
      <c r="A612" s="1">
        <v>45447</v>
      </c>
      <c r="B612" t="s">
        <v>15</v>
      </c>
      <c r="C612" t="s">
        <v>1433</v>
      </c>
      <c r="D612" s="72" t="s">
        <v>1434</v>
      </c>
      <c r="E612" t="s">
        <v>41</v>
      </c>
      <c r="F612" s="19">
        <v>57564931</v>
      </c>
      <c r="G612" s="53">
        <v>573529529522</v>
      </c>
      <c r="H612" s="52">
        <v>4210</v>
      </c>
      <c r="I612" s="5">
        <v>0.08</v>
      </c>
      <c r="J612" s="52" cm="1">
        <f t="array" ref="J61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337</v>
      </c>
      <c r="K612" s="56" t="s">
        <v>1293</v>
      </c>
      <c r="L612" s="54" t="s">
        <v>76</v>
      </c>
      <c r="M612" t="s">
        <v>43</v>
      </c>
      <c r="N612" s="15" t="s">
        <v>1155</v>
      </c>
      <c r="O612" s="5" t="s">
        <v>45</v>
      </c>
      <c r="P612" s="17" t="s">
        <v>503</v>
      </c>
      <c r="Q612" s="10" t="s">
        <v>1298</v>
      </c>
      <c r="R612" s="11">
        <v>45448</v>
      </c>
      <c r="S612" s="10" t="s">
        <v>48</v>
      </c>
      <c r="T612" s="3" t="str">
        <f>IF(AND(ProtocolosAF[[#This Row],[STATUS]]="APROVADO",ProtocolosAF[[#This Row],[WAIVER]]=""),"Y","")</f>
        <v/>
      </c>
      <c r="U612" t="s">
        <v>1435</v>
      </c>
      <c r="V612" s="16" t="str">
        <f t="shared" si="24"/>
        <v>NSYQPL1.1GLASER/INGO MR</v>
      </c>
      <c r="W612">
        <v>564</v>
      </c>
    </row>
    <row r="613" spans="1:23" hidden="1">
      <c r="A613" s="1">
        <v>45447</v>
      </c>
      <c r="B613" t="s">
        <v>15</v>
      </c>
      <c r="C613" t="s">
        <v>1436</v>
      </c>
      <c r="D613" s="72" t="s">
        <v>1437</v>
      </c>
      <c r="E613" t="s">
        <v>41</v>
      </c>
      <c r="F613" s="19">
        <v>57564931</v>
      </c>
      <c r="G613" s="53">
        <v>573529529524</v>
      </c>
      <c r="H613" s="52">
        <v>2256</v>
      </c>
      <c r="I613" s="5">
        <v>0.08</v>
      </c>
      <c r="J613" s="52" cm="1">
        <f t="array" ref="J61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181</v>
      </c>
      <c r="K613" s="56" t="s">
        <v>1293</v>
      </c>
      <c r="L613" s="54" t="s">
        <v>76</v>
      </c>
      <c r="M613" t="s">
        <v>43</v>
      </c>
      <c r="N613" s="15" t="s">
        <v>1155</v>
      </c>
      <c r="O613" s="5" t="s">
        <v>45</v>
      </c>
      <c r="P613" s="17" t="s">
        <v>503</v>
      </c>
      <c r="Q613" s="10" t="s">
        <v>1298</v>
      </c>
      <c r="R613" s="11">
        <v>45448</v>
      </c>
      <c r="S613" s="10" t="s">
        <v>48</v>
      </c>
      <c r="T613" s="3" t="str">
        <f>IF(AND(ProtocolosAF[[#This Row],[STATUS]]="APROVADO",ProtocolosAF[[#This Row],[WAIVER]]=""),"Y","")</f>
        <v/>
      </c>
      <c r="U613" t="s">
        <v>1438</v>
      </c>
      <c r="V613" s="16" t="str">
        <f t="shared" si="24"/>
        <v>ATKXRB1.1GLASER DE SENNA/PEDRO MR</v>
      </c>
      <c r="W613">
        <v>565</v>
      </c>
    </row>
    <row r="614" spans="1:23" hidden="1">
      <c r="A614" s="1">
        <v>45447</v>
      </c>
      <c r="B614" t="s">
        <v>15</v>
      </c>
      <c r="C614" t="s">
        <v>1439</v>
      </c>
      <c r="D614" s="72" t="s">
        <v>1440</v>
      </c>
      <c r="E614" t="s">
        <v>41</v>
      </c>
      <c r="F614" s="19">
        <v>57564931</v>
      </c>
      <c r="G614" s="53">
        <v>573529529530</v>
      </c>
      <c r="H614" s="52">
        <v>2242</v>
      </c>
      <c r="I614" s="5">
        <v>0.08</v>
      </c>
      <c r="J614" s="52" cm="1">
        <f t="array" ref="J61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180</v>
      </c>
      <c r="K614" s="56" t="s">
        <v>1293</v>
      </c>
      <c r="L614" s="54" t="s">
        <v>76</v>
      </c>
      <c r="M614" t="s">
        <v>43</v>
      </c>
      <c r="N614" s="15" t="s">
        <v>1155</v>
      </c>
      <c r="O614" s="5" t="s">
        <v>45</v>
      </c>
      <c r="P614" s="17" t="s">
        <v>503</v>
      </c>
      <c r="Q614" s="10" t="s">
        <v>1298</v>
      </c>
      <c r="R614" s="11">
        <v>45448</v>
      </c>
      <c r="S614" s="10" t="s">
        <v>48</v>
      </c>
      <c r="T614" s="3" t="str">
        <f>IF(AND(ProtocolosAF[[#This Row],[STATUS]]="APROVADO",ProtocolosAF[[#This Row],[WAIVER]]=""),"Y","")</f>
        <v/>
      </c>
      <c r="U614" t="s">
        <v>1441</v>
      </c>
      <c r="V614" s="16" t="str">
        <f t="shared" si="24"/>
        <v>EDUCVH1.1CORREIA BLANCO/JULIANA MRS</v>
      </c>
      <c r="W614">
        <v>566</v>
      </c>
    </row>
    <row r="615" spans="1:23" hidden="1">
      <c r="A615" s="1">
        <v>45447</v>
      </c>
      <c r="B615" t="s">
        <v>15</v>
      </c>
      <c r="C615" t="s">
        <v>1439</v>
      </c>
      <c r="D615" s="72" t="s">
        <v>1440</v>
      </c>
      <c r="E615" t="s">
        <v>41</v>
      </c>
      <c r="F615" s="19">
        <v>57564931</v>
      </c>
      <c r="G615" s="53">
        <v>573529529532</v>
      </c>
      <c r="H615" s="52">
        <v>2242</v>
      </c>
      <c r="I615" s="5">
        <v>0.08</v>
      </c>
      <c r="J615" s="52" cm="1">
        <f t="array" ref="J61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180</v>
      </c>
      <c r="K615" s="56" t="s">
        <v>1293</v>
      </c>
      <c r="L615" s="54" t="s">
        <v>76</v>
      </c>
      <c r="M615" t="s">
        <v>43</v>
      </c>
      <c r="N615" s="15" t="s">
        <v>1155</v>
      </c>
      <c r="O615" s="5" t="s">
        <v>45</v>
      </c>
      <c r="P615" s="17" t="s">
        <v>503</v>
      </c>
      <c r="Q615" s="10" t="s">
        <v>1298</v>
      </c>
      <c r="R615" s="11">
        <v>45448</v>
      </c>
      <c r="S615" s="10" t="s">
        <v>48</v>
      </c>
      <c r="T615" s="3" t="str">
        <f>IF(AND(ProtocolosAF[[#This Row],[STATUS]]="APROVADO",ProtocolosAF[[#This Row],[WAIVER]]=""),"Y","")</f>
        <v/>
      </c>
      <c r="U615" t="s">
        <v>1442</v>
      </c>
      <c r="V615" s="16" t="str">
        <f t="shared" si="24"/>
        <v>EDUCVH2.1GLASER/BRUNO LUIS MR</v>
      </c>
      <c r="W615">
        <v>566</v>
      </c>
    </row>
    <row r="616" spans="1:23" hidden="1">
      <c r="A616" s="1">
        <v>45448</v>
      </c>
      <c r="B616" t="s">
        <v>10</v>
      </c>
      <c r="C616" t="s">
        <v>1443</v>
      </c>
      <c r="D616" s="72" t="s">
        <v>1443</v>
      </c>
      <c r="E616" t="s">
        <v>73</v>
      </c>
      <c r="F616" s="19">
        <v>57994602</v>
      </c>
      <c r="G616" s="53">
        <v>574207249331</v>
      </c>
      <c r="H616" s="52">
        <v>178</v>
      </c>
      <c r="I616" s="5" t="s">
        <v>74</v>
      </c>
      <c r="J616" s="52" cm="1">
        <f t="array" ref="J61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</v>
      </c>
      <c r="K616" s="56" t="s">
        <v>1129</v>
      </c>
      <c r="L616" s="54" t="s">
        <v>172</v>
      </c>
      <c r="M616" t="s">
        <v>43</v>
      </c>
      <c r="N616" s="15" t="s">
        <v>1129</v>
      </c>
      <c r="O616" s="5" t="s">
        <v>152</v>
      </c>
      <c r="P616" s="17" t="s">
        <v>146</v>
      </c>
      <c r="Q616" s="10" t="s">
        <v>222</v>
      </c>
      <c r="R616" s="11">
        <v>45449</v>
      </c>
      <c r="S616" s="10" t="s">
        <v>173</v>
      </c>
      <c r="T616" s="3" t="str">
        <f>IF(AND(ProtocolosAF[[#This Row],[STATUS]]="APROVADO",ProtocolosAF[[#This Row],[WAIVER]]=""),"Y","")</f>
        <v/>
      </c>
      <c r="U616" t="s">
        <v>1444</v>
      </c>
      <c r="V616" s="16" t="str">
        <f t="shared" si="24"/>
        <v>495D67DA ROCHA CRUZ/SONIA MARIA MRS</v>
      </c>
      <c r="W616">
        <v>567</v>
      </c>
    </row>
    <row r="617" spans="1:23" hidden="1">
      <c r="A617" s="1">
        <v>45448</v>
      </c>
      <c r="B617" t="s">
        <v>10</v>
      </c>
      <c r="C617" t="s">
        <v>1445</v>
      </c>
      <c r="D617" s="72" t="s">
        <v>1446</v>
      </c>
      <c r="E617" t="s">
        <v>73</v>
      </c>
      <c r="F617" s="19">
        <v>57994602</v>
      </c>
      <c r="G617" s="53">
        <v>574207249344</v>
      </c>
      <c r="H617" s="52">
        <v>178</v>
      </c>
      <c r="I617" s="5" t="s">
        <v>74</v>
      </c>
      <c r="J617" s="52" cm="1">
        <f t="array" ref="J61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</v>
      </c>
      <c r="K617" s="56" t="s">
        <v>1129</v>
      </c>
      <c r="L617" s="54" t="s">
        <v>172</v>
      </c>
      <c r="M617" t="s">
        <v>43</v>
      </c>
      <c r="N617" s="15" t="s">
        <v>1129</v>
      </c>
      <c r="O617" s="5" t="s">
        <v>152</v>
      </c>
      <c r="P617" s="17" t="s">
        <v>146</v>
      </c>
      <c r="Q617" s="10" t="s">
        <v>222</v>
      </c>
      <c r="R617" s="11">
        <v>45450</v>
      </c>
      <c r="S617" s="10" t="s">
        <v>173</v>
      </c>
      <c r="T617" s="3" t="str">
        <f>IF(AND(ProtocolosAF[[#This Row],[STATUS]]="APROVADO",ProtocolosAF[[#This Row],[WAIVER]]=""),"Y","")</f>
        <v/>
      </c>
      <c r="U617" t="s">
        <v>1447</v>
      </c>
      <c r="V617" s="16" t="str">
        <f t="shared" si="24"/>
        <v>75JDLJLOPES BORIN/LUCIMAR</v>
      </c>
      <c r="W617">
        <v>568</v>
      </c>
    </row>
    <row r="618" spans="1:23" hidden="1">
      <c r="A618" s="1">
        <v>45448</v>
      </c>
      <c r="B618" t="s">
        <v>10</v>
      </c>
      <c r="C618" t="s">
        <v>1445</v>
      </c>
      <c r="D618" s="72" t="s">
        <v>1446</v>
      </c>
      <c r="E618" t="s">
        <v>73</v>
      </c>
      <c r="F618" s="19">
        <v>57994602</v>
      </c>
      <c r="G618" s="53">
        <v>574207249345</v>
      </c>
      <c r="H618" s="52">
        <v>178</v>
      </c>
      <c r="I618" s="5" t="s">
        <v>74</v>
      </c>
      <c r="J618" s="52" cm="1">
        <f t="array" ref="J61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</v>
      </c>
      <c r="K618" s="56" t="s">
        <v>1129</v>
      </c>
      <c r="L618" s="54" t="s">
        <v>172</v>
      </c>
      <c r="M618" t="s">
        <v>43</v>
      </c>
      <c r="N618" s="15" t="s">
        <v>1129</v>
      </c>
      <c r="O618" s="5" t="s">
        <v>152</v>
      </c>
      <c r="P618" s="17" t="s">
        <v>146</v>
      </c>
      <c r="Q618" s="10" t="s">
        <v>222</v>
      </c>
      <c r="R618" s="11">
        <v>45450</v>
      </c>
      <c r="S618" s="10" t="s">
        <v>173</v>
      </c>
      <c r="T618" s="3" t="str">
        <f>IF(AND(ProtocolosAF[[#This Row],[STATUS]]="APROVADO",ProtocolosAF[[#This Row],[WAIVER]]=""),"Y","")</f>
        <v/>
      </c>
      <c r="U618" t="s">
        <v>1448</v>
      </c>
      <c r="V618" s="16" t="str">
        <f t="shared" si="24"/>
        <v>75JDLJLOPES QUARESMA/ANA MARIA</v>
      </c>
      <c r="W618">
        <v>568</v>
      </c>
    </row>
    <row r="619" spans="1:23" hidden="1">
      <c r="A619" s="1">
        <v>45448</v>
      </c>
      <c r="B619" t="s">
        <v>10</v>
      </c>
      <c r="C619" t="s">
        <v>1445</v>
      </c>
      <c r="D619" s="72" t="s">
        <v>1446</v>
      </c>
      <c r="E619" t="s">
        <v>73</v>
      </c>
      <c r="F619" s="19">
        <v>57994602</v>
      </c>
      <c r="G619" s="53">
        <v>574207249346</v>
      </c>
      <c r="H619" s="52">
        <v>178</v>
      </c>
      <c r="I619" s="5" t="s">
        <v>74</v>
      </c>
      <c r="J619" s="52" cm="1">
        <f t="array" ref="J61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</v>
      </c>
      <c r="K619" s="56" t="s">
        <v>1129</v>
      </c>
      <c r="L619" s="54" t="s">
        <v>172</v>
      </c>
      <c r="M619" t="s">
        <v>43</v>
      </c>
      <c r="N619" s="15" t="s">
        <v>1129</v>
      </c>
      <c r="O619" s="5" t="s">
        <v>152</v>
      </c>
      <c r="P619" s="17" t="s">
        <v>146</v>
      </c>
      <c r="Q619" s="10" t="s">
        <v>222</v>
      </c>
      <c r="R619" s="11">
        <v>45450</v>
      </c>
      <c r="S619" s="10" t="s">
        <v>173</v>
      </c>
      <c r="T619" s="3" t="str">
        <f>IF(AND(ProtocolosAF[[#This Row],[STATUS]]="APROVADO",ProtocolosAF[[#This Row],[WAIVER]]=""),"Y","")</f>
        <v/>
      </c>
      <c r="U619" t="s">
        <v>1449</v>
      </c>
      <c r="V619" s="16" t="str">
        <f t="shared" si="24"/>
        <v>75JDLJSOUTO BORGES PETROS/MARILENA</v>
      </c>
      <c r="W619">
        <v>568</v>
      </c>
    </row>
    <row r="620" spans="1:23" hidden="1">
      <c r="A620" s="1">
        <v>45449</v>
      </c>
      <c r="B620" t="s">
        <v>14</v>
      </c>
      <c r="C620" t="s">
        <v>1450</v>
      </c>
      <c r="D620" s="72" t="s">
        <v>1450</v>
      </c>
      <c r="E620" t="s">
        <v>41</v>
      </c>
      <c r="F620" s="19"/>
      <c r="G620" s="53"/>
      <c r="H620" s="52">
        <v>1706</v>
      </c>
      <c r="I620" s="5">
        <v>7.0000000000000007E-2</v>
      </c>
      <c r="J620" s="52" t="str" cm="1">
        <f t="array" ref="J62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20" s="56" t="s">
        <v>1089</v>
      </c>
      <c r="L620" s="54" t="s">
        <v>172</v>
      </c>
      <c r="M620" t="s">
        <v>100</v>
      </c>
      <c r="N620" s="15" t="s">
        <v>1089</v>
      </c>
      <c r="O620" s="5" t="s">
        <v>395</v>
      </c>
      <c r="P620" s="17" t="s">
        <v>69</v>
      </c>
      <c r="Q620" s="10"/>
      <c r="R620" s="11"/>
      <c r="S620" s="10"/>
      <c r="T620" s="3" t="str">
        <f>IF(AND(ProtocolosAF[[#This Row],[STATUS]]="APROVADO",ProtocolosAF[[#This Row],[WAIVER]]=""),"Y","")</f>
        <v/>
      </c>
      <c r="U620" t="s">
        <v>1451</v>
      </c>
      <c r="V620" s="16" t="str">
        <f t="shared" si="24"/>
        <v>4ZRTLDBATISTA/DIEGO</v>
      </c>
      <c r="W620">
        <v>571</v>
      </c>
    </row>
    <row r="621" spans="1:23" hidden="1">
      <c r="A621" s="1">
        <v>45449</v>
      </c>
      <c r="B621" t="s">
        <v>14</v>
      </c>
      <c r="C621" t="s">
        <v>1450</v>
      </c>
      <c r="D621" s="72" t="s">
        <v>1450</v>
      </c>
      <c r="E621" t="s">
        <v>41</v>
      </c>
      <c r="F621" s="19"/>
      <c r="G621" s="53"/>
      <c r="H621" s="52">
        <v>1706</v>
      </c>
      <c r="I621" s="5">
        <v>7.0000000000000007E-2</v>
      </c>
      <c r="J621" s="52" t="str" cm="1">
        <f t="array" ref="J62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21" s="56" t="s">
        <v>1089</v>
      </c>
      <c r="L621" s="54" t="s">
        <v>172</v>
      </c>
      <c r="M621" t="s">
        <v>100</v>
      </c>
      <c r="N621" s="15" t="s">
        <v>1089</v>
      </c>
      <c r="O621" s="5" t="s">
        <v>395</v>
      </c>
      <c r="P621" s="17" t="s">
        <v>69</v>
      </c>
      <c r="Q621" s="10"/>
      <c r="R621" s="11"/>
      <c r="S621" s="10"/>
      <c r="T621" s="3" t="str">
        <f>IF(AND(ProtocolosAF[[#This Row],[STATUS]]="APROVADO",ProtocolosAF[[#This Row],[WAIVER]]=""),"Y","")</f>
        <v/>
      </c>
      <c r="U621" t="s">
        <v>1452</v>
      </c>
      <c r="V621" s="16" t="str">
        <f t="shared" si="24"/>
        <v>4ZRTLDCANGIANI/JULIO CESAR</v>
      </c>
      <c r="W621">
        <v>571</v>
      </c>
    </row>
    <row r="622" spans="1:23" hidden="1">
      <c r="A622" s="1">
        <v>45449</v>
      </c>
      <c r="B622" t="s">
        <v>14</v>
      </c>
      <c r="C622" t="s">
        <v>1450</v>
      </c>
      <c r="D622" s="72" t="s">
        <v>1450</v>
      </c>
      <c r="E622" t="s">
        <v>41</v>
      </c>
      <c r="F622" s="19"/>
      <c r="G622" s="53"/>
      <c r="H622" s="52">
        <v>1706</v>
      </c>
      <c r="I622" s="5">
        <v>7.0000000000000007E-2</v>
      </c>
      <c r="J622" s="52" t="str" cm="1">
        <f t="array" ref="J62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22" s="56" t="s">
        <v>1089</v>
      </c>
      <c r="L622" s="54" t="s">
        <v>172</v>
      </c>
      <c r="M622" t="s">
        <v>100</v>
      </c>
      <c r="N622" s="15" t="s">
        <v>1089</v>
      </c>
      <c r="O622" s="5" t="s">
        <v>395</v>
      </c>
      <c r="P622" s="17" t="s">
        <v>69</v>
      </c>
      <c r="Q622" s="10"/>
      <c r="R622" s="11"/>
      <c r="S622" s="10"/>
      <c r="T622" s="3" t="str">
        <f>IF(AND(ProtocolosAF[[#This Row],[STATUS]]="APROVADO",ProtocolosAF[[#This Row],[WAIVER]]=""),"Y","")</f>
        <v/>
      </c>
      <c r="U622" t="s">
        <v>1453</v>
      </c>
      <c r="V622" s="16" t="str">
        <f t="shared" si="24"/>
        <v>4ZRTLDCORDEIRO/GEOVANI</v>
      </c>
      <c r="W622">
        <v>571</v>
      </c>
    </row>
    <row r="623" spans="1:23" hidden="1">
      <c r="A623" s="1">
        <v>45449</v>
      </c>
      <c r="B623" t="s">
        <v>14</v>
      </c>
      <c r="C623" t="s">
        <v>1450</v>
      </c>
      <c r="D623" s="72" t="s">
        <v>1450</v>
      </c>
      <c r="E623" t="s">
        <v>41</v>
      </c>
      <c r="F623" s="19"/>
      <c r="G623" s="53"/>
      <c r="H623" s="52">
        <v>1706</v>
      </c>
      <c r="I623" s="5">
        <v>7.0000000000000007E-2</v>
      </c>
      <c r="J623" s="52" t="str" cm="1">
        <f t="array" ref="J62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23" s="56" t="s">
        <v>1089</v>
      </c>
      <c r="L623" s="54" t="s">
        <v>172</v>
      </c>
      <c r="M623" t="s">
        <v>100</v>
      </c>
      <c r="N623" s="15" t="s">
        <v>1089</v>
      </c>
      <c r="O623" s="5" t="s">
        <v>395</v>
      </c>
      <c r="P623" s="17" t="s">
        <v>69</v>
      </c>
      <c r="Q623" s="10"/>
      <c r="R623" s="11"/>
      <c r="S623" s="10"/>
      <c r="T623" s="3" t="str">
        <f>IF(AND(ProtocolosAF[[#This Row],[STATUS]]="APROVADO",ProtocolosAF[[#This Row],[WAIVER]]=""),"Y","")</f>
        <v/>
      </c>
      <c r="U623" t="s">
        <v>1454</v>
      </c>
      <c r="V623" s="16" t="str">
        <f t="shared" si="24"/>
        <v>4ZRTLDMORAES/JOAQUIM</v>
      </c>
      <c r="W623">
        <v>571</v>
      </c>
    </row>
    <row r="624" spans="1:23" hidden="1">
      <c r="A624" s="1">
        <v>45449</v>
      </c>
      <c r="B624" t="s">
        <v>14</v>
      </c>
      <c r="C624" t="s">
        <v>1450</v>
      </c>
      <c r="D624" s="72" t="s">
        <v>1450</v>
      </c>
      <c r="E624" t="s">
        <v>41</v>
      </c>
      <c r="F624" s="19"/>
      <c r="G624" s="53"/>
      <c r="H624" s="52">
        <v>1706</v>
      </c>
      <c r="I624" s="5">
        <v>7.0000000000000007E-2</v>
      </c>
      <c r="J624" s="52" t="str" cm="1">
        <f t="array" ref="J62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24" s="56" t="s">
        <v>1089</v>
      </c>
      <c r="L624" s="54" t="s">
        <v>172</v>
      </c>
      <c r="M624" t="s">
        <v>100</v>
      </c>
      <c r="N624" s="15" t="s">
        <v>1089</v>
      </c>
      <c r="O624" s="5" t="s">
        <v>395</v>
      </c>
      <c r="P624" s="17" t="s">
        <v>69</v>
      </c>
      <c r="Q624" s="10"/>
      <c r="R624" s="11"/>
      <c r="S624" s="10"/>
      <c r="T624" s="3" t="str">
        <f>IF(AND(ProtocolosAF[[#This Row],[STATUS]]="APROVADO",ProtocolosAF[[#This Row],[WAIVER]]=""),"Y","")</f>
        <v/>
      </c>
      <c r="U624" t="s">
        <v>1455</v>
      </c>
      <c r="V624" s="16" t="str">
        <f t="shared" si="24"/>
        <v>4ZRTLDVENERI/AGNALDO</v>
      </c>
      <c r="W624">
        <v>571</v>
      </c>
    </row>
    <row r="625" spans="1:23" hidden="1">
      <c r="A625" s="1">
        <v>45450</v>
      </c>
      <c r="B625" t="s">
        <v>11</v>
      </c>
      <c r="C625" t="s">
        <v>1456</v>
      </c>
      <c r="D625" s="72" t="s">
        <v>1456</v>
      </c>
      <c r="E625" t="s">
        <v>41</v>
      </c>
      <c r="F625" s="19">
        <v>57564931</v>
      </c>
      <c r="G625" s="53">
        <v>573046122705</v>
      </c>
      <c r="H625" s="52">
        <v>965</v>
      </c>
      <c r="I625" s="5">
        <v>0.15</v>
      </c>
      <c r="J625" s="52" cm="1">
        <f t="array" ref="J62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145</v>
      </c>
      <c r="K625" s="56" t="s">
        <v>1457</v>
      </c>
      <c r="L625" s="54" t="s">
        <v>76</v>
      </c>
      <c r="M625" t="s">
        <v>43</v>
      </c>
      <c r="N625" s="15" t="s">
        <v>1458</v>
      </c>
      <c r="O625" s="5" t="s">
        <v>1459</v>
      </c>
      <c r="P625" s="17" t="s">
        <v>46</v>
      </c>
      <c r="Q625" s="10" t="s">
        <v>1460</v>
      </c>
      <c r="R625" s="11">
        <v>45450</v>
      </c>
      <c r="S625" s="10" t="s">
        <v>48</v>
      </c>
      <c r="T625" s="3" t="str">
        <f>IF(AND(ProtocolosAF[[#This Row],[STATUS]]="APROVADO",ProtocolosAF[[#This Row],[WAIVER]]=""),"Y","")</f>
        <v/>
      </c>
      <c r="U625" t="s">
        <v>1461</v>
      </c>
      <c r="V625" s="16" t="str">
        <f t="shared" si="24"/>
        <v>26BZOQANGELONI CASTELAN/RAFAEL MR</v>
      </c>
      <c r="W625">
        <v>574</v>
      </c>
    </row>
    <row r="626" spans="1:23" hidden="1">
      <c r="A626" s="1">
        <v>45450</v>
      </c>
      <c r="B626" t="s">
        <v>11</v>
      </c>
      <c r="C626" t="s">
        <v>1456</v>
      </c>
      <c r="D626" s="72" t="s">
        <v>1456</v>
      </c>
      <c r="E626" t="s">
        <v>41</v>
      </c>
      <c r="F626" s="19">
        <v>57564931</v>
      </c>
      <c r="G626" s="53">
        <v>573046122707</v>
      </c>
      <c r="H626" s="52">
        <v>965</v>
      </c>
      <c r="I626" s="5">
        <v>0.15</v>
      </c>
      <c r="J626" s="52" cm="1">
        <f t="array" ref="J62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145</v>
      </c>
      <c r="K626" s="56" t="s">
        <v>1457</v>
      </c>
      <c r="L626" s="54" t="s">
        <v>76</v>
      </c>
      <c r="M626" t="s">
        <v>43</v>
      </c>
      <c r="N626" s="15" t="s">
        <v>1458</v>
      </c>
      <c r="O626" s="5" t="s">
        <v>1459</v>
      </c>
      <c r="P626" s="17" t="s">
        <v>46</v>
      </c>
      <c r="Q626" s="10" t="s">
        <v>1460</v>
      </c>
      <c r="R626" s="11">
        <v>45450</v>
      </c>
      <c r="S626" s="10" t="s">
        <v>48</v>
      </c>
      <c r="T626" s="3" t="str">
        <f>IF(AND(ProtocolosAF[[#This Row],[STATUS]]="APROVADO",ProtocolosAF[[#This Row],[WAIVER]]=""),"Y","")</f>
        <v/>
      </c>
      <c r="U626" t="s">
        <v>1462</v>
      </c>
      <c r="V626" s="16" t="str">
        <f t="shared" si="24"/>
        <v>26BZOQMICHELE SIMON/SAMARA MRS</v>
      </c>
      <c r="W626">
        <v>574</v>
      </c>
    </row>
    <row r="627" spans="1:23" hidden="1">
      <c r="A627" s="1">
        <v>45460</v>
      </c>
      <c r="B627" t="s">
        <v>13</v>
      </c>
      <c r="C627" t="s">
        <v>1463</v>
      </c>
      <c r="D627" s="72" t="s">
        <v>1463</v>
      </c>
      <c r="E627" t="s">
        <v>73</v>
      </c>
      <c r="F627" s="19">
        <v>57994602</v>
      </c>
      <c r="G627" s="53">
        <v>574207249416</v>
      </c>
      <c r="H627" s="52">
        <v>90</v>
      </c>
      <c r="I627" s="5" t="s">
        <v>74</v>
      </c>
      <c r="J627" s="52" cm="1">
        <f t="array" ref="J62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90</v>
      </c>
      <c r="K627" s="56" t="s">
        <v>1464</v>
      </c>
      <c r="L627" s="54" t="s">
        <v>172</v>
      </c>
      <c r="M627" t="s">
        <v>43</v>
      </c>
      <c r="N627" s="15" t="s">
        <v>1096</v>
      </c>
      <c r="O627" s="5" t="s">
        <v>1465</v>
      </c>
      <c r="P627" s="17" t="s">
        <v>46</v>
      </c>
      <c r="Q627" s="10" t="s">
        <v>291</v>
      </c>
      <c r="R627" s="11">
        <v>45462</v>
      </c>
      <c r="S627" s="10" t="s">
        <v>48</v>
      </c>
      <c r="T627" s="3" t="str">
        <f>IF(AND(ProtocolosAF[[#This Row],[STATUS]]="APROVADO",ProtocolosAF[[#This Row],[WAIVER]]=""),"Y","")</f>
        <v/>
      </c>
      <c r="U627" t="s">
        <v>1466</v>
      </c>
      <c r="V627" s="16" t="str">
        <f t="shared" si="24"/>
        <v>2GCMN8FONSECA TOMAZ</v>
      </c>
      <c r="W627">
        <v>583</v>
      </c>
    </row>
    <row r="628" spans="1:23" hidden="1">
      <c r="A628" s="1">
        <v>45460</v>
      </c>
      <c r="B628" t="s">
        <v>13</v>
      </c>
      <c r="C628" t="s">
        <v>1463</v>
      </c>
      <c r="D628" s="72" t="s">
        <v>1463</v>
      </c>
      <c r="E628" t="s">
        <v>73</v>
      </c>
      <c r="F628" s="19">
        <v>57994602</v>
      </c>
      <c r="G628" s="53">
        <v>574207249417</v>
      </c>
      <c r="H628" s="52">
        <v>90</v>
      </c>
      <c r="I628" s="5" t="s">
        <v>74</v>
      </c>
      <c r="J628" s="52" cm="1">
        <f t="array" ref="J62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90</v>
      </c>
      <c r="K628" s="56" t="s">
        <v>1464</v>
      </c>
      <c r="L628" s="54" t="s">
        <v>172</v>
      </c>
      <c r="M628" t="s">
        <v>43</v>
      </c>
      <c r="N628" s="15" t="s">
        <v>1096</v>
      </c>
      <c r="O628" s="5" t="s">
        <v>1465</v>
      </c>
      <c r="P628" s="17" t="s">
        <v>46</v>
      </c>
      <c r="Q628" s="10" t="s">
        <v>291</v>
      </c>
      <c r="R628" s="11">
        <v>45462</v>
      </c>
      <c r="S628" s="10" t="s">
        <v>48</v>
      </c>
      <c r="T628" s="3" t="str">
        <f>IF(AND(ProtocolosAF[[#This Row],[STATUS]]="APROVADO",ProtocolosAF[[#This Row],[WAIVER]]=""),"Y","")</f>
        <v/>
      </c>
      <c r="U628" t="s">
        <v>1467</v>
      </c>
      <c r="V628" s="16" t="str">
        <f t="shared" si="24"/>
        <v>2GCMN8LIKON TOMAZ</v>
      </c>
      <c r="W628">
        <v>583</v>
      </c>
    </row>
    <row r="629" spans="1:23" hidden="1">
      <c r="A629" s="1">
        <v>45460</v>
      </c>
      <c r="B629" t="s">
        <v>10</v>
      </c>
      <c r="C629" t="s">
        <v>1468</v>
      </c>
      <c r="D629" s="72" t="s">
        <v>1468</v>
      </c>
      <c r="E629" t="s">
        <v>41</v>
      </c>
      <c r="F629" s="19"/>
      <c r="G629" s="53"/>
      <c r="H629" s="52">
        <v>2151</v>
      </c>
      <c r="I629" s="5">
        <v>0.1</v>
      </c>
      <c r="J629" s="52" t="str" cm="1">
        <f t="array" ref="J62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29" s="56" t="s">
        <v>189</v>
      </c>
      <c r="L629" s="54" t="s">
        <v>76</v>
      </c>
      <c r="M629" t="s">
        <v>100</v>
      </c>
      <c r="N629" s="15" t="s">
        <v>65</v>
      </c>
      <c r="O629" s="5" t="s">
        <v>1167</v>
      </c>
      <c r="P629" s="17" t="s">
        <v>69</v>
      </c>
      <c r="Q629" s="10"/>
      <c r="R629" s="11"/>
      <c r="S629" s="10"/>
      <c r="T629" s="3" t="str">
        <f>IF(AND(ProtocolosAF[[#This Row],[STATUS]]="APROVADO",ProtocolosAF[[#This Row],[WAIVER]]=""),"Y","")</f>
        <v/>
      </c>
      <c r="U629" t="s">
        <v>1469</v>
      </c>
      <c r="V629" s="16" t="str">
        <f t="shared" si="24"/>
        <v>3TYX28FREITAS/ARACELE MRS</v>
      </c>
      <c r="W629">
        <v>584</v>
      </c>
    </row>
    <row r="630" spans="1:23" hidden="1">
      <c r="A630" s="1">
        <v>45460</v>
      </c>
      <c r="B630" t="s">
        <v>11</v>
      </c>
      <c r="C630" t="s">
        <v>1470</v>
      </c>
      <c r="D630" s="72" t="s">
        <v>1471</v>
      </c>
      <c r="E630" t="s">
        <v>73</v>
      </c>
      <c r="F630" s="19"/>
      <c r="G630" s="53"/>
      <c r="H630" s="52">
        <v>1486</v>
      </c>
      <c r="I630" s="5" t="s">
        <v>74</v>
      </c>
      <c r="J630" s="52" t="str" cm="1">
        <f t="array" ref="J63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30" s="56" t="s">
        <v>1317</v>
      </c>
      <c r="L630" s="54" t="s">
        <v>172</v>
      </c>
      <c r="M630" t="s">
        <v>217</v>
      </c>
      <c r="N630" s="15" t="s">
        <v>1458</v>
      </c>
      <c r="O630" s="5" t="s">
        <v>614</v>
      </c>
      <c r="P630" s="17" t="s">
        <v>46</v>
      </c>
      <c r="Q630" s="10"/>
      <c r="R630" s="11"/>
      <c r="S630" s="10"/>
      <c r="T630" s="3" t="str">
        <f>IF(AND(ProtocolosAF[[#This Row],[STATUS]]="APROVADO",ProtocolosAF[[#This Row],[WAIVER]]=""),"Y","")</f>
        <v/>
      </c>
      <c r="U630" t="s">
        <v>1472</v>
      </c>
      <c r="V630" s="16" t="str">
        <f t="shared" si="24"/>
        <v>WHJZPMOLIVIERI/ALEXANDRE</v>
      </c>
      <c r="W630">
        <v>585</v>
      </c>
    </row>
    <row r="631" spans="1:23" hidden="1">
      <c r="A631" s="1">
        <v>45460</v>
      </c>
      <c r="B631" t="s">
        <v>11</v>
      </c>
      <c r="C631" t="s">
        <v>1470</v>
      </c>
      <c r="D631" s="72" t="s">
        <v>1471</v>
      </c>
      <c r="E631" t="s">
        <v>73</v>
      </c>
      <c r="F631" s="19">
        <v>57564931</v>
      </c>
      <c r="G631" s="53">
        <v>574207249422</v>
      </c>
      <c r="H631" s="52">
        <v>42</v>
      </c>
      <c r="I631" s="5" t="s">
        <v>74</v>
      </c>
      <c r="J631" s="52" cm="1">
        <f t="array" ref="J63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42</v>
      </c>
      <c r="K631" s="56" t="s">
        <v>1317</v>
      </c>
      <c r="L631" s="54" t="s">
        <v>172</v>
      </c>
      <c r="M631" t="s">
        <v>43</v>
      </c>
      <c r="N631" s="15" t="s">
        <v>1458</v>
      </c>
      <c r="O631" s="5" t="s">
        <v>372</v>
      </c>
      <c r="P631" s="17" t="s">
        <v>46</v>
      </c>
      <c r="Q631" s="10" t="s">
        <v>1473</v>
      </c>
      <c r="R631" s="11">
        <v>45463</v>
      </c>
      <c r="S631" s="10" t="s">
        <v>1474</v>
      </c>
      <c r="T631" s="3" t="str">
        <f>IF(AND(ProtocolosAF[[#This Row],[STATUS]]="APROVADO",ProtocolosAF[[#This Row],[WAIVER]]=""),"Y","")</f>
        <v/>
      </c>
      <c r="U631" t="s">
        <v>1472</v>
      </c>
      <c r="V631" s="16" t="str">
        <f t="shared" si="24"/>
        <v>WHJZPMOLIVIERI/ALEXANDRE</v>
      </c>
      <c r="W631">
        <v>586</v>
      </c>
    </row>
    <row r="632" spans="1:23" hidden="1">
      <c r="A632" s="1">
        <v>45460</v>
      </c>
      <c r="B632" t="s">
        <v>11</v>
      </c>
      <c r="C632" t="s">
        <v>1470</v>
      </c>
      <c r="D632" s="72" t="s">
        <v>1471</v>
      </c>
      <c r="E632" t="s">
        <v>73</v>
      </c>
      <c r="F632" s="19">
        <v>57564931</v>
      </c>
      <c r="G632" s="53">
        <v>574207249421</v>
      </c>
      <c r="H632" s="52">
        <v>42</v>
      </c>
      <c r="I632" s="5" t="s">
        <v>74</v>
      </c>
      <c r="J632" s="52" cm="1">
        <f t="array" ref="J63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42</v>
      </c>
      <c r="K632" s="56" t="s">
        <v>1317</v>
      </c>
      <c r="L632" s="54" t="s">
        <v>172</v>
      </c>
      <c r="M632" t="s">
        <v>43</v>
      </c>
      <c r="N632" s="15" t="s">
        <v>1458</v>
      </c>
      <c r="O632" s="5" t="s">
        <v>372</v>
      </c>
      <c r="P632" s="17" t="s">
        <v>46</v>
      </c>
      <c r="Q632" s="10" t="s">
        <v>1473</v>
      </c>
      <c r="R632" s="11">
        <v>45463</v>
      </c>
      <c r="S632" s="10" t="s">
        <v>1474</v>
      </c>
      <c r="T632" s="3" t="str">
        <f>IF(AND(ProtocolosAF[[#This Row],[STATUS]]="APROVADO",ProtocolosAF[[#This Row],[WAIVER]]=""),"Y","")</f>
        <v/>
      </c>
      <c r="U632" t="s">
        <v>1475</v>
      </c>
      <c r="V632" s="16" t="str">
        <f t="shared" si="24"/>
        <v>WHJZPMNEVES/MARIANA</v>
      </c>
      <c r="W632">
        <v>586</v>
      </c>
    </row>
    <row r="633" spans="1:23" hidden="1">
      <c r="A633" s="1">
        <v>45460</v>
      </c>
      <c r="B633" t="s">
        <v>11</v>
      </c>
      <c r="C633" t="s">
        <v>1470</v>
      </c>
      <c r="D633" s="72" t="s">
        <v>1471</v>
      </c>
      <c r="E633" t="s">
        <v>73</v>
      </c>
      <c r="F633" s="19">
        <v>57564931</v>
      </c>
      <c r="G633" s="53">
        <v>574207249423</v>
      </c>
      <c r="H633" s="52">
        <v>42</v>
      </c>
      <c r="I633" s="5" t="s">
        <v>74</v>
      </c>
      <c r="J633" s="52" cm="1">
        <f t="array" ref="J63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42</v>
      </c>
      <c r="K633" s="56" t="s">
        <v>1317</v>
      </c>
      <c r="L633" s="54" t="s">
        <v>172</v>
      </c>
      <c r="M633" t="s">
        <v>43</v>
      </c>
      <c r="N633" s="15" t="s">
        <v>1458</v>
      </c>
      <c r="O633" s="5" t="s">
        <v>372</v>
      </c>
      <c r="P633" s="17" t="s">
        <v>46</v>
      </c>
      <c r="Q633" s="10" t="s">
        <v>1473</v>
      </c>
      <c r="R633" s="11">
        <v>45463</v>
      </c>
      <c r="S633" s="10" t="s">
        <v>1474</v>
      </c>
      <c r="T633" s="3" t="str">
        <f>IF(AND(ProtocolosAF[[#This Row],[STATUS]]="APROVADO",ProtocolosAF[[#This Row],[WAIVER]]=""),"Y","")</f>
        <v/>
      </c>
      <c r="U633" t="s">
        <v>1476</v>
      </c>
      <c r="V633" s="16" t="str">
        <f t="shared" si="24"/>
        <v>WHJZPMOLIVIERI/JULIA</v>
      </c>
      <c r="W633">
        <v>586</v>
      </c>
    </row>
    <row r="634" spans="1:23" hidden="1">
      <c r="A634" s="1">
        <v>45462</v>
      </c>
      <c r="B634" t="s">
        <v>10</v>
      </c>
      <c r="C634" t="s">
        <v>1477</v>
      </c>
      <c r="D634" s="72" t="s">
        <v>1478</v>
      </c>
      <c r="E634" t="s">
        <v>73</v>
      </c>
      <c r="F634" s="19"/>
      <c r="G634" s="53"/>
      <c r="H634" s="52">
        <v>89</v>
      </c>
      <c r="I634" s="5" t="s">
        <v>74</v>
      </c>
      <c r="J634" s="52" t="str" cm="1">
        <f t="array" ref="J63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34" s="56" t="s">
        <v>99</v>
      </c>
      <c r="L634" s="54" t="s">
        <v>488</v>
      </c>
      <c r="M634" t="s">
        <v>100</v>
      </c>
      <c r="N634" s="15" t="s">
        <v>42</v>
      </c>
      <c r="O634" s="5" t="s">
        <v>1239</v>
      </c>
      <c r="P634" s="17" t="s">
        <v>46</v>
      </c>
      <c r="Q634" s="10"/>
      <c r="R634" s="11"/>
      <c r="S634" s="10"/>
      <c r="T634" s="3" t="str">
        <f>IF(AND(ProtocolosAF[[#This Row],[STATUS]]="APROVADO",ProtocolosAF[[#This Row],[WAIVER]]=""),"Y","")</f>
        <v/>
      </c>
      <c r="U634" t="s">
        <v>1479</v>
      </c>
      <c r="V634" s="16" t="str">
        <f t="shared" si="24"/>
        <v>KDYJAORODRIGUES DE ALMEIDA/THOMAS</v>
      </c>
      <c r="W634">
        <v>589</v>
      </c>
    </row>
    <row r="635" spans="1:23" hidden="1">
      <c r="A635" s="1">
        <v>45462</v>
      </c>
      <c r="B635" t="s">
        <v>10</v>
      </c>
      <c r="C635" t="s">
        <v>1477</v>
      </c>
      <c r="D635" s="72" t="s">
        <v>1478</v>
      </c>
      <c r="E635" t="s">
        <v>73</v>
      </c>
      <c r="F635" s="19"/>
      <c r="G635" s="53"/>
      <c r="H635" s="52">
        <v>89</v>
      </c>
      <c r="I635" s="5" t="s">
        <v>74</v>
      </c>
      <c r="J635" s="52" t="str" cm="1">
        <f t="array" ref="J63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35" s="56" t="s">
        <v>99</v>
      </c>
      <c r="L635" s="54" t="s">
        <v>488</v>
      </c>
      <c r="M635" t="s">
        <v>100</v>
      </c>
      <c r="N635" s="15" t="s">
        <v>42</v>
      </c>
      <c r="O635" s="5" t="s">
        <v>1239</v>
      </c>
      <c r="P635" s="17" t="s">
        <v>46</v>
      </c>
      <c r="Q635" s="10"/>
      <c r="R635" s="11"/>
      <c r="S635" s="10"/>
      <c r="T635" s="3" t="str">
        <f>IF(AND(ProtocolosAF[[#This Row],[STATUS]]="APROVADO",ProtocolosAF[[#This Row],[WAIVER]]=""),"Y","")</f>
        <v/>
      </c>
      <c r="U635" t="s">
        <v>1480</v>
      </c>
      <c r="V635" s="16" t="str">
        <f t="shared" si="24"/>
        <v>KDYJAOSOARES/JULIANA APARECIDA</v>
      </c>
      <c r="W635">
        <v>589</v>
      </c>
    </row>
    <row r="636" spans="1:23" hidden="1">
      <c r="A636" s="1">
        <v>45462</v>
      </c>
      <c r="B636" t="s">
        <v>10</v>
      </c>
      <c r="C636" t="s">
        <v>1481</v>
      </c>
      <c r="D636" s="72" t="s">
        <v>1482</v>
      </c>
      <c r="E636" t="s">
        <v>73</v>
      </c>
      <c r="F636" s="19">
        <v>57994333</v>
      </c>
      <c r="G636" s="53">
        <v>574210510417</v>
      </c>
      <c r="H636" s="52">
        <v>178</v>
      </c>
      <c r="I636" s="5" t="s">
        <v>74</v>
      </c>
      <c r="J636" s="52" cm="1">
        <f t="array" ref="J63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178</v>
      </c>
      <c r="K636" s="56" t="s">
        <v>289</v>
      </c>
      <c r="L636" s="54" t="s">
        <v>1483</v>
      </c>
      <c r="M636" t="s">
        <v>43</v>
      </c>
      <c r="N636" s="15" t="s">
        <v>1096</v>
      </c>
      <c r="O636" s="5" t="s">
        <v>68</v>
      </c>
      <c r="P636" s="17" t="s">
        <v>146</v>
      </c>
      <c r="Q636" s="10" t="s">
        <v>291</v>
      </c>
      <c r="R636" s="11">
        <v>45464</v>
      </c>
      <c r="S636" s="10" t="s">
        <v>173</v>
      </c>
      <c r="T636" s="3" t="str">
        <f>IF(AND(ProtocolosAF[[#This Row],[STATUS]]="APROVADO",ProtocolosAF[[#This Row],[WAIVER]]=""),"Y","")</f>
        <v/>
      </c>
      <c r="U636" t="s">
        <v>1484</v>
      </c>
      <c r="V636" s="16" t="str">
        <f t="shared" si="24"/>
        <v>IHMWPOGODINHO/FABIO</v>
      </c>
      <c r="W636">
        <v>590</v>
      </c>
    </row>
    <row r="637" spans="1:23" hidden="1">
      <c r="A637" s="1">
        <v>45463</v>
      </c>
      <c r="B637" t="s">
        <v>13</v>
      </c>
      <c r="C637" t="s">
        <v>1485</v>
      </c>
      <c r="D637" s="72" t="s">
        <v>1486</v>
      </c>
      <c r="E637" t="s">
        <v>41</v>
      </c>
      <c r="F637" s="19">
        <v>57564931</v>
      </c>
      <c r="G637" s="53">
        <v>575820336791</v>
      </c>
      <c r="H637" s="52">
        <v>633</v>
      </c>
      <c r="I637" s="5">
        <v>0.11</v>
      </c>
      <c r="J637" s="52" cm="1">
        <f t="array" ref="J63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70</v>
      </c>
      <c r="K637" s="56" t="s">
        <v>1487</v>
      </c>
      <c r="L637" s="54" t="s">
        <v>76</v>
      </c>
      <c r="M637" t="s">
        <v>43</v>
      </c>
      <c r="N637" s="15" t="s">
        <v>151</v>
      </c>
      <c r="O637" s="5" t="s">
        <v>152</v>
      </c>
      <c r="P637" s="17" t="s">
        <v>69</v>
      </c>
      <c r="Q637" s="10" t="s">
        <v>168</v>
      </c>
      <c r="R637" s="11">
        <v>45463</v>
      </c>
      <c r="S637" s="10" t="s">
        <v>48</v>
      </c>
      <c r="T637" s="3" t="str">
        <f>IF(AND(ProtocolosAF[[#This Row],[STATUS]]="APROVADO",ProtocolosAF[[#This Row],[WAIVER]]=""),"Y","")</f>
        <v/>
      </c>
      <c r="U637" t="s">
        <v>1488</v>
      </c>
      <c r="V637" s="16" t="str">
        <f t="shared" si="24"/>
        <v>GCFENKSEVERINE/MARCOS</v>
      </c>
      <c r="W637">
        <v>591</v>
      </c>
    </row>
    <row r="638" spans="1:23" hidden="1">
      <c r="A638" s="1">
        <v>45463</v>
      </c>
      <c r="B638" t="s">
        <v>13</v>
      </c>
      <c r="C638" t="s">
        <v>1485</v>
      </c>
      <c r="D638" s="72" t="s">
        <v>1486</v>
      </c>
      <c r="E638" t="s">
        <v>41</v>
      </c>
      <c r="F638" s="19">
        <v>57564931</v>
      </c>
      <c r="G638" s="53">
        <v>575820336795</v>
      </c>
      <c r="H638" s="52">
        <v>633</v>
      </c>
      <c r="I638" s="5">
        <v>0.11</v>
      </c>
      <c r="J638" s="52" cm="1">
        <f t="array" ref="J63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70</v>
      </c>
      <c r="K638" s="56" t="s">
        <v>1487</v>
      </c>
      <c r="L638" s="54" t="s">
        <v>76</v>
      </c>
      <c r="M638" t="s">
        <v>43</v>
      </c>
      <c r="N638" s="15" t="s">
        <v>151</v>
      </c>
      <c r="O638" s="5" t="s">
        <v>152</v>
      </c>
      <c r="P638" s="17" t="s">
        <v>69</v>
      </c>
      <c r="Q638" s="10" t="s">
        <v>168</v>
      </c>
      <c r="R638" s="11">
        <v>45463</v>
      </c>
      <c r="S638" s="10" t="s">
        <v>48</v>
      </c>
      <c r="T638" s="3" t="str">
        <f>IF(AND(ProtocolosAF[[#This Row],[STATUS]]="APROVADO",ProtocolosAF[[#This Row],[WAIVER]]=""),"Y","")</f>
        <v/>
      </c>
      <c r="U638" t="s">
        <v>1489</v>
      </c>
      <c r="V638" s="16" t="str">
        <f t="shared" si="24"/>
        <v>GCFENKPECANHA SEVERINE/ADRIANA</v>
      </c>
      <c r="W638">
        <v>591</v>
      </c>
    </row>
    <row r="639" spans="1:23" hidden="1">
      <c r="A639" s="1">
        <v>45464</v>
      </c>
      <c r="B639" t="s">
        <v>14</v>
      </c>
      <c r="C639" t="s">
        <v>1490</v>
      </c>
      <c r="D639" s="72" t="s">
        <v>1490</v>
      </c>
      <c r="E639" t="s">
        <v>41</v>
      </c>
      <c r="F639" s="19">
        <v>57564931</v>
      </c>
      <c r="G639" s="53">
        <v>573046223149</v>
      </c>
      <c r="H639" s="52">
        <v>1558</v>
      </c>
      <c r="I639" s="5">
        <v>0.1</v>
      </c>
      <c r="J639" s="52" cm="1">
        <f t="array" ref="J63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156</v>
      </c>
      <c r="K639" s="56" t="s">
        <v>1095</v>
      </c>
      <c r="L639" s="54" t="s">
        <v>66</v>
      </c>
      <c r="M639" t="s">
        <v>43</v>
      </c>
      <c r="N639" s="15" t="s">
        <v>1089</v>
      </c>
      <c r="O639" s="5" t="s">
        <v>395</v>
      </c>
      <c r="P639" s="17" t="s">
        <v>46</v>
      </c>
      <c r="Q639" s="10" t="s">
        <v>229</v>
      </c>
      <c r="R639" s="11">
        <v>45467</v>
      </c>
      <c r="S639" s="10" t="s">
        <v>48</v>
      </c>
      <c r="T639" s="3" t="str">
        <f>IF(AND(ProtocolosAF[[#This Row],[STATUS]]="APROVADO",ProtocolosAF[[#This Row],[WAIVER]]=""),"Y","")</f>
        <v/>
      </c>
      <c r="U639" t="s">
        <v>1491</v>
      </c>
      <c r="V639" s="16" t="str">
        <f t="shared" si="24"/>
        <v>4IOXAJMARTINS RAMOS/LEONARDO</v>
      </c>
      <c r="W639">
        <v>593</v>
      </c>
    </row>
    <row r="640" spans="1:23" hidden="1">
      <c r="A640" s="1">
        <v>45464</v>
      </c>
      <c r="B640" t="s">
        <v>14</v>
      </c>
      <c r="C640" t="s">
        <v>1490</v>
      </c>
      <c r="D640" s="72" t="s">
        <v>1490</v>
      </c>
      <c r="E640" t="s">
        <v>41</v>
      </c>
      <c r="F640" s="19">
        <v>57564931</v>
      </c>
      <c r="G640" s="53">
        <v>573046223150</v>
      </c>
      <c r="H640" s="52">
        <v>1558</v>
      </c>
      <c r="I640" s="5">
        <v>0.1</v>
      </c>
      <c r="J640" s="52" cm="1">
        <f t="array" ref="J64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156</v>
      </c>
      <c r="K640" s="56" t="s">
        <v>1095</v>
      </c>
      <c r="L640" s="54" t="s">
        <v>66</v>
      </c>
      <c r="M640" t="s">
        <v>43</v>
      </c>
      <c r="N640" s="15" t="s">
        <v>1089</v>
      </c>
      <c r="O640" s="5" t="s">
        <v>395</v>
      </c>
      <c r="P640" s="17" t="s">
        <v>46</v>
      </c>
      <c r="Q640" s="10" t="s">
        <v>229</v>
      </c>
      <c r="R640" s="11">
        <v>45467</v>
      </c>
      <c r="S640" s="10" t="s">
        <v>48</v>
      </c>
      <c r="T640" s="3" t="str">
        <f>IF(AND(ProtocolosAF[[#This Row],[STATUS]]="APROVADO",ProtocolosAF[[#This Row],[WAIVER]]=""),"Y","")</f>
        <v/>
      </c>
      <c r="U640" t="s">
        <v>1492</v>
      </c>
      <c r="V640" s="16" t="str">
        <f t="shared" si="24"/>
        <v xml:space="preserve">4IOXAJOLIVEIRA SANTOS/FERNANDO MATEUS </v>
      </c>
      <c r="W640">
        <v>593</v>
      </c>
    </row>
    <row r="641" spans="1:23" hidden="1">
      <c r="A641" s="1">
        <v>45464</v>
      </c>
      <c r="B641" t="s">
        <v>14</v>
      </c>
      <c r="C641" t="s">
        <v>1493</v>
      </c>
      <c r="D641" s="72" t="s">
        <v>1493</v>
      </c>
      <c r="E641" t="s">
        <v>41</v>
      </c>
      <c r="F641" s="19"/>
      <c r="G641" s="53"/>
      <c r="H641" s="52">
        <v>1672</v>
      </c>
      <c r="I641" s="5">
        <v>0.1</v>
      </c>
      <c r="J641" s="52" t="str" cm="1">
        <f t="array" ref="J64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41" s="56" t="s">
        <v>1494</v>
      </c>
      <c r="L641" s="54" t="s">
        <v>66</v>
      </c>
      <c r="M641" t="s">
        <v>217</v>
      </c>
      <c r="N641" s="15" t="s">
        <v>1089</v>
      </c>
      <c r="O641" s="5" t="s">
        <v>395</v>
      </c>
      <c r="P641" s="17" t="s">
        <v>69</v>
      </c>
      <c r="Q641" s="10"/>
      <c r="R641" s="11"/>
      <c r="S641" s="10"/>
      <c r="T641" s="3" t="str">
        <f>IF(AND(ProtocolosAF[[#This Row],[STATUS]]="APROVADO",ProtocolosAF[[#This Row],[WAIVER]]=""),"Y","")</f>
        <v/>
      </c>
      <c r="U641" t="s">
        <v>1495</v>
      </c>
      <c r="V641" s="16" t="str">
        <f t="shared" si="24"/>
        <v>4KGAFASCOTON MARCHESE/BRUNA</v>
      </c>
      <c r="W641">
        <v>594</v>
      </c>
    </row>
    <row r="642" spans="1:23" ht="16.5" hidden="1">
      <c r="A642" s="1">
        <v>45467</v>
      </c>
      <c r="B642" t="s">
        <v>10</v>
      </c>
      <c r="C642" t="s">
        <v>1496</v>
      </c>
      <c r="D642" s="69" t="s">
        <v>1496</v>
      </c>
      <c r="E642" t="s">
        <v>41</v>
      </c>
      <c r="F642" s="19">
        <v>57564931</v>
      </c>
      <c r="G642" s="53">
        <v>573046235688</v>
      </c>
      <c r="H642" s="52">
        <v>1322</v>
      </c>
      <c r="I642" s="5">
        <v>0.1</v>
      </c>
      <c r="J642" s="52" cm="1">
        <f t="array" ref="J64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133</v>
      </c>
      <c r="K642" s="56" t="s">
        <v>189</v>
      </c>
      <c r="L642" s="54" t="s">
        <v>76</v>
      </c>
      <c r="M642" t="s">
        <v>43</v>
      </c>
      <c r="N642" s="15" t="s">
        <v>65</v>
      </c>
      <c r="O642" s="5" t="s">
        <v>544</v>
      </c>
      <c r="P642" s="17" t="s">
        <v>69</v>
      </c>
      <c r="Q642" s="10" t="s">
        <v>1345</v>
      </c>
      <c r="R642" s="11">
        <v>45467</v>
      </c>
      <c r="S642" s="10" t="s">
        <v>48</v>
      </c>
      <c r="T642" s="3" t="str">
        <f>IF(AND(ProtocolosAF[[#This Row],[STATUS]]="APROVADO",ProtocolosAF[[#This Row],[WAIVER]]=""),"Y","")</f>
        <v/>
      </c>
      <c r="U642" t="s">
        <v>1497</v>
      </c>
      <c r="V642" s="16" t="str">
        <f t="shared" si="24"/>
        <v>236TJ3SERENA DE ANDRADE/EDUARDO MR</v>
      </c>
      <c r="W642">
        <v>595</v>
      </c>
    </row>
    <row r="643" spans="1:23" ht="16.5" hidden="1">
      <c r="A643" s="1">
        <v>45468</v>
      </c>
      <c r="B643" t="s">
        <v>14</v>
      </c>
      <c r="C643" t="s">
        <v>1498</v>
      </c>
      <c r="D643" s="70" t="s">
        <v>1498</v>
      </c>
      <c r="E643" t="s">
        <v>41</v>
      </c>
      <c r="F643" s="19"/>
      <c r="G643" s="53"/>
      <c r="H643" s="52">
        <v>1742</v>
      </c>
      <c r="I643" s="5">
        <v>0.08</v>
      </c>
      <c r="J643" s="52" t="str" cm="1">
        <f t="array" ref="J64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43" s="56" t="s">
        <v>1089</v>
      </c>
      <c r="L643" s="54" t="s">
        <v>66</v>
      </c>
      <c r="M643" t="s">
        <v>100</v>
      </c>
      <c r="N643" s="15" t="s">
        <v>1089</v>
      </c>
      <c r="O643" s="5" t="s">
        <v>395</v>
      </c>
      <c r="P643" s="17" t="s">
        <v>69</v>
      </c>
      <c r="Q643" s="10"/>
      <c r="R643" s="11"/>
      <c r="S643" s="10"/>
      <c r="T643" s="3" t="str">
        <f>IF(AND(ProtocolosAF[[#This Row],[STATUS]]="APROVADO",ProtocolosAF[[#This Row],[WAIVER]]=""),"Y","")</f>
        <v/>
      </c>
      <c r="U643" t="s">
        <v>1495</v>
      </c>
      <c r="V643" s="16" t="str">
        <f t="shared" si="24"/>
        <v>4ZQWXHSCOTON MARCHESE/BRUNA</v>
      </c>
      <c r="W643">
        <v>596</v>
      </c>
    </row>
    <row r="644" spans="1:23" ht="16.5" hidden="1">
      <c r="A644" s="1">
        <v>45469</v>
      </c>
      <c r="B644" t="s">
        <v>10</v>
      </c>
      <c r="C644" t="s">
        <v>1499</v>
      </c>
      <c r="D644" s="70" t="s">
        <v>1500</v>
      </c>
      <c r="E644" t="s">
        <v>512</v>
      </c>
      <c r="F644" s="19">
        <v>57564931</v>
      </c>
      <c r="G644" s="53">
        <v>575820364522</v>
      </c>
      <c r="H644" s="52">
        <v>187</v>
      </c>
      <c r="I644" s="5" t="s">
        <v>74</v>
      </c>
      <c r="J644" s="52" cm="1">
        <f t="array" ref="J64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187</v>
      </c>
      <c r="K644" s="56" t="s">
        <v>336</v>
      </c>
      <c r="L644" s="54" t="s">
        <v>76</v>
      </c>
      <c r="M644" t="s">
        <v>43</v>
      </c>
      <c r="N644" s="15" t="s">
        <v>1129</v>
      </c>
      <c r="O644" s="5" t="s">
        <v>715</v>
      </c>
      <c r="P644" s="17" t="s">
        <v>146</v>
      </c>
      <c r="Q644" s="10" t="s">
        <v>222</v>
      </c>
      <c r="R644" s="11">
        <v>45469</v>
      </c>
      <c r="S644" s="10" t="s">
        <v>720</v>
      </c>
      <c r="T644" s="3" t="str">
        <f>IF(AND(ProtocolosAF[[#This Row],[STATUS]]="APROVADO",ProtocolosAF[[#This Row],[WAIVER]]=""),"Y","")</f>
        <v/>
      </c>
      <c r="U644" t="s">
        <v>1501</v>
      </c>
      <c r="V644" s="16" t="str">
        <f t="shared" si="24"/>
        <v>FWBITSNARDI SIQUEIRA/ALLAN</v>
      </c>
      <c r="W644">
        <v>598</v>
      </c>
    </row>
    <row r="645" spans="1:23" ht="16.5" hidden="1">
      <c r="A645" s="1">
        <v>45470</v>
      </c>
      <c r="B645" t="s">
        <v>10</v>
      </c>
      <c r="C645" t="s">
        <v>1502</v>
      </c>
      <c r="D645" s="70" t="s">
        <v>1503</v>
      </c>
      <c r="E645" t="s">
        <v>41</v>
      </c>
      <c r="F645" s="19"/>
      <c r="G645" s="53"/>
      <c r="H645" s="52">
        <v>4708</v>
      </c>
      <c r="I645" s="5">
        <v>0.1</v>
      </c>
      <c r="J645" s="52" t="str" cm="1">
        <f t="array" ref="J64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45" s="56" t="s">
        <v>189</v>
      </c>
      <c r="L645" s="54" t="s">
        <v>76</v>
      </c>
      <c r="M645" t="s">
        <v>217</v>
      </c>
      <c r="N645" s="15" t="s">
        <v>65</v>
      </c>
      <c r="O645" s="5" t="s">
        <v>160</v>
      </c>
      <c r="P645" s="17" t="s">
        <v>146</v>
      </c>
      <c r="Q645" s="10"/>
      <c r="R645" s="11"/>
      <c r="S645" s="10"/>
      <c r="T645" s="3" t="str">
        <f>IF(AND(ProtocolosAF[[#This Row],[STATUS]]="APROVADO",ProtocolosAF[[#This Row],[WAIVER]]=""),"Y","")</f>
        <v/>
      </c>
      <c r="U645" t="s">
        <v>1504</v>
      </c>
      <c r="V645" s="16" t="str">
        <f t="shared" si="24"/>
        <v>MTFZJIPOUSADA/MARCILIO</v>
      </c>
      <c r="W645">
        <v>599</v>
      </c>
    </row>
    <row r="646" spans="1:23" hidden="1">
      <c r="A646" s="1">
        <v>45471</v>
      </c>
      <c r="B646" t="s">
        <v>10</v>
      </c>
      <c r="C646" t="s">
        <v>1505</v>
      </c>
      <c r="D646" s="23" t="s">
        <v>1506</v>
      </c>
      <c r="E646" t="s">
        <v>41</v>
      </c>
      <c r="F646" s="19"/>
      <c r="G646" s="53"/>
      <c r="H646" s="52">
        <v>1412</v>
      </c>
      <c r="I646" s="5">
        <v>0.06</v>
      </c>
      <c r="J646" s="52" t="str" cm="1">
        <f t="array" ref="J64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46" s="56" t="s">
        <v>189</v>
      </c>
      <c r="L646" s="54" t="s">
        <v>76</v>
      </c>
      <c r="M646" t="s">
        <v>217</v>
      </c>
      <c r="N646" s="15" t="s">
        <v>65</v>
      </c>
      <c r="O646" s="5" t="s">
        <v>484</v>
      </c>
      <c r="P646" s="17" t="s">
        <v>146</v>
      </c>
      <c r="Q646" s="10"/>
      <c r="R646" s="11"/>
      <c r="S646" s="10"/>
      <c r="T646" s="3" t="str">
        <f>IF(AND(ProtocolosAF[[#This Row],[STATUS]]="APROVADO",ProtocolosAF[[#This Row],[WAIVER]]=""),"Y","")</f>
        <v/>
      </c>
      <c r="U646" t="s">
        <v>1507</v>
      </c>
      <c r="V646" s="16" t="str">
        <f t="shared" si="24"/>
        <v>JJXJXHFONTOURA/YUNA</v>
      </c>
      <c r="W646">
        <v>600</v>
      </c>
    </row>
    <row r="647" spans="1:23" hidden="1">
      <c r="A647" s="1">
        <v>45477</v>
      </c>
      <c r="B647" t="s">
        <v>10</v>
      </c>
      <c r="C647" t="s">
        <v>1508</v>
      </c>
      <c r="D647" s="23" t="s">
        <v>1509</v>
      </c>
      <c r="E647" t="s">
        <v>41</v>
      </c>
      <c r="F647" s="19">
        <v>57564931</v>
      </c>
      <c r="G647" s="53">
        <v>575820424064</v>
      </c>
      <c r="H647" s="52">
        <v>1613</v>
      </c>
      <c r="I647" s="5">
        <v>0.1</v>
      </c>
      <c r="J647" s="52" cm="1">
        <f t="array" ref="J64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162</v>
      </c>
      <c r="K647" s="56" t="s">
        <v>336</v>
      </c>
      <c r="L647" s="54" t="s">
        <v>76</v>
      </c>
      <c r="M647" t="s">
        <v>43</v>
      </c>
      <c r="N647" s="15" t="s">
        <v>65</v>
      </c>
      <c r="O647" s="5" t="s">
        <v>152</v>
      </c>
      <c r="P647" s="17" t="s">
        <v>46</v>
      </c>
      <c r="Q647" s="10" t="s">
        <v>1029</v>
      </c>
      <c r="R647" s="11">
        <v>45478</v>
      </c>
      <c r="S647" s="10" t="s">
        <v>1510</v>
      </c>
      <c r="T647" s="3" t="str">
        <f>IF(AND(ProtocolosAF[[#This Row],[STATUS]]="APROVADO",ProtocolosAF[[#This Row],[WAIVER]]=""),"Y","")</f>
        <v/>
      </c>
      <c r="U647" t="s">
        <v>1511</v>
      </c>
      <c r="V647" s="16" t="str">
        <f t="shared" ref="V647:V710" si="25">_xlfn.CONCAT(C647,U647)</f>
        <v>LGOLRSPRESTES CARNEIRO/LUIZ EURIBEL</v>
      </c>
      <c r="W647">
        <v>604</v>
      </c>
    </row>
    <row r="648" spans="1:23" hidden="1">
      <c r="A648" s="1">
        <v>45477</v>
      </c>
      <c r="B648" t="s">
        <v>10</v>
      </c>
      <c r="C648" t="s">
        <v>1512</v>
      </c>
      <c r="D648" s="23" t="s">
        <v>1513</v>
      </c>
      <c r="E648" t="s">
        <v>41</v>
      </c>
      <c r="F648" s="19">
        <v>57564931</v>
      </c>
      <c r="G648" s="53">
        <v>575820424077</v>
      </c>
      <c r="H648" s="52">
        <v>1613</v>
      </c>
      <c r="I648" s="5">
        <v>0.1</v>
      </c>
      <c r="J648" s="52" cm="1">
        <f t="array" ref="J64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162</v>
      </c>
      <c r="K648" s="56" t="s">
        <v>336</v>
      </c>
      <c r="L648" s="54" t="s">
        <v>76</v>
      </c>
      <c r="M648" t="s">
        <v>43</v>
      </c>
      <c r="N648" s="15" t="s">
        <v>65</v>
      </c>
      <c r="O648" s="5" t="s">
        <v>152</v>
      </c>
      <c r="P648" s="17" t="s">
        <v>46</v>
      </c>
      <c r="Q648" s="10" t="s">
        <v>1029</v>
      </c>
      <c r="R648" s="11">
        <v>45478</v>
      </c>
      <c r="S648" s="10" t="s">
        <v>1510</v>
      </c>
      <c r="T648" s="3" t="str">
        <f>IF(AND(ProtocolosAF[[#This Row],[STATUS]]="APROVADO",ProtocolosAF[[#This Row],[WAIVER]]=""),"Y","")</f>
        <v/>
      </c>
      <c r="U648" t="s">
        <v>1514</v>
      </c>
      <c r="V648" s="16" t="str">
        <f t="shared" si="25"/>
        <v>OROFRVFERREIRA PRADO/ALEX ISIDORO</v>
      </c>
      <c r="W648">
        <v>605</v>
      </c>
    </row>
    <row r="649" spans="1:23" hidden="1">
      <c r="A649" s="1">
        <v>45477</v>
      </c>
      <c r="B649" t="s">
        <v>11</v>
      </c>
      <c r="C649" t="s">
        <v>1515</v>
      </c>
      <c r="D649" s="23" t="s">
        <v>1516</v>
      </c>
      <c r="E649" t="s">
        <v>73</v>
      </c>
      <c r="F649" s="19">
        <v>57564931</v>
      </c>
      <c r="G649" s="53">
        <v>574207249506</v>
      </c>
      <c r="H649" s="52">
        <v>89</v>
      </c>
      <c r="I649" s="5" t="s">
        <v>74</v>
      </c>
      <c r="J649" s="52" cm="1">
        <f t="array" ref="J64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89</v>
      </c>
      <c r="K649" s="56" t="s">
        <v>1230</v>
      </c>
      <c r="L649" s="54" t="s">
        <v>172</v>
      </c>
      <c r="M649" t="s">
        <v>43</v>
      </c>
      <c r="N649" s="15" t="s">
        <v>1458</v>
      </c>
      <c r="O649" s="5" t="s">
        <v>78</v>
      </c>
      <c r="P649" s="17" t="s">
        <v>46</v>
      </c>
      <c r="Q649" s="10" t="s">
        <v>1473</v>
      </c>
      <c r="R649" s="11">
        <v>45483</v>
      </c>
      <c r="S649" s="10" t="s">
        <v>1517</v>
      </c>
      <c r="T649" s="3" t="str">
        <f>IF(AND(ProtocolosAF[[#This Row],[STATUS]]="APROVADO",ProtocolosAF[[#This Row],[WAIVER]]=""),"Y","")</f>
        <v/>
      </c>
      <c r="U649" t="s">
        <v>1518</v>
      </c>
      <c r="V649" s="16" t="str">
        <f t="shared" si="25"/>
        <v>MHDNEIVEIGA/ALEXANDRE</v>
      </c>
      <c r="W649">
        <v>606</v>
      </c>
    </row>
    <row r="650" spans="1:23" hidden="1">
      <c r="A650" s="1">
        <v>45477</v>
      </c>
      <c r="B650" t="s">
        <v>11</v>
      </c>
      <c r="C650" t="s">
        <v>1515</v>
      </c>
      <c r="D650" s="23" t="s">
        <v>1516</v>
      </c>
      <c r="E650" t="s">
        <v>73</v>
      </c>
      <c r="F650" s="19">
        <v>57564931</v>
      </c>
      <c r="G650" s="53">
        <v>574207249505</v>
      </c>
      <c r="H650" s="52">
        <v>89</v>
      </c>
      <c r="I650" s="5" t="s">
        <v>74</v>
      </c>
      <c r="J650" s="52" cm="1">
        <f t="array" ref="J65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89</v>
      </c>
      <c r="K650" s="56" t="s">
        <v>1230</v>
      </c>
      <c r="L650" s="54" t="s">
        <v>172</v>
      </c>
      <c r="M650" t="s">
        <v>43</v>
      </c>
      <c r="N650" s="15" t="s">
        <v>1458</v>
      </c>
      <c r="O650" s="5" t="s">
        <v>78</v>
      </c>
      <c r="P650" s="17" t="s">
        <v>46</v>
      </c>
      <c r="Q650" s="10" t="s">
        <v>1473</v>
      </c>
      <c r="R650" s="11">
        <v>45483</v>
      </c>
      <c r="S650" s="10" t="s">
        <v>1517</v>
      </c>
      <c r="T650" s="3" t="str">
        <f>IF(AND(ProtocolosAF[[#This Row],[STATUS]]="APROVADO",ProtocolosAF[[#This Row],[WAIVER]]=""),"Y","")</f>
        <v/>
      </c>
      <c r="U650" t="s">
        <v>1519</v>
      </c>
      <c r="V650" s="16" t="str">
        <f t="shared" si="25"/>
        <v>MHDNEIVEIGA/HELOISA</v>
      </c>
      <c r="W650">
        <v>606</v>
      </c>
    </row>
    <row r="651" spans="1:23" hidden="1">
      <c r="A651" s="1">
        <v>45478</v>
      </c>
      <c r="B651" t="s">
        <v>13</v>
      </c>
      <c r="C651" t="s">
        <v>1520</v>
      </c>
      <c r="D651" s="23" t="s">
        <v>1520</v>
      </c>
      <c r="E651" t="s">
        <v>41</v>
      </c>
      <c r="F651" s="19"/>
      <c r="G651" s="53"/>
      <c r="H651" s="52">
        <v>3774</v>
      </c>
      <c r="I651" s="5">
        <v>0.04</v>
      </c>
      <c r="J651" s="52" t="str" cm="1">
        <f t="array" ref="J65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51" s="56" t="s">
        <v>1521</v>
      </c>
      <c r="L651" s="54" t="s">
        <v>76</v>
      </c>
      <c r="M651" t="s">
        <v>100</v>
      </c>
      <c r="N651" s="15" t="s">
        <v>151</v>
      </c>
      <c r="O651" s="5" t="s">
        <v>140</v>
      </c>
      <c r="P651" s="17" t="s">
        <v>146</v>
      </c>
      <c r="Q651" s="10"/>
      <c r="R651" s="11"/>
      <c r="S651" s="10"/>
      <c r="T651" s="3" t="str">
        <f>IF(AND(ProtocolosAF[[#This Row],[STATUS]]="APROVADO",ProtocolosAF[[#This Row],[WAIVER]]=""),"Y","")</f>
        <v/>
      </c>
      <c r="U651" t="s">
        <v>1522</v>
      </c>
      <c r="V651" s="16" t="str">
        <f t="shared" si="25"/>
        <v>3UZO7CCONRICUS/DANIEL RICHARD DAVID</v>
      </c>
      <c r="W651">
        <v>607</v>
      </c>
    </row>
    <row r="652" spans="1:23" hidden="1">
      <c r="A652" s="1">
        <v>45481</v>
      </c>
      <c r="B652" t="s">
        <v>14</v>
      </c>
      <c r="C652" t="s">
        <v>1523</v>
      </c>
      <c r="D652" s="23" t="s">
        <v>1523</v>
      </c>
      <c r="E652" t="s">
        <v>41</v>
      </c>
      <c r="F652" s="19"/>
      <c r="G652" s="53"/>
      <c r="H652" s="52">
        <v>3796</v>
      </c>
      <c r="I652" s="5">
        <v>0.05</v>
      </c>
      <c r="J652" s="52" t="str" cm="1">
        <f t="array" ref="J65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52" s="56" t="s">
        <v>1089</v>
      </c>
      <c r="L652" s="54" t="s">
        <v>172</v>
      </c>
      <c r="M652" t="s">
        <v>100</v>
      </c>
      <c r="N652" s="15" t="s">
        <v>1089</v>
      </c>
      <c r="O652" s="5" t="s">
        <v>564</v>
      </c>
      <c r="P652" s="17" t="s">
        <v>46</v>
      </c>
      <c r="Q652" s="10"/>
      <c r="R652" s="11"/>
      <c r="S652" s="10"/>
      <c r="T652" s="3" t="str">
        <f>IF(AND(ProtocolosAF[[#This Row],[STATUS]]="APROVADO",ProtocolosAF[[#This Row],[WAIVER]]=""),"Y","")</f>
        <v/>
      </c>
      <c r="U652" t="s">
        <v>1524</v>
      </c>
      <c r="V652" s="16" t="str">
        <f t="shared" si="25"/>
        <v>3WWVP4CAPOBIANCO SILVA/IAN</v>
      </c>
      <c r="W652">
        <v>610</v>
      </c>
    </row>
    <row r="653" spans="1:23" hidden="1">
      <c r="A653" s="1">
        <v>45481</v>
      </c>
      <c r="B653" t="s">
        <v>14</v>
      </c>
      <c r="C653" t="s">
        <v>1523</v>
      </c>
      <c r="D653" s="23" t="s">
        <v>1523</v>
      </c>
      <c r="E653" t="s">
        <v>41</v>
      </c>
      <c r="F653" s="19"/>
      <c r="G653" s="53"/>
      <c r="H653" s="52">
        <v>3796</v>
      </c>
      <c r="I653" s="5">
        <v>0.05</v>
      </c>
      <c r="J653" s="52" t="str" cm="1">
        <f t="array" ref="J65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53" s="56" t="s">
        <v>1089</v>
      </c>
      <c r="L653" s="54" t="s">
        <v>172</v>
      </c>
      <c r="M653" t="s">
        <v>100</v>
      </c>
      <c r="N653" s="15" t="s">
        <v>1089</v>
      </c>
      <c r="O653" s="5" t="s">
        <v>564</v>
      </c>
      <c r="P653" s="17" t="s">
        <v>46</v>
      </c>
      <c r="Q653" s="10"/>
      <c r="R653" s="11"/>
      <c r="S653" s="10"/>
      <c r="T653" s="3" t="str">
        <f>IF(AND(ProtocolosAF[[#This Row],[STATUS]]="APROVADO",ProtocolosAF[[#This Row],[WAIVER]]=""),"Y","")</f>
        <v/>
      </c>
      <c r="U653" t="s">
        <v>1525</v>
      </c>
      <c r="V653" s="16" t="str">
        <f t="shared" si="25"/>
        <v>3WWVP4RODRIGUES SILVA/JANIO</v>
      </c>
      <c r="W653">
        <v>610</v>
      </c>
    </row>
    <row r="654" spans="1:23" hidden="1">
      <c r="A654" s="1">
        <v>45483</v>
      </c>
      <c r="B654" t="s">
        <v>10</v>
      </c>
      <c r="C654" t="s">
        <v>1526</v>
      </c>
      <c r="D654" s="23" t="s">
        <v>1527</v>
      </c>
      <c r="E654" t="s">
        <v>73</v>
      </c>
      <c r="F654" s="19">
        <v>57564931</v>
      </c>
      <c r="G654" s="53">
        <v>574207249512</v>
      </c>
      <c r="H654" s="52">
        <v>180</v>
      </c>
      <c r="I654" s="5" t="s">
        <v>74</v>
      </c>
      <c r="J654" s="52" cm="1">
        <f t="array" ref="J65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180</v>
      </c>
      <c r="K654" s="56" t="s">
        <v>306</v>
      </c>
      <c r="L654" s="54" t="s">
        <v>76</v>
      </c>
      <c r="M654" t="s">
        <v>43</v>
      </c>
      <c r="N654" s="15" t="s">
        <v>65</v>
      </c>
      <c r="O654" s="5" t="s">
        <v>307</v>
      </c>
      <c r="P654" s="17" t="s">
        <v>69</v>
      </c>
      <c r="Q654" s="10" t="s">
        <v>1402</v>
      </c>
      <c r="R654" s="11">
        <v>45485</v>
      </c>
      <c r="S654" s="10" t="s">
        <v>1517</v>
      </c>
      <c r="T654" s="3" t="str">
        <f>IF(AND(ProtocolosAF[[#This Row],[STATUS]]="APROVADO",ProtocolosAF[[#This Row],[WAIVER]]=""),"Y","")</f>
        <v/>
      </c>
      <c r="U654" t="s">
        <v>1528</v>
      </c>
      <c r="V654" s="16" t="str">
        <f t="shared" si="25"/>
        <v>FJVFCMDAGOSTINI/SERGIO MR</v>
      </c>
      <c r="W654">
        <v>611</v>
      </c>
    </row>
    <row r="655" spans="1:23" hidden="1">
      <c r="A655" s="1">
        <v>45483</v>
      </c>
      <c r="B655" t="s">
        <v>13</v>
      </c>
      <c r="C655" t="s">
        <v>1529</v>
      </c>
      <c r="D655" s="23" t="s">
        <v>1529</v>
      </c>
      <c r="E655" t="s">
        <v>41</v>
      </c>
      <c r="F655" s="19">
        <v>57564931</v>
      </c>
      <c r="G655" s="53">
        <v>573046346157</v>
      </c>
      <c r="H655" s="52">
        <v>1651</v>
      </c>
      <c r="I655" s="5">
        <v>0.1</v>
      </c>
      <c r="J655" s="52" cm="1">
        <f t="array" ref="J65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166</v>
      </c>
      <c r="K655" s="56" t="s">
        <v>1530</v>
      </c>
      <c r="L655" s="54" t="s">
        <v>76</v>
      </c>
      <c r="M655" t="s">
        <v>43</v>
      </c>
      <c r="N655" s="15" t="s">
        <v>151</v>
      </c>
      <c r="O655" s="5" t="s">
        <v>583</v>
      </c>
      <c r="P655" s="17" t="s">
        <v>46</v>
      </c>
      <c r="Q655" s="10" t="s">
        <v>168</v>
      </c>
      <c r="R655" s="11">
        <v>45484</v>
      </c>
      <c r="S655" s="10" t="s">
        <v>1510</v>
      </c>
      <c r="T655" s="3" t="str">
        <f>IF(AND(ProtocolosAF[[#This Row],[STATUS]]="APROVADO",ProtocolosAF[[#This Row],[WAIVER]]=""),"Y","")</f>
        <v/>
      </c>
      <c r="U655" t="s">
        <v>1531</v>
      </c>
      <c r="V655" s="16" t="str">
        <f t="shared" si="25"/>
        <v xml:space="preserve">4MP3IXSTERN/MARIA CRISTINA </v>
      </c>
      <c r="W655">
        <v>612</v>
      </c>
    </row>
    <row r="656" spans="1:23" hidden="1">
      <c r="A656" s="1">
        <v>45483</v>
      </c>
      <c r="B656" t="s">
        <v>13</v>
      </c>
      <c r="C656" t="s">
        <v>1529</v>
      </c>
      <c r="D656" s="23" t="s">
        <v>1529</v>
      </c>
      <c r="E656" t="s">
        <v>41</v>
      </c>
      <c r="F656" s="19">
        <v>57564931</v>
      </c>
      <c r="G656" s="53">
        <v>573046346158</v>
      </c>
      <c r="H656" s="52">
        <v>1651</v>
      </c>
      <c r="I656" s="5">
        <v>0.1</v>
      </c>
      <c r="J656" s="52" cm="1">
        <f t="array" ref="J65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166</v>
      </c>
      <c r="K656" s="56" t="s">
        <v>1530</v>
      </c>
      <c r="L656" s="54" t="s">
        <v>76</v>
      </c>
      <c r="M656" t="s">
        <v>43</v>
      </c>
      <c r="N656" s="15" t="s">
        <v>151</v>
      </c>
      <c r="O656" s="5" t="s">
        <v>583</v>
      </c>
      <c r="P656" s="17" t="s">
        <v>46</v>
      </c>
      <c r="Q656" s="10" t="s">
        <v>168</v>
      </c>
      <c r="R656" s="11">
        <v>45484</v>
      </c>
      <c r="S656" s="10" t="s">
        <v>1510</v>
      </c>
      <c r="T656" s="3" t="str">
        <f>IF(AND(ProtocolosAF[[#This Row],[STATUS]]="APROVADO",ProtocolosAF[[#This Row],[WAIVER]]=""),"Y","")</f>
        <v/>
      </c>
      <c r="U656" t="s">
        <v>1532</v>
      </c>
      <c r="V656" s="16" t="str">
        <f t="shared" si="25"/>
        <v>4MP3IXSTERN/ROBERTO</v>
      </c>
      <c r="W656">
        <v>612</v>
      </c>
    </row>
    <row r="657" spans="1:23" hidden="1">
      <c r="A657" s="1">
        <v>45484</v>
      </c>
      <c r="B657" t="s">
        <v>10</v>
      </c>
      <c r="C657" t="s">
        <v>1533</v>
      </c>
      <c r="D657" s="23" t="s">
        <v>1534</v>
      </c>
      <c r="E657" t="s">
        <v>41</v>
      </c>
      <c r="F657" s="19">
        <v>57564931</v>
      </c>
      <c r="G657" s="53">
        <v>575820459791</v>
      </c>
      <c r="H657" s="52">
        <v>5557</v>
      </c>
      <c r="I657" s="5">
        <v>0.1</v>
      </c>
      <c r="J657" s="52" cm="1">
        <f t="array" ref="J65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556</v>
      </c>
      <c r="K657" s="56" t="s">
        <v>306</v>
      </c>
      <c r="L657" s="54" t="s">
        <v>76</v>
      </c>
      <c r="M657" t="s">
        <v>43</v>
      </c>
      <c r="N657" s="15" t="s">
        <v>65</v>
      </c>
      <c r="O657" s="5" t="s">
        <v>1535</v>
      </c>
      <c r="P657" s="17" t="s">
        <v>46</v>
      </c>
      <c r="Q657" s="10" t="s">
        <v>1402</v>
      </c>
      <c r="R657" s="11">
        <v>45484</v>
      </c>
      <c r="S657" s="10" t="s">
        <v>1510</v>
      </c>
      <c r="T657" s="3" t="str">
        <f>IF(AND(ProtocolosAF[[#This Row],[STATUS]]="APROVADO",ProtocolosAF[[#This Row],[WAIVER]]=""),"Y","")</f>
        <v/>
      </c>
      <c r="U657" t="s">
        <v>1536</v>
      </c>
      <c r="V657" s="16" t="str">
        <f t="shared" si="25"/>
        <v>SRCHKZCID DOS SANTOS/VALERIA</v>
      </c>
      <c r="W657">
        <v>614</v>
      </c>
    </row>
    <row r="658" spans="1:23" hidden="1">
      <c r="A658" s="1">
        <v>45484</v>
      </c>
      <c r="B658" t="s">
        <v>11</v>
      </c>
      <c r="C658" t="s">
        <v>1537</v>
      </c>
      <c r="D658" s="23" t="s">
        <v>1537</v>
      </c>
      <c r="E658" t="s">
        <v>41</v>
      </c>
      <c r="F658" s="19">
        <v>57564931</v>
      </c>
      <c r="G658" s="53">
        <v>573046341099</v>
      </c>
      <c r="H658" s="52">
        <v>4753</v>
      </c>
      <c r="I658" s="5">
        <v>0.08</v>
      </c>
      <c r="J658" s="52" cm="1">
        <f t="array" ref="J65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381</v>
      </c>
      <c r="K658" s="56" t="s">
        <v>1260</v>
      </c>
      <c r="L658" s="54" t="s">
        <v>1538</v>
      </c>
      <c r="M658" t="s">
        <v>43</v>
      </c>
      <c r="N658" s="15" t="s">
        <v>1458</v>
      </c>
      <c r="O658" s="5" t="s">
        <v>1539</v>
      </c>
      <c r="P658" s="17" t="s">
        <v>46</v>
      </c>
      <c r="Q658" s="10" t="s">
        <v>1540</v>
      </c>
      <c r="R658" s="11">
        <v>45484</v>
      </c>
      <c r="S658" s="10" t="s">
        <v>1510</v>
      </c>
      <c r="T658" s="3" t="str">
        <f>IF(AND(ProtocolosAF[[#This Row],[STATUS]]="APROVADO",ProtocolosAF[[#This Row],[WAIVER]]=""),"Y","")</f>
        <v/>
      </c>
      <c r="U658" t="s">
        <v>1541</v>
      </c>
      <c r="V658" s="16" t="str">
        <f t="shared" si="25"/>
        <v>4VUMKDMELLO/MARIANA RODRIGUES MRS</v>
      </c>
      <c r="W658">
        <v>615</v>
      </c>
    </row>
    <row r="659" spans="1:23" hidden="1">
      <c r="A659" s="1">
        <v>45488</v>
      </c>
      <c r="B659" t="s">
        <v>13</v>
      </c>
      <c r="C659" t="s">
        <v>1529</v>
      </c>
      <c r="D659" s="23" t="s">
        <v>1529</v>
      </c>
      <c r="E659" t="s">
        <v>73</v>
      </c>
      <c r="F659" s="19"/>
      <c r="G659" s="53"/>
      <c r="H659" s="52">
        <v>59</v>
      </c>
      <c r="I659" s="5" t="s">
        <v>74</v>
      </c>
      <c r="J659" s="52" t="str" cm="1">
        <f t="array" ref="J65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59" s="56" t="s">
        <v>1542</v>
      </c>
      <c r="L659" s="54" t="s">
        <v>1517</v>
      </c>
      <c r="M659" t="s">
        <v>217</v>
      </c>
      <c r="N659" s="15" t="s">
        <v>151</v>
      </c>
      <c r="O659" s="5" t="s">
        <v>583</v>
      </c>
      <c r="P659" s="17" t="s">
        <v>69</v>
      </c>
      <c r="Q659" s="10"/>
      <c r="R659" s="11"/>
      <c r="S659" s="10"/>
      <c r="T659" s="3" t="str">
        <f>IF(AND(ProtocolosAF[[#This Row],[STATUS]]="APROVADO",ProtocolosAF[[#This Row],[WAIVER]]=""),"Y","")</f>
        <v/>
      </c>
      <c r="U659" t="s">
        <v>1543</v>
      </c>
      <c r="V659" s="16" t="str">
        <f t="shared" si="25"/>
        <v>4MP3IXSTERN/MARIA CRISTINA</v>
      </c>
      <c r="W659">
        <v>616</v>
      </c>
    </row>
    <row r="660" spans="1:23" hidden="1">
      <c r="A660" s="1">
        <v>45488</v>
      </c>
      <c r="B660" t="s">
        <v>13</v>
      </c>
      <c r="C660" t="s">
        <v>1529</v>
      </c>
      <c r="D660" s="23" t="s">
        <v>1529</v>
      </c>
      <c r="E660" t="s">
        <v>73</v>
      </c>
      <c r="F660" s="19">
        <v>57994602</v>
      </c>
      <c r="G660" s="53">
        <v>571811546361</v>
      </c>
      <c r="H660" s="52">
        <v>59</v>
      </c>
      <c r="I660" s="5" t="s">
        <v>74</v>
      </c>
      <c r="J660" s="52" cm="1">
        <f t="array" ref="J66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59</v>
      </c>
      <c r="K660" s="56" t="s">
        <v>1542</v>
      </c>
      <c r="L660" s="54" t="s">
        <v>1544</v>
      </c>
      <c r="M660" t="s">
        <v>43</v>
      </c>
      <c r="N660" s="15" t="s">
        <v>151</v>
      </c>
      <c r="O660" s="5" t="s">
        <v>583</v>
      </c>
      <c r="P660" s="17" t="s">
        <v>69</v>
      </c>
      <c r="Q660" s="10" t="s">
        <v>168</v>
      </c>
      <c r="R660" s="11">
        <v>45488</v>
      </c>
      <c r="S660" s="10" t="s">
        <v>1517</v>
      </c>
      <c r="T660" s="3" t="str">
        <f>IF(AND(ProtocolosAF[[#This Row],[STATUS]]="APROVADO",ProtocolosAF[[#This Row],[WAIVER]]=""),"Y","")</f>
        <v/>
      </c>
      <c r="U660" t="s">
        <v>1543</v>
      </c>
      <c r="V660" s="16" t="str">
        <f t="shared" si="25"/>
        <v>4MP3IXSTERN/MARIA CRISTINA</v>
      </c>
      <c r="W660">
        <v>617</v>
      </c>
    </row>
    <row r="661" spans="1:23" hidden="1">
      <c r="A661" s="1">
        <v>45488</v>
      </c>
      <c r="B661" t="s">
        <v>13</v>
      </c>
      <c r="C661" t="s">
        <v>1529</v>
      </c>
      <c r="D661" s="23" t="s">
        <v>1529</v>
      </c>
      <c r="E661" t="s">
        <v>73</v>
      </c>
      <c r="F661" s="19">
        <v>57994602</v>
      </c>
      <c r="G661" s="53">
        <v>571811546362</v>
      </c>
      <c r="H661" s="52">
        <v>59</v>
      </c>
      <c r="I661" s="5" t="s">
        <v>74</v>
      </c>
      <c r="J661" s="52" cm="1">
        <f t="array" ref="J66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59</v>
      </c>
      <c r="K661" s="56" t="s">
        <v>1542</v>
      </c>
      <c r="L661" s="54" t="s">
        <v>1544</v>
      </c>
      <c r="M661" t="s">
        <v>43</v>
      </c>
      <c r="N661" s="15" t="s">
        <v>151</v>
      </c>
      <c r="O661" s="5" t="s">
        <v>583</v>
      </c>
      <c r="P661" s="17" t="s">
        <v>69</v>
      </c>
      <c r="Q661" s="10" t="s">
        <v>168</v>
      </c>
      <c r="R661" s="11">
        <v>45488</v>
      </c>
      <c r="S661" s="10" t="s">
        <v>1517</v>
      </c>
      <c r="T661" s="3" t="str">
        <f>IF(AND(ProtocolosAF[[#This Row],[STATUS]]="APROVADO",ProtocolosAF[[#This Row],[WAIVER]]=""),"Y","")</f>
        <v/>
      </c>
      <c r="U661" t="s">
        <v>1532</v>
      </c>
      <c r="V661" s="16" t="str">
        <f t="shared" si="25"/>
        <v>4MP3IXSTERN/ROBERTO</v>
      </c>
      <c r="W661">
        <v>617</v>
      </c>
    </row>
    <row r="662" spans="1:23" hidden="1">
      <c r="A662" s="1">
        <v>45488</v>
      </c>
      <c r="B662" t="s">
        <v>10</v>
      </c>
      <c r="C662" t="s">
        <v>1545</v>
      </c>
      <c r="D662" s="23" t="s">
        <v>1545</v>
      </c>
      <c r="E662" t="s">
        <v>41</v>
      </c>
      <c r="F662" s="19">
        <v>57564931</v>
      </c>
      <c r="G662" s="53">
        <v>573046364127</v>
      </c>
      <c r="H662" s="52">
        <v>1148</v>
      </c>
      <c r="I662" s="5">
        <v>0.2</v>
      </c>
      <c r="J662" s="52" cm="1">
        <f t="array" ref="J66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230</v>
      </c>
      <c r="K662" s="15" t="s">
        <v>306</v>
      </c>
      <c r="L662" s="54" t="s">
        <v>76</v>
      </c>
      <c r="M662" t="s">
        <v>43</v>
      </c>
      <c r="N662" s="15" t="s">
        <v>65</v>
      </c>
      <c r="O662" s="5" t="s">
        <v>1546</v>
      </c>
      <c r="P662" s="17" t="s">
        <v>46</v>
      </c>
      <c r="Q662" s="10" t="s">
        <v>1402</v>
      </c>
      <c r="R662" s="11">
        <v>45488</v>
      </c>
      <c r="S662" s="10" t="s">
        <v>1510</v>
      </c>
      <c r="T662" s="3" t="str">
        <f>IF(AND(ProtocolosAF[[#This Row],[STATUS]]="APROVADO",ProtocolosAF[[#This Row],[WAIVER]]=""),"Y","")</f>
        <v/>
      </c>
      <c r="U662" t="s">
        <v>1547</v>
      </c>
      <c r="V662" s="16" t="str">
        <f t="shared" si="25"/>
        <v>2LJXYNVACCARO FARIAS LIMA/TALITA</v>
      </c>
      <c r="W662">
        <v>618</v>
      </c>
    </row>
    <row r="663" spans="1:23" hidden="1">
      <c r="A663" s="1">
        <v>45490</v>
      </c>
      <c r="B663" t="s">
        <v>10</v>
      </c>
      <c r="C663" t="s">
        <v>1548</v>
      </c>
      <c r="D663" s="23" t="s">
        <v>1548</v>
      </c>
      <c r="E663" t="s">
        <v>41</v>
      </c>
      <c r="F663" s="19">
        <v>57564931</v>
      </c>
      <c r="G663" s="53">
        <v>573046372674</v>
      </c>
      <c r="H663" s="52">
        <v>870</v>
      </c>
      <c r="I663" s="5">
        <v>0.2</v>
      </c>
      <c r="J663" s="52" cm="1">
        <f t="array" ref="J66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174</v>
      </c>
      <c r="K663" s="15" t="s">
        <v>189</v>
      </c>
      <c r="L663" s="54" t="s">
        <v>76</v>
      </c>
      <c r="M663" t="s">
        <v>43</v>
      </c>
      <c r="N663" s="15" t="s">
        <v>65</v>
      </c>
      <c r="O663" s="5" t="s">
        <v>1546</v>
      </c>
      <c r="P663" s="17" t="s">
        <v>69</v>
      </c>
      <c r="Q663" s="10" t="s">
        <v>1402</v>
      </c>
      <c r="R663" s="11">
        <v>45490</v>
      </c>
      <c r="S663" s="10" t="s">
        <v>1510</v>
      </c>
      <c r="T663" s="3" t="str">
        <f>IF(AND(ProtocolosAF[[#This Row],[STATUS]]="APROVADO",ProtocolosAF[[#This Row],[WAIVER]]=""),"Y","")</f>
        <v/>
      </c>
      <c r="U663" t="s">
        <v>1549</v>
      </c>
      <c r="V663" s="16" t="str">
        <f t="shared" si="25"/>
        <v>2MOUR6DE SOUZA MOURA/MARCELO MR</v>
      </c>
      <c r="W663">
        <v>619</v>
      </c>
    </row>
    <row r="664" spans="1:23" hidden="1">
      <c r="A664" s="1">
        <v>45489</v>
      </c>
      <c r="B664" t="s">
        <v>12</v>
      </c>
      <c r="C664" t="s">
        <v>1550</v>
      </c>
      <c r="D664" s="23" t="s">
        <v>1551</v>
      </c>
      <c r="E664" t="s">
        <v>512</v>
      </c>
      <c r="F664" s="19">
        <v>57564931</v>
      </c>
      <c r="G664" s="53">
        <v>575820491713</v>
      </c>
      <c r="H664" s="52">
        <v>230</v>
      </c>
      <c r="I664" s="5">
        <v>1</v>
      </c>
      <c r="J664" s="52" cm="1">
        <f t="array" ref="J66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230</v>
      </c>
      <c r="K664" s="15" t="s">
        <v>1552</v>
      </c>
      <c r="L664" s="54" t="s">
        <v>172</v>
      </c>
      <c r="M664" t="s">
        <v>43</v>
      </c>
      <c r="N664" s="15" t="s">
        <v>1129</v>
      </c>
      <c r="O664" s="5" t="s">
        <v>564</v>
      </c>
      <c r="P664" s="17" t="s">
        <v>1553</v>
      </c>
      <c r="Q664" s="10" t="s">
        <v>222</v>
      </c>
      <c r="R664" s="11">
        <v>45489</v>
      </c>
      <c r="S664" s="10" t="s">
        <v>720</v>
      </c>
      <c r="T664" s="3" t="str">
        <f>IF(AND(ProtocolosAF[[#This Row],[STATUS]]="APROVADO",ProtocolosAF[[#This Row],[WAIVER]]=""),"Y","")</f>
        <v/>
      </c>
      <c r="U664" t="s">
        <v>1554</v>
      </c>
      <c r="V664" s="16" t="str">
        <f t="shared" si="25"/>
        <v>SPPHNZVELOSO/VALERIA MRS</v>
      </c>
      <c r="W664">
        <v>620</v>
      </c>
    </row>
    <row r="665" spans="1:23" hidden="1">
      <c r="A665" s="1">
        <v>45489</v>
      </c>
      <c r="B665" t="s">
        <v>12</v>
      </c>
      <c r="C665" t="s">
        <v>1550</v>
      </c>
      <c r="D665" s="23" t="s">
        <v>1551</v>
      </c>
      <c r="E665" t="s">
        <v>512</v>
      </c>
      <c r="F665" s="19">
        <v>57564931</v>
      </c>
      <c r="G665" s="53">
        <v>575820491722</v>
      </c>
      <c r="H665" s="52">
        <v>230</v>
      </c>
      <c r="I665" s="5">
        <v>1</v>
      </c>
      <c r="J665" s="52" cm="1">
        <f t="array" ref="J66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230</v>
      </c>
      <c r="K665" s="15" t="s">
        <v>1552</v>
      </c>
      <c r="L665" s="54" t="s">
        <v>172</v>
      </c>
      <c r="M665" t="s">
        <v>43</v>
      </c>
      <c r="N665" s="15" t="s">
        <v>1129</v>
      </c>
      <c r="O665" s="5" t="s">
        <v>564</v>
      </c>
      <c r="P665" s="17" t="s">
        <v>1553</v>
      </c>
      <c r="Q665" s="10" t="s">
        <v>222</v>
      </c>
      <c r="R665" s="11">
        <v>45489</v>
      </c>
      <c r="S665" s="10" t="s">
        <v>720</v>
      </c>
      <c r="T665" s="3" t="str">
        <f>IF(AND(ProtocolosAF[[#This Row],[STATUS]]="APROVADO",ProtocolosAF[[#This Row],[WAIVER]]=""),"Y","")</f>
        <v/>
      </c>
      <c r="U665" t="s">
        <v>1555</v>
      </c>
      <c r="V665" s="16" t="str">
        <f t="shared" si="25"/>
        <v>SPPHNZVELOSO/JESSE MR</v>
      </c>
      <c r="W665">
        <v>621</v>
      </c>
    </row>
    <row r="666" spans="1:23" hidden="1">
      <c r="A666" s="1">
        <v>45489</v>
      </c>
      <c r="B666" t="s">
        <v>12</v>
      </c>
      <c r="C666" t="s">
        <v>1550</v>
      </c>
      <c r="D666" s="23" t="s">
        <v>1551</v>
      </c>
      <c r="E666" t="s">
        <v>512</v>
      </c>
      <c r="F666" s="19">
        <v>57564931</v>
      </c>
      <c r="G666" s="53">
        <v>575820491724</v>
      </c>
      <c r="H666" s="52">
        <v>230</v>
      </c>
      <c r="I666" s="5">
        <v>1</v>
      </c>
      <c r="J666" s="52" cm="1">
        <f t="array" ref="J66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230</v>
      </c>
      <c r="K666" s="15" t="s">
        <v>1552</v>
      </c>
      <c r="L666" s="54" t="s">
        <v>172</v>
      </c>
      <c r="M666" t="s">
        <v>43</v>
      </c>
      <c r="N666" s="15" t="s">
        <v>1129</v>
      </c>
      <c r="O666" s="5" t="s">
        <v>564</v>
      </c>
      <c r="P666" s="17" t="s">
        <v>1553</v>
      </c>
      <c r="Q666" s="10" t="s">
        <v>222</v>
      </c>
      <c r="R666" s="11">
        <v>45489</v>
      </c>
      <c r="S666" s="10" t="s">
        <v>720</v>
      </c>
      <c r="T666" s="3" t="str">
        <f>IF(AND(ProtocolosAF[[#This Row],[STATUS]]="APROVADO",ProtocolosAF[[#This Row],[WAIVER]]=""),"Y","")</f>
        <v/>
      </c>
      <c r="U666" t="s">
        <v>1556</v>
      </c>
      <c r="V666" s="16" t="str">
        <f t="shared" si="25"/>
        <v>SPPHNZVELOSO/MARIANA MRS</v>
      </c>
      <c r="W666">
        <v>622</v>
      </c>
    </row>
    <row r="667" spans="1:23" hidden="1">
      <c r="A667" s="1">
        <v>45489</v>
      </c>
      <c r="B667" t="s">
        <v>12</v>
      </c>
      <c r="C667" t="s">
        <v>1550</v>
      </c>
      <c r="D667" s="23" t="s">
        <v>1551</v>
      </c>
      <c r="E667" t="s">
        <v>512</v>
      </c>
      <c r="F667" s="19">
        <v>57564931</v>
      </c>
      <c r="G667" s="53">
        <v>575820491726</v>
      </c>
      <c r="H667" s="52">
        <v>230</v>
      </c>
      <c r="I667" s="5">
        <v>1</v>
      </c>
      <c r="J667" s="52" cm="1">
        <f t="array" ref="J66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230</v>
      </c>
      <c r="K667" s="15" t="s">
        <v>1552</v>
      </c>
      <c r="L667" s="54" t="s">
        <v>172</v>
      </c>
      <c r="M667" t="s">
        <v>43</v>
      </c>
      <c r="N667" s="15" t="s">
        <v>1129</v>
      </c>
      <c r="O667" s="5" t="s">
        <v>564</v>
      </c>
      <c r="P667" s="17" t="s">
        <v>1553</v>
      </c>
      <c r="Q667" s="10" t="s">
        <v>222</v>
      </c>
      <c r="R667" s="11">
        <v>45489</v>
      </c>
      <c r="S667" s="10" t="s">
        <v>720</v>
      </c>
      <c r="T667" s="3" t="str">
        <f>IF(AND(ProtocolosAF[[#This Row],[STATUS]]="APROVADO",ProtocolosAF[[#This Row],[WAIVER]]=""),"Y","")</f>
        <v/>
      </c>
      <c r="U667" t="s">
        <v>1557</v>
      </c>
      <c r="V667" s="16" t="str">
        <f t="shared" si="25"/>
        <v>SPPHNZVELOSO/MARIA CLARA MRS</v>
      </c>
      <c r="W667">
        <v>623</v>
      </c>
    </row>
    <row r="668" spans="1:23" hidden="1">
      <c r="A668" s="1">
        <v>45491</v>
      </c>
      <c r="B668" t="s">
        <v>10</v>
      </c>
      <c r="C668" t="s">
        <v>1558</v>
      </c>
      <c r="D668" s="23" t="s">
        <v>1559</v>
      </c>
      <c r="E668" t="s">
        <v>512</v>
      </c>
      <c r="F668" s="19">
        <v>57564931</v>
      </c>
      <c r="G668" s="53">
        <v>575820515337</v>
      </c>
      <c r="H668" s="52">
        <v>276</v>
      </c>
      <c r="I668" s="5" t="s">
        <v>74</v>
      </c>
      <c r="J668" s="52" cm="1">
        <f t="array" ref="J66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276</v>
      </c>
      <c r="K668" s="15" t="s">
        <v>903</v>
      </c>
      <c r="L668" s="54" t="s">
        <v>172</v>
      </c>
      <c r="M668" t="s">
        <v>43</v>
      </c>
      <c r="N668" s="15" t="s">
        <v>65</v>
      </c>
      <c r="O668" s="5" t="s">
        <v>78</v>
      </c>
      <c r="P668" s="17" t="s">
        <v>69</v>
      </c>
      <c r="Q668" s="10" t="s">
        <v>670</v>
      </c>
      <c r="R668" s="11">
        <v>45492</v>
      </c>
      <c r="S668" s="10" t="s">
        <v>720</v>
      </c>
      <c r="T668" s="3" t="str">
        <f>IF(AND(ProtocolosAF[[#This Row],[STATUS]]="APROVADO",ProtocolosAF[[#This Row],[WAIVER]]=""),"Y","")</f>
        <v/>
      </c>
      <c r="U668" t="s">
        <v>1560</v>
      </c>
      <c r="V668" s="16" t="str">
        <f t="shared" si="25"/>
        <v>OSVEKXMUSA COSTA BRAVO/EDUARDO</v>
      </c>
      <c r="W668">
        <v>622</v>
      </c>
    </row>
    <row r="669" spans="1:23" hidden="1">
      <c r="A669" s="1">
        <v>45491</v>
      </c>
      <c r="B669" t="s">
        <v>13</v>
      </c>
      <c r="C669" t="s">
        <v>1561</v>
      </c>
      <c r="D669" s="23" t="s">
        <v>1561</v>
      </c>
      <c r="E669" t="s">
        <v>41</v>
      </c>
      <c r="F669" s="19">
        <v>57564931</v>
      </c>
      <c r="G669" s="53">
        <v>573046389973</v>
      </c>
      <c r="H669" s="52">
        <v>1186</v>
      </c>
      <c r="I669" s="5">
        <v>7.0000000000000007E-2</v>
      </c>
      <c r="J669" s="52" cm="1">
        <f t="array" ref="J66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84</v>
      </c>
      <c r="K669" s="15" t="s">
        <v>1521</v>
      </c>
      <c r="L669" s="54" t="s">
        <v>76</v>
      </c>
      <c r="M669" t="s">
        <v>43</v>
      </c>
      <c r="N669" s="15" t="s">
        <v>151</v>
      </c>
      <c r="O669" s="5" t="s">
        <v>116</v>
      </c>
      <c r="P669" s="17" t="s">
        <v>69</v>
      </c>
      <c r="Q669" s="10" t="s">
        <v>168</v>
      </c>
      <c r="R669" s="11">
        <v>45491</v>
      </c>
      <c r="S669" s="10" t="s">
        <v>1510</v>
      </c>
      <c r="T669" s="3" t="str">
        <f>IF(AND(ProtocolosAF[[#This Row],[STATUS]]="APROVADO",ProtocolosAF[[#This Row],[WAIVER]]=""),"Y","")</f>
        <v/>
      </c>
      <c r="U669" t="s">
        <v>1562</v>
      </c>
      <c r="V669" s="16" t="str">
        <f t="shared" si="25"/>
        <v>2ZJ2I9PEREIRA/LUCAS</v>
      </c>
      <c r="W669">
        <v>623</v>
      </c>
    </row>
    <row r="670" spans="1:23" hidden="1">
      <c r="A670" s="1">
        <v>45491</v>
      </c>
      <c r="B670" t="s">
        <v>14</v>
      </c>
      <c r="C670" t="s">
        <v>1563</v>
      </c>
      <c r="D670" s="23" t="s">
        <v>623</v>
      </c>
      <c r="E670" t="s">
        <v>512</v>
      </c>
      <c r="F670" s="19">
        <v>5764931</v>
      </c>
      <c r="G670" s="53">
        <v>572041194099</v>
      </c>
      <c r="H670" s="52">
        <v>184</v>
      </c>
      <c r="I670" s="5" t="s">
        <v>74</v>
      </c>
      <c r="J670" s="52" cm="1">
        <f t="array" ref="J67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184</v>
      </c>
      <c r="K670" s="15" t="s">
        <v>1095</v>
      </c>
      <c r="L670" s="54" t="s">
        <v>1564</v>
      </c>
      <c r="M670" t="s">
        <v>43</v>
      </c>
      <c r="N670" s="15" t="s">
        <v>1089</v>
      </c>
      <c r="O670" s="5" t="s">
        <v>178</v>
      </c>
      <c r="P670" s="17" t="s">
        <v>69</v>
      </c>
      <c r="Q670" s="10" t="s">
        <v>229</v>
      </c>
      <c r="R670" s="11">
        <v>45493</v>
      </c>
      <c r="S670" s="10" t="s">
        <v>720</v>
      </c>
      <c r="T670" s="3" t="str">
        <f>IF(AND(ProtocolosAF[[#This Row],[STATUS]]="APROVADO",ProtocolosAF[[#This Row],[WAIVER]]=""),"Y","")</f>
        <v/>
      </c>
      <c r="U670" t="s">
        <v>1565</v>
      </c>
      <c r="V670" s="16" t="str">
        <f t="shared" si="25"/>
        <v>811DMKFRAZAO FILHO/PEDRO AMERICOMR</v>
      </c>
      <c r="W670">
        <v>624</v>
      </c>
    </row>
    <row r="671" spans="1:23" hidden="1">
      <c r="A671" s="1">
        <v>45492</v>
      </c>
      <c r="B671" t="s">
        <v>10</v>
      </c>
      <c r="C671" t="s">
        <v>1566</v>
      </c>
      <c r="D671" s="23" t="s">
        <v>1566</v>
      </c>
      <c r="E671" t="s">
        <v>73</v>
      </c>
      <c r="F671" s="19">
        <v>57994602</v>
      </c>
      <c r="G671" s="53">
        <v>574207249526</v>
      </c>
      <c r="H671" s="52">
        <v>17</v>
      </c>
      <c r="I671" s="5" t="s">
        <v>74</v>
      </c>
      <c r="J671" s="52" cm="1">
        <f t="array" ref="J67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</v>
      </c>
      <c r="K671" s="15" t="s">
        <v>1129</v>
      </c>
      <c r="L671" s="54" t="s">
        <v>1567</v>
      </c>
      <c r="M671" t="s">
        <v>43</v>
      </c>
      <c r="N671" s="15" t="s">
        <v>1129</v>
      </c>
      <c r="O671" s="5" t="s">
        <v>178</v>
      </c>
      <c r="P671" s="17" t="s">
        <v>146</v>
      </c>
      <c r="Q671" s="10" t="s">
        <v>222</v>
      </c>
      <c r="R671" s="11">
        <v>45495</v>
      </c>
      <c r="S671" s="10" t="s">
        <v>1517</v>
      </c>
      <c r="T671" s="3" t="str">
        <f>IF(AND(ProtocolosAF[[#This Row],[STATUS]]="APROVADO",ProtocolosAF[[#This Row],[WAIVER]]=""),"Y","")</f>
        <v/>
      </c>
      <c r="U671" t="s">
        <v>1568</v>
      </c>
      <c r="V671" s="16" t="str">
        <f t="shared" si="25"/>
        <v>39SGK3MARTINELLI GODINHO/FABIO MR</v>
      </c>
      <c r="W671">
        <v>626</v>
      </c>
    </row>
    <row r="672" spans="1:23" hidden="1">
      <c r="A672" s="1">
        <v>45492</v>
      </c>
      <c r="B672" t="s">
        <v>10</v>
      </c>
      <c r="C672" t="s">
        <v>1566</v>
      </c>
      <c r="D672" s="23" t="s">
        <v>1566</v>
      </c>
      <c r="E672" t="s">
        <v>73</v>
      </c>
      <c r="F672" s="19">
        <v>57994602</v>
      </c>
      <c r="G672" s="53">
        <v>574207249527</v>
      </c>
      <c r="H672" s="52">
        <v>17</v>
      </c>
      <c r="I672" s="5" t="s">
        <v>74</v>
      </c>
      <c r="J672" s="52" cm="1">
        <f t="array" ref="J67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</v>
      </c>
      <c r="K672" s="15" t="s">
        <v>1129</v>
      </c>
      <c r="L672" s="54" t="s">
        <v>1567</v>
      </c>
      <c r="M672" t="s">
        <v>43</v>
      </c>
      <c r="N672" s="15" t="s">
        <v>1129</v>
      </c>
      <c r="O672" s="5" t="s">
        <v>178</v>
      </c>
      <c r="P672" s="17" t="s">
        <v>146</v>
      </c>
      <c r="Q672" s="10" t="s">
        <v>222</v>
      </c>
      <c r="R672" s="11">
        <v>45495</v>
      </c>
      <c r="S672" s="10" t="s">
        <v>1517</v>
      </c>
      <c r="T672" s="3" t="str">
        <f>IF(AND(ProtocolosAF[[#This Row],[STATUS]]="APROVADO",ProtocolosAF[[#This Row],[WAIVER]]=""),"Y","")</f>
        <v/>
      </c>
      <c r="U672" t="s">
        <v>1569</v>
      </c>
      <c r="V672" s="16" t="str">
        <f t="shared" si="25"/>
        <v>39SGK3RORATO/PAULA MRS(</v>
      </c>
      <c r="W672">
        <v>626</v>
      </c>
    </row>
    <row r="673" spans="1:23" hidden="1">
      <c r="A673" s="1">
        <v>45506</v>
      </c>
      <c r="B673" t="s">
        <v>10</v>
      </c>
      <c r="C673" t="s">
        <v>1570</v>
      </c>
      <c r="D673" s="23" t="s">
        <v>1570</v>
      </c>
      <c r="E673" t="s">
        <v>73</v>
      </c>
      <c r="F673" s="19">
        <v>57564931</v>
      </c>
      <c r="G673" s="53">
        <v>574207249564</v>
      </c>
      <c r="H673" s="52">
        <v>236</v>
      </c>
      <c r="I673" s="5" t="s">
        <v>74</v>
      </c>
      <c r="J673" s="52" cm="1">
        <f t="array" ref="J67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236</v>
      </c>
      <c r="K673" s="15" t="s">
        <v>65</v>
      </c>
      <c r="L673" s="54" t="s">
        <v>172</v>
      </c>
      <c r="M673" t="s">
        <v>43</v>
      </c>
      <c r="N673" s="15" t="s">
        <v>65</v>
      </c>
      <c r="O673" s="5" t="s">
        <v>669</v>
      </c>
      <c r="P673" s="17" t="s">
        <v>46</v>
      </c>
      <c r="Q673" s="10" t="s">
        <v>670</v>
      </c>
      <c r="R673" s="11">
        <v>45509</v>
      </c>
      <c r="S673" s="10" t="s">
        <v>173</v>
      </c>
      <c r="T673" s="3" t="str">
        <f>IF(AND(ProtocolosAF[[#This Row],[STATUS]]="APROVADO",ProtocolosAF[[#This Row],[WAIVER]]=""),"Y","")</f>
        <v/>
      </c>
      <c r="U673" t="s">
        <v>1571</v>
      </c>
      <c r="V673" s="16" t="str">
        <f t="shared" si="25"/>
        <v>3WWBYJMURASUGI/KAYAKO</v>
      </c>
      <c r="W673">
        <v>633</v>
      </c>
    </row>
    <row r="674" spans="1:23" hidden="1">
      <c r="A674" s="1">
        <v>45506</v>
      </c>
      <c r="B674" t="s">
        <v>10</v>
      </c>
      <c r="C674" t="s">
        <v>1572</v>
      </c>
      <c r="D674" t="s">
        <v>1572</v>
      </c>
      <c r="E674" t="s">
        <v>41</v>
      </c>
      <c r="F674" s="19">
        <v>57564931</v>
      </c>
      <c r="G674" s="53">
        <v>573046470973</v>
      </c>
      <c r="H674" s="52">
        <v>1391</v>
      </c>
      <c r="I674" s="5">
        <v>0.08</v>
      </c>
      <c r="J674" s="52" cm="1">
        <f t="array" ref="J67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112</v>
      </c>
      <c r="K674" s="15" t="s">
        <v>903</v>
      </c>
      <c r="L674" s="54" t="s">
        <v>76</v>
      </c>
      <c r="M674" t="s">
        <v>43</v>
      </c>
      <c r="N674" s="15" t="s">
        <v>65</v>
      </c>
      <c r="O674" s="5" t="s">
        <v>1573</v>
      </c>
      <c r="P674" s="17" t="s">
        <v>46</v>
      </c>
      <c r="Q674" s="10" t="s">
        <v>1333</v>
      </c>
      <c r="R674" s="11">
        <v>45506</v>
      </c>
      <c r="S674" s="10" t="s">
        <v>1510</v>
      </c>
      <c r="T674" s="3" t="str">
        <f>IF(AND(ProtocolosAF[[#This Row],[STATUS]]="APROVADO",ProtocolosAF[[#This Row],[WAIVER]]=""),"Y","")</f>
        <v/>
      </c>
      <c r="U674" t="s">
        <v>1574</v>
      </c>
      <c r="V674" s="16" t="str">
        <f t="shared" si="25"/>
        <v>2MLIUJDE SOUZA/FABIO JOAO</v>
      </c>
      <c r="W674">
        <v>634</v>
      </c>
    </row>
    <row r="675" spans="1:23" hidden="1">
      <c r="A675" s="1">
        <v>45506</v>
      </c>
      <c r="B675" t="s">
        <v>11</v>
      </c>
      <c r="C675" t="s">
        <v>1575</v>
      </c>
      <c r="D675" s="23" t="s">
        <v>1576</v>
      </c>
      <c r="E675" t="s">
        <v>41</v>
      </c>
      <c r="F675" s="19">
        <v>57564931</v>
      </c>
      <c r="G675" s="53">
        <v>575820601530</v>
      </c>
      <c r="H675" s="52">
        <v>4317</v>
      </c>
      <c r="I675" s="5">
        <v>0.06</v>
      </c>
      <c r="J675" s="52" cm="1">
        <f t="array" ref="J67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260</v>
      </c>
      <c r="K675" s="15" t="s">
        <v>892</v>
      </c>
      <c r="L675" s="54" t="s">
        <v>76</v>
      </c>
      <c r="M675" t="s">
        <v>43</v>
      </c>
      <c r="N675" s="15" t="s">
        <v>1458</v>
      </c>
      <c r="O675" s="5" t="s">
        <v>557</v>
      </c>
      <c r="P675" s="17" t="s">
        <v>69</v>
      </c>
      <c r="Q675" s="10" t="s">
        <v>893</v>
      </c>
      <c r="R675" s="11">
        <v>45513</v>
      </c>
      <c r="S675" s="10" t="s">
        <v>1510</v>
      </c>
      <c r="T675" s="3" t="str">
        <f>IF(AND(ProtocolosAF[[#This Row],[STATUS]]="APROVADO",ProtocolosAF[[#This Row],[WAIVER]]=""),"Y","")</f>
        <v/>
      </c>
      <c r="U675" t="s">
        <v>1577</v>
      </c>
      <c r="V675" s="16" t="str">
        <f t="shared" si="25"/>
        <v>JUOTME1STARLING/DANNIELLE MRS</v>
      </c>
      <c r="W675">
        <v>635</v>
      </c>
    </row>
    <row r="676" spans="1:23" hidden="1">
      <c r="A676" s="1">
        <v>45506</v>
      </c>
      <c r="B676" t="s">
        <v>10</v>
      </c>
      <c r="C676" t="s">
        <v>1578</v>
      </c>
      <c r="D676" s="23" t="s">
        <v>1579</v>
      </c>
      <c r="E676" t="s">
        <v>73</v>
      </c>
      <c r="F676" s="19">
        <v>57564931</v>
      </c>
      <c r="G676" s="53">
        <v>574207249579</v>
      </c>
      <c r="H676" s="52">
        <v>52</v>
      </c>
      <c r="I676" s="5" t="s">
        <v>74</v>
      </c>
      <c r="J676" s="52" cm="1">
        <f t="array" ref="J67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52</v>
      </c>
      <c r="K676" s="15" t="s">
        <v>306</v>
      </c>
      <c r="L676" s="54" t="s">
        <v>172</v>
      </c>
      <c r="M676" t="s">
        <v>43</v>
      </c>
      <c r="N676" s="15" t="s">
        <v>65</v>
      </c>
      <c r="O676" s="5" t="s">
        <v>1580</v>
      </c>
      <c r="P676" s="17" t="s">
        <v>69</v>
      </c>
      <c r="Q676" s="10" t="s">
        <v>1581</v>
      </c>
      <c r="R676" s="11">
        <v>45509</v>
      </c>
      <c r="S676" s="10" t="s">
        <v>173</v>
      </c>
      <c r="T676" s="3" t="str">
        <f>IF(AND(ProtocolosAF[[#This Row],[STATUS]]="APROVADO",ProtocolosAF[[#This Row],[WAIVER]]=""),"Y","")</f>
        <v/>
      </c>
      <c r="U676" t="s">
        <v>1582</v>
      </c>
      <c r="V676" s="16" t="str">
        <f t="shared" si="25"/>
        <v>GJYYOQANDREAZZA/ANA MARIA</v>
      </c>
      <c r="W676">
        <v>636</v>
      </c>
    </row>
    <row r="677" spans="1:23" hidden="1">
      <c r="A677" s="1">
        <v>45506</v>
      </c>
      <c r="B677" t="s">
        <v>10</v>
      </c>
      <c r="C677" t="s">
        <v>1583</v>
      </c>
      <c r="D677" s="23" t="s">
        <v>1584</v>
      </c>
      <c r="E677" t="s">
        <v>41</v>
      </c>
      <c r="F677" s="19">
        <v>57564931</v>
      </c>
      <c r="G677" s="53">
        <v>575820601518</v>
      </c>
      <c r="H677" s="52">
        <v>1157</v>
      </c>
      <c r="I677" s="5">
        <v>0.1</v>
      </c>
      <c r="J677" s="52" cm="1">
        <f t="array" ref="J67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116</v>
      </c>
      <c r="K677" s="15" t="s">
        <v>189</v>
      </c>
      <c r="L677" s="54" t="s">
        <v>76</v>
      </c>
      <c r="M677" t="s">
        <v>43</v>
      </c>
      <c r="N677" s="15" t="s">
        <v>65</v>
      </c>
      <c r="O677" s="5" t="s">
        <v>812</v>
      </c>
      <c r="P677" s="17" t="s">
        <v>146</v>
      </c>
      <c r="Q677" s="10" t="s">
        <v>1345</v>
      </c>
      <c r="R677" s="11">
        <v>45506</v>
      </c>
      <c r="S677" s="10" t="s">
        <v>1510</v>
      </c>
      <c r="T677" s="3" t="str">
        <f>IF(AND(ProtocolosAF[[#This Row],[STATUS]]="APROVADO",ProtocolosAF[[#This Row],[WAIVER]]=""),"Y","")</f>
        <v/>
      </c>
      <c r="U677" t="s">
        <v>1585</v>
      </c>
      <c r="V677" s="16" t="str">
        <f t="shared" si="25"/>
        <v>JMRMBMAZEVEDO FURTADO/BARBARA MRS</v>
      </c>
      <c r="W677">
        <v>637</v>
      </c>
    </row>
    <row r="678" spans="1:23" hidden="1">
      <c r="A678" s="1">
        <v>45506</v>
      </c>
      <c r="B678" t="s">
        <v>10</v>
      </c>
      <c r="C678" t="s">
        <v>1308</v>
      </c>
      <c r="D678" s="23" t="s">
        <v>1309</v>
      </c>
      <c r="E678" t="s">
        <v>73</v>
      </c>
      <c r="F678" s="19">
        <v>57564931</v>
      </c>
      <c r="G678" s="53">
        <v>574207249167</v>
      </c>
      <c r="H678" s="52">
        <v>112</v>
      </c>
      <c r="I678" s="5" t="s">
        <v>74</v>
      </c>
      <c r="J678" s="52" cm="1">
        <f t="array" ref="J67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112</v>
      </c>
      <c r="K678" s="15" t="s">
        <v>306</v>
      </c>
      <c r="L678" s="54" t="s">
        <v>172</v>
      </c>
      <c r="M678" t="s">
        <v>43</v>
      </c>
      <c r="N678" s="15" t="s">
        <v>65</v>
      </c>
      <c r="O678" s="5" t="s">
        <v>1586</v>
      </c>
      <c r="P678" s="17" t="s">
        <v>69</v>
      </c>
      <c r="Q678" s="10" t="s">
        <v>1581</v>
      </c>
      <c r="R678" s="11">
        <v>45509</v>
      </c>
      <c r="S678" s="10" t="s">
        <v>173</v>
      </c>
      <c r="T678" s="3" t="str">
        <f>IF(AND(ProtocolosAF[[#This Row],[STATUS]]="APROVADO",ProtocolosAF[[#This Row],[WAIVER]]=""),"Y","")</f>
        <v/>
      </c>
      <c r="U678" t="s">
        <v>1311</v>
      </c>
      <c r="V678" s="16" t="str">
        <f t="shared" si="25"/>
        <v>KLFTAKFARACO/HELIO</v>
      </c>
      <c r="W678">
        <v>641</v>
      </c>
    </row>
    <row r="679" spans="1:23" hidden="1">
      <c r="A679" s="1">
        <v>45506</v>
      </c>
      <c r="B679" t="s">
        <v>10</v>
      </c>
      <c r="C679" t="s">
        <v>1587</v>
      </c>
      <c r="D679" s="23" t="s">
        <v>1588</v>
      </c>
      <c r="E679" t="s">
        <v>73</v>
      </c>
      <c r="F679" s="19">
        <v>57564931</v>
      </c>
      <c r="G679" s="53">
        <v>574207249580</v>
      </c>
      <c r="H679" s="52">
        <v>88</v>
      </c>
      <c r="I679" s="5" t="s">
        <v>74</v>
      </c>
      <c r="J679" s="52" cm="1">
        <f t="array" ref="J67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88</v>
      </c>
      <c r="K679" s="15" t="s">
        <v>306</v>
      </c>
      <c r="L679" s="54" t="s">
        <v>172</v>
      </c>
      <c r="M679" t="s">
        <v>43</v>
      </c>
      <c r="N679" s="15" t="s">
        <v>65</v>
      </c>
      <c r="O679" s="5" t="s">
        <v>1586</v>
      </c>
      <c r="P679" s="17" t="s">
        <v>69</v>
      </c>
      <c r="Q679" s="10" t="s">
        <v>1581</v>
      </c>
      <c r="R679" s="11">
        <v>45509</v>
      </c>
      <c r="S679" s="10" t="s">
        <v>173</v>
      </c>
      <c r="T679" s="3" t="str">
        <f>IF(AND(ProtocolosAF[[#This Row],[STATUS]]="APROVADO",ProtocolosAF[[#This Row],[WAIVER]]=""),"Y","")</f>
        <v/>
      </c>
      <c r="U679" t="s">
        <v>1589</v>
      </c>
      <c r="V679" s="16" t="str">
        <f t="shared" si="25"/>
        <v>MMOHHLBECKER/ISABEL MRS</v>
      </c>
      <c r="W679">
        <v>640</v>
      </c>
    </row>
    <row r="680" spans="1:23" hidden="1">
      <c r="A680" s="1">
        <v>45506</v>
      </c>
      <c r="B680" t="s">
        <v>10</v>
      </c>
      <c r="C680" t="s">
        <v>1590</v>
      </c>
      <c r="D680" s="23" t="s">
        <v>1591</v>
      </c>
      <c r="E680" t="s">
        <v>73</v>
      </c>
      <c r="F680" s="19">
        <v>57564931</v>
      </c>
      <c r="G680" s="53">
        <v>574207249165</v>
      </c>
      <c r="H680" s="52">
        <v>112</v>
      </c>
      <c r="I680" s="5" t="s">
        <v>74</v>
      </c>
      <c r="J680" s="52" cm="1">
        <f t="array" ref="J68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112</v>
      </c>
      <c r="K680" s="15" t="s">
        <v>306</v>
      </c>
      <c r="L680" s="54" t="s">
        <v>172</v>
      </c>
      <c r="M680" t="s">
        <v>43</v>
      </c>
      <c r="N680" s="15" t="s">
        <v>65</v>
      </c>
      <c r="O680" s="5" t="s">
        <v>1586</v>
      </c>
      <c r="P680" s="17" t="s">
        <v>69</v>
      </c>
      <c r="Q680" s="10" t="s">
        <v>1581</v>
      </c>
      <c r="R680" s="11">
        <v>45509</v>
      </c>
      <c r="S680" s="10" t="s">
        <v>173</v>
      </c>
      <c r="T680" s="3" t="str">
        <f>IF(AND(ProtocolosAF[[#This Row],[STATUS]]="APROVADO",ProtocolosAF[[#This Row],[WAIVER]]=""),"Y","")</f>
        <v/>
      </c>
      <c r="U680" t="s">
        <v>1310</v>
      </c>
      <c r="V680" s="16" t="str">
        <f t="shared" si="25"/>
        <v>KEQUKQVIDAL/MARIANA</v>
      </c>
      <c r="W680">
        <v>639</v>
      </c>
    </row>
    <row r="681" spans="1:23" hidden="1">
      <c r="A681" s="1">
        <v>45509</v>
      </c>
      <c r="B681" t="s">
        <v>13</v>
      </c>
      <c r="C681" t="s">
        <v>1592</v>
      </c>
      <c r="D681" s="23" t="s">
        <v>1592</v>
      </c>
      <c r="E681" t="s">
        <v>41</v>
      </c>
      <c r="F681" s="19">
        <v>57564931</v>
      </c>
      <c r="G681" s="53">
        <v>575901689035</v>
      </c>
      <c r="H681" s="52">
        <v>1215</v>
      </c>
      <c r="I681" s="5">
        <v>0.1</v>
      </c>
      <c r="J681" s="52" cm="1">
        <f t="array" ref="J68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122</v>
      </c>
      <c r="K681" s="15" t="s">
        <v>151</v>
      </c>
      <c r="L681" s="54" t="s">
        <v>172</v>
      </c>
      <c r="M681" t="s">
        <v>43</v>
      </c>
      <c r="N681" s="15" t="s">
        <v>151</v>
      </c>
      <c r="O681" s="5" t="s">
        <v>234</v>
      </c>
      <c r="P681" s="17" t="s">
        <v>69</v>
      </c>
      <c r="Q681" s="10" t="s">
        <v>168</v>
      </c>
      <c r="R681" s="11">
        <v>45510</v>
      </c>
      <c r="S681" s="10" t="s">
        <v>1510</v>
      </c>
      <c r="T681" s="3" t="str">
        <f>IF(AND(ProtocolosAF[[#This Row],[STATUS]]="APROVADO",ProtocolosAF[[#This Row],[WAIVER]]=""),"Y","")</f>
        <v/>
      </c>
      <c r="U681" t="s">
        <v>1593</v>
      </c>
      <c r="V681" s="16" t="str">
        <f t="shared" si="25"/>
        <v>35GV5JGARCIA/CESAR</v>
      </c>
      <c r="W681">
        <v>643</v>
      </c>
    </row>
    <row r="682" spans="1:23" hidden="1">
      <c r="A682" s="1">
        <v>45509</v>
      </c>
      <c r="B682" t="s">
        <v>13</v>
      </c>
      <c r="C682" t="s">
        <v>1592</v>
      </c>
      <c r="D682" s="23" t="s">
        <v>1592</v>
      </c>
      <c r="E682" t="s">
        <v>41</v>
      </c>
      <c r="F682" s="19">
        <v>57564931</v>
      </c>
      <c r="G682" s="53">
        <v>575901689071</v>
      </c>
      <c r="H682" s="52">
        <v>1215</v>
      </c>
      <c r="I682" s="5">
        <v>0.1</v>
      </c>
      <c r="J682" s="52" cm="1">
        <f t="array" ref="J68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122</v>
      </c>
      <c r="K682" s="15" t="s">
        <v>151</v>
      </c>
      <c r="L682" s="54" t="s">
        <v>172</v>
      </c>
      <c r="M682" t="s">
        <v>43</v>
      </c>
      <c r="N682" s="15" t="s">
        <v>151</v>
      </c>
      <c r="O682" s="5" t="s">
        <v>234</v>
      </c>
      <c r="P682" s="17" t="s">
        <v>69</v>
      </c>
      <c r="Q682" s="10" t="s">
        <v>168</v>
      </c>
      <c r="R682" s="11">
        <v>45510</v>
      </c>
      <c r="S682" s="10" t="s">
        <v>1510</v>
      </c>
      <c r="T682" s="3" t="str">
        <f>IF(AND(ProtocolosAF[[#This Row],[STATUS]]="APROVADO",ProtocolosAF[[#This Row],[WAIVER]]=""),"Y","")</f>
        <v/>
      </c>
      <c r="U682" t="s">
        <v>1594</v>
      </c>
      <c r="V682" s="16" t="str">
        <f t="shared" si="25"/>
        <v>35GV5JGARCIA/LUCIANO</v>
      </c>
      <c r="W682">
        <v>643</v>
      </c>
    </row>
    <row r="683" spans="1:23" hidden="1">
      <c r="A683" s="1">
        <v>45510</v>
      </c>
      <c r="B683" t="s">
        <v>11</v>
      </c>
      <c r="C683" t="s">
        <v>1595</v>
      </c>
      <c r="D683" s="23" t="s">
        <v>1595</v>
      </c>
      <c r="E683" t="s">
        <v>41</v>
      </c>
      <c r="F683" s="19"/>
      <c r="G683" s="53"/>
      <c r="H683" s="52">
        <v>3266</v>
      </c>
      <c r="I683" s="5">
        <v>0.06</v>
      </c>
      <c r="J683" s="52" t="str" cm="1">
        <f t="array" ref="J68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83" s="15" t="s">
        <v>1007</v>
      </c>
      <c r="L683" s="54" t="s">
        <v>76</v>
      </c>
      <c r="M683" t="s">
        <v>100</v>
      </c>
      <c r="N683" s="15" t="s">
        <v>1458</v>
      </c>
      <c r="O683" s="5" t="s">
        <v>1596</v>
      </c>
      <c r="P683" s="17" t="s">
        <v>69</v>
      </c>
      <c r="Q683" s="10"/>
      <c r="R683" s="11"/>
      <c r="S683" s="10"/>
      <c r="T683" s="3" t="str">
        <f>IF(AND(ProtocolosAF[[#This Row],[STATUS]]="APROVADO",ProtocolosAF[[#This Row],[WAIVER]]=""),"Y","")</f>
        <v/>
      </c>
      <c r="U683" t="s">
        <v>1597</v>
      </c>
      <c r="V683" s="16" t="str">
        <f t="shared" si="25"/>
        <v>3CBZ6ALIMA LOMBARDO/ANA PAULA</v>
      </c>
      <c r="W683">
        <v>644</v>
      </c>
    </row>
    <row r="684" spans="1:23" hidden="1">
      <c r="A684" s="1">
        <v>45511</v>
      </c>
      <c r="B684" t="s">
        <v>15</v>
      </c>
      <c r="C684" t="s">
        <v>1598</v>
      </c>
      <c r="D684" s="23" t="s">
        <v>1599</v>
      </c>
      <c r="E684" t="s">
        <v>41</v>
      </c>
      <c r="F684" s="19">
        <v>57564931</v>
      </c>
      <c r="G684" s="53">
        <v>572041209015</v>
      </c>
      <c r="H684" s="52">
        <v>855</v>
      </c>
      <c r="I684" s="5">
        <v>0.15</v>
      </c>
      <c r="J684" s="52" cm="1">
        <f t="array" ref="J68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129</v>
      </c>
      <c r="K684" s="15" t="s">
        <v>1293</v>
      </c>
      <c r="L684" s="54" t="s">
        <v>76</v>
      </c>
      <c r="M684" t="s">
        <v>43</v>
      </c>
      <c r="N684" s="15" t="s">
        <v>1155</v>
      </c>
      <c r="O684" s="5" t="s">
        <v>145</v>
      </c>
      <c r="P684" s="17" t="s">
        <v>146</v>
      </c>
      <c r="Q684" s="10" t="s">
        <v>79</v>
      </c>
      <c r="R684" s="11">
        <v>45512</v>
      </c>
      <c r="S684" s="10" t="s">
        <v>48</v>
      </c>
      <c r="T684" s="3" t="str">
        <f>IF(AND(ProtocolosAF[[#This Row],[STATUS]]="APROVADO",ProtocolosAF[[#This Row],[WAIVER]]=""),"Y","")</f>
        <v/>
      </c>
      <c r="U684" t="s">
        <v>1600</v>
      </c>
      <c r="V684" s="16" t="str">
        <f t="shared" si="25"/>
        <v>8MBGSH 1.1ROSA DA SILVA/SIDNEYMR</v>
      </c>
      <c r="W684">
        <v>645</v>
      </c>
    </row>
    <row r="685" spans="1:23" hidden="1">
      <c r="A685" s="1">
        <v>45512</v>
      </c>
      <c r="B685" t="s">
        <v>12</v>
      </c>
      <c r="C685" t="s">
        <v>1601</v>
      </c>
      <c r="D685" s="23" t="s">
        <v>1602</v>
      </c>
      <c r="E685" t="s">
        <v>512</v>
      </c>
      <c r="F685" s="19">
        <v>57564931</v>
      </c>
      <c r="G685" s="53">
        <v>575901700034</v>
      </c>
      <c r="H685" s="52">
        <v>183</v>
      </c>
      <c r="I685" s="5" t="s">
        <v>74</v>
      </c>
      <c r="J685" s="52" cm="1">
        <f t="array" ref="J68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183</v>
      </c>
      <c r="K685" s="15" t="s">
        <v>1603</v>
      </c>
      <c r="L685" s="54" t="s">
        <v>1604</v>
      </c>
      <c r="M685" t="s">
        <v>43</v>
      </c>
      <c r="N685" s="15" t="s">
        <v>1552</v>
      </c>
      <c r="O685" s="5" t="s">
        <v>468</v>
      </c>
      <c r="P685" s="17" t="s">
        <v>146</v>
      </c>
      <c r="Q685" s="10" t="s">
        <v>1605</v>
      </c>
      <c r="R685" s="11">
        <v>45513</v>
      </c>
      <c r="S685" s="10" t="s">
        <v>1083</v>
      </c>
      <c r="T685" s="3" t="str">
        <f>IF(AND(ProtocolosAF[[#This Row],[STATUS]]="APROVADO",ProtocolosAF[[#This Row],[WAIVER]]=""),"Y","")</f>
        <v/>
      </c>
      <c r="U685" t="s">
        <v>1606</v>
      </c>
      <c r="V685" s="16" t="str">
        <f t="shared" si="25"/>
        <v xml:space="preserve">8HD9QSSEZERINO/PABLOMR </v>
      </c>
      <c r="W685">
        <v>647</v>
      </c>
    </row>
    <row r="686" spans="1:23" hidden="1">
      <c r="A686" s="1">
        <v>45512</v>
      </c>
      <c r="B686" t="s">
        <v>12</v>
      </c>
      <c r="C686" t="s">
        <v>1607</v>
      </c>
      <c r="D686" s="23" t="s">
        <v>1607</v>
      </c>
      <c r="E686" t="s">
        <v>41</v>
      </c>
      <c r="F686" s="19">
        <v>57564931</v>
      </c>
      <c r="G686" s="53">
        <v>573046368695</v>
      </c>
      <c r="H686" s="52">
        <v>919</v>
      </c>
      <c r="I686" s="5">
        <v>0.1</v>
      </c>
      <c r="J686" s="52" cm="1">
        <f t="array" ref="J68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92</v>
      </c>
      <c r="K686" s="15" t="s">
        <v>1608</v>
      </c>
      <c r="L686" s="54" t="s">
        <v>1609</v>
      </c>
      <c r="M686" t="s">
        <v>43</v>
      </c>
      <c r="N686" s="15" t="s">
        <v>1552</v>
      </c>
      <c r="O686" s="5" t="s">
        <v>1610</v>
      </c>
      <c r="P686" s="17" t="s">
        <v>146</v>
      </c>
      <c r="Q686" s="10" t="s">
        <v>1605</v>
      </c>
      <c r="R686" s="11">
        <v>45512</v>
      </c>
      <c r="S686" s="10" t="s">
        <v>1510</v>
      </c>
      <c r="T686" s="3" t="str">
        <f>IF(AND(ProtocolosAF[[#This Row],[STATUS]]="APROVADO",ProtocolosAF[[#This Row],[WAIVER]]=""),"Y","")</f>
        <v/>
      </c>
      <c r="U686" t="s">
        <v>1611</v>
      </c>
      <c r="V686" s="16" t="str">
        <f t="shared" si="25"/>
        <v>3IKZBLALTENFELDER/TAMARA</v>
      </c>
      <c r="W686">
        <v>649</v>
      </c>
    </row>
    <row r="687" spans="1:23" hidden="1">
      <c r="A687" s="1">
        <v>45512</v>
      </c>
      <c r="B687" t="s">
        <v>12</v>
      </c>
      <c r="C687" t="s">
        <v>1601</v>
      </c>
      <c r="D687" s="23" t="s">
        <v>1602</v>
      </c>
      <c r="E687" t="s">
        <v>512</v>
      </c>
      <c r="F687" s="19"/>
      <c r="G687" s="53"/>
      <c r="H687" s="52">
        <v>183</v>
      </c>
      <c r="I687" s="5" t="s">
        <v>74</v>
      </c>
      <c r="J687" s="52" t="str" cm="1">
        <f t="array" ref="J68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87" s="15" t="s">
        <v>1603</v>
      </c>
      <c r="L687" s="54" t="s">
        <v>529</v>
      </c>
      <c r="M687" t="s">
        <v>217</v>
      </c>
      <c r="N687" s="15" t="s">
        <v>1155</v>
      </c>
      <c r="O687" s="5" t="s">
        <v>468</v>
      </c>
      <c r="P687" s="17" t="s">
        <v>146</v>
      </c>
      <c r="Q687" s="10"/>
      <c r="R687" s="11"/>
      <c r="S687" s="10"/>
      <c r="T687" s="3" t="str">
        <f>IF(AND(ProtocolosAF[[#This Row],[STATUS]]="APROVADO",ProtocolosAF[[#This Row],[WAIVER]]=""),"Y","")</f>
        <v/>
      </c>
      <c r="U687" t="s">
        <v>1612</v>
      </c>
      <c r="V687" s="16" t="str">
        <f t="shared" si="25"/>
        <v xml:space="preserve">8HD9QSSEZERINO/PABLOMR        </v>
      </c>
      <c r="W687">
        <v>646</v>
      </c>
    </row>
    <row r="688" spans="1:23" hidden="1">
      <c r="A688" s="1">
        <v>45512</v>
      </c>
      <c r="B688" t="s">
        <v>13</v>
      </c>
      <c r="C688" t="s">
        <v>1613</v>
      </c>
      <c r="D688" s="23" t="s">
        <v>1613</v>
      </c>
      <c r="E688" t="s">
        <v>41</v>
      </c>
      <c r="F688" s="19"/>
      <c r="G688" s="53"/>
      <c r="H688" s="52">
        <v>663</v>
      </c>
      <c r="I688" s="5">
        <v>0.1</v>
      </c>
      <c r="J688" s="52" t="str" cm="1">
        <f t="array" ref="J68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88" s="15" t="s">
        <v>1614</v>
      </c>
      <c r="L688" s="54" t="s">
        <v>1615</v>
      </c>
      <c r="M688" t="s">
        <v>100</v>
      </c>
      <c r="N688" s="15" t="s">
        <v>151</v>
      </c>
      <c r="O688" s="5" t="s">
        <v>318</v>
      </c>
      <c r="P688" s="17" t="s">
        <v>255</v>
      </c>
      <c r="Q688" s="10"/>
      <c r="R688" s="11"/>
      <c r="S688" s="10"/>
      <c r="T688" s="3" t="str">
        <f>IF(AND(ProtocolosAF[[#This Row],[STATUS]]="APROVADO",ProtocolosAF[[#This Row],[WAIVER]]=""),"Y","")</f>
        <v/>
      </c>
      <c r="U688" t="s">
        <v>1616</v>
      </c>
      <c r="V688" s="16" t="str">
        <f t="shared" si="25"/>
        <v>3NB2YLJABALI PEDREIRA LEAL/SUSANA</v>
      </c>
      <c r="W688">
        <v>651</v>
      </c>
    </row>
    <row r="689" spans="1:23" hidden="1">
      <c r="A689" s="1">
        <v>45512</v>
      </c>
      <c r="B689" t="s">
        <v>13</v>
      </c>
      <c r="C689" t="s">
        <v>1613</v>
      </c>
      <c r="D689" s="23" t="s">
        <v>1613</v>
      </c>
      <c r="E689" t="s">
        <v>41</v>
      </c>
      <c r="F689" s="19"/>
      <c r="G689" s="53"/>
      <c r="H689" s="52">
        <v>663</v>
      </c>
      <c r="I689" s="5">
        <v>0.1</v>
      </c>
      <c r="J689" s="52" t="str" cm="1">
        <f t="array" ref="J68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89" s="15" t="s">
        <v>1614</v>
      </c>
      <c r="L689" s="54" t="s">
        <v>1615</v>
      </c>
      <c r="M689" t="s">
        <v>100</v>
      </c>
      <c r="N689" s="15" t="s">
        <v>151</v>
      </c>
      <c r="O689" s="5" t="s">
        <v>318</v>
      </c>
      <c r="P689" s="17" t="s">
        <v>255</v>
      </c>
      <c r="Q689" s="10"/>
      <c r="R689" s="11"/>
      <c r="S689" s="10"/>
      <c r="T689" s="3" t="str">
        <f>IF(AND(ProtocolosAF[[#This Row],[STATUS]]="APROVADO",ProtocolosAF[[#This Row],[WAIVER]]=""),"Y","")</f>
        <v/>
      </c>
      <c r="U689" t="s">
        <v>1617</v>
      </c>
      <c r="V689" s="16" t="str">
        <f t="shared" si="25"/>
        <v>3NB2YLMOREIRA LEAL/CARLOS ALBERTO</v>
      </c>
      <c r="W689">
        <v>651</v>
      </c>
    </row>
    <row r="690" spans="1:23" hidden="1">
      <c r="A690" s="1">
        <v>45512</v>
      </c>
      <c r="B690" t="s">
        <v>13</v>
      </c>
      <c r="C690" t="s">
        <v>1618</v>
      </c>
      <c r="D690" s="23" t="s">
        <v>1618</v>
      </c>
      <c r="E690" t="s">
        <v>41</v>
      </c>
      <c r="F690" s="19"/>
      <c r="G690" s="53"/>
      <c r="H690" s="52">
        <v>67</v>
      </c>
      <c r="I690" s="5">
        <v>0.1</v>
      </c>
      <c r="J690" s="52" t="str" cm="1">
        <f t="array" ref="J69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90" s="15" t="s">
        <v>1614</v>
      </c>
      <c r="L690" s="54" t="s">
        <v>1615</v>
      </c>
      <c r="M690" t="s">
        <v>217</v>
      </c>
      <c r="N690" s="15" t="s">
        <v>151</v>
      </c>
      <c r="O690" s="5" t="s">
        <v>318</v>
      </c>
      <c r="P690" s="17" t="s">
        <v>255</v>
      </c>
      <c r="Q690" s="10"/>
      <c r="R690" s="11"/>
      <c r="S690" s="10"/>
      <c r="T690" s="3" t="str">
        <f>IF(AND(ProtocolosAF[[#This Row],[STATUS]]="APROVADO",ProtocolosAF[[#This Row],[WAIVER]]=""),"Y","")</f>
        <v/>
      </c>
      <c r="U690" t="s">
        <v>1619</v>
      </c>
      <c r="V690" s="16" t="str">
        <f t="shared" si="25"/>
        <v>3NAKXRPEDREIRA LEAL/ISABELLA</v>
      </c>
      <c r="W690">
        <v>652</v>
      </c>
    </row>
    <row r="691" spans="1:23" hidden="1">
      <c r="A691" s="1">
        <v>45512</v>
      </c>
      <c r="B691" t="s">
        <v>13</v>
      </c>
      <c r="C691" t="s">
        <v>1620</v>
      </c>
      <c r="D691" s="23" t="s">
        <v>1620</v>
      </c>
      <c r="E691" t="s">
        <v>41</v>
      </c>
      <c r="F691" s="19"/>
      <c r="G691" s="53"/>
      <c r="H691" s="52">
        <v>67</v>
      </c>
      <c r="I691" s="5">
        <v>0.1</v>
      </c>
      <c r="J691" s="52" t="str" cm="1">
        <f t="array" ref="J69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91" s="15" t="s">
        <v>1614</v>
      </c>
      <c r="L691" s="54" t="s">
        <v>1621</v>
      </c>
      <c r="M691" t="s">
        <v>217</v>
      </c>
      <c r="N691" s="15" t="s">
        <v>151</v>
      </c>
      <c r="O691" s="5" t="s">
        <v>318</v>
      </c>
      <c r="P691" s="17" t="s">
        <v>255</v>
      </c>
      <c r="Q691" s="10"/>
      <c r="R691" s="11"/>
      <c r="S691" s="10"/>
      <c r="T691" s="3" t="str">
        <f>IF(AND(ProtocolosAF[[#This Row],[STATUS]]="APROVADO",ProtocolosAF[[#This Row],[WAIVER]]=""),"Y","")</f>
        <v/>
      </c>
      <c r="U691" t="s">
        <v>1622</v>
      </c>
      <c r="V691" s="16" t="str">
        <f t="shared" si="25"/>
        <v>3NBHVEBORDIN D AZEVEDO CRUZ/VICTOR</v>
      </c>
      <c r="W691">
        <v>650</v>
      </c>
    </row>
    <row r="692" spans="1:23" hidden="1">
      <c r="A692" s="1">
        <v>45512</v>
      </c>
      <c r="B692" t="s">
        <v>13</v>
      </c>
      <c r="C692" t="s">
        <v>1618</v>
      </c>
      <c r="D692" s="23" t="s">
        <v>1618</v>
      </c>
      <c r="E692" t="s">
        <v>41</v>
      </c>
      <c r="F692" s="19"/>
      <c r="G692" s="53"/>
      <c r="H692" s="52">
        <v>663</v>
      </c>
      <c r="I692" s="5">
        <v>0.1</v>
      </c>
      <c r="J692" s="52" t="str" cm="1">
        <f t="array" ref="J69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92" s="15" t="s">
        <v>1614</v>
      </c>
      <c r="L692" s="54" t="s">
        <v>1623</v>
      </c>
      <c r="M692" t="s">
        <v>100</v>
      </c>
      <c r="N692" s="15" t="s">
        <v>151</v>
      </c>
      <c r="O692" s="5" t="s">
        <v>318</v>
      </c>
      <c r="P692" s="17" t="s">
        <v>255</v>
      </c>
      <c r="Q692" s="10"/>
      <c r="R692" s="11"/>
      <c r="S692" s="10"/>
      <c r="T692" s="3" t="str">
        <f>IF(AND(ProtocolosAF[[#This Row],[STATUS]]="APROVADO",ProtocolosAF[[#This Row],[WAIVER]]=""),"Y","")</f>
        <v/>
      </c>
      <c r="U692" t="s">
        <v>1619</v>
      </c>
      <c r="V692" s="16" t="str">
        <f t="shared" si="25"/>
        <v>3NAKXRPEDREIRA LEAL/ISABELLA</v>
      </c>
      <c r="W692">
        <v>653</v>
      </c>
    </row>
    <row r="693" spans="1:23" hidden="1">
      <c r="A693" s="1">
        <v>45512</v>
      </c>
      <c r="B693" t="s">
        <v>13</v>
      </c>
      <c r="C693" t="s">
        <v>1618</v>
      </c>
      <c r="D693" s="23" t="s">
        <v>1618</v>
      </c>
      <c r="E693" t="s">
        <v>41</v>
      </c>
      <c r="F693" s="19"/>
      <c r="G693" s="53"/>
      <c r="H693" s="52">
        <v>663</v>
      </c>
      <c r="I693" s="5">
        <v>0.1</v>
      </c>
      <c r="J693" s="52" t="str" cm="1">
        <f t="array" ref="J69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93" s="15" t="s">
        <v>1614</v>
      </c>
      <c r="L693" s="54" t="s">
        <v>1623</v>
      </c>
      <c r="M693" t="s">
        <v>100</v>
      </c>
      <c r="N693" s="15" t="s">
        <v>151</v>
      </c>
      <c r="O693" s="5" t="s">
        <v>318</v>
      </c>
      <c r="P693" s="17" t="s">
        <v>255</v>
      </c>
      <c r="Q693" s="10"/>
      <c r="R693" s="11"/>
      <c r="S693" s="10"/>
      <c r="T693" s="3" t="str">
        <f>IF(AND(ProtocolosAF[[#This Row],[STATUS]]="APROVADO",ProtocolosAF[[#This Row],[WAIVER]]=""),"Y","")</f>
        <v/>
      </c>
      <c r="U693" t="s">
        <v>1624</v>
      </c>
      <c r="V693" s="16" t="str">
        <f t="shared" si="25"/>
        <v>3NAKXRPEDREIRA LEAL/JULIANA</v>
      </c>
      <c r="W693">
        <v>653</v>
      </c>
    </row>
    <row r="694" spans="1:23" hidden="1">
      <c r="A694" s="1">
        <v>45512</v>
      </c>
      <c r="B694" t="s">
        <v>13</v>
      </c>
      <c r="C694" t="s">
        <v>1620</v>
      </c>
      <c r="D694" s="23" t="s">
        <v>1620</v>
      </c>
      <c r="E694" t="s">
        <v>41</v>
      </c>
      <c r="F694" s="19"/>
      <c r="G694" s="53"/>
      <c r="H694" s="52">
        <v>663</v>
      </c>
      <c r="I694" s="5">
        <v>0.1</v>
      </c>
      <c r="J694" s="52" t="str" cm="1">
        <f t="array" ref="J69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694" s="15" t="s">
        <v>1614</v>
      </c>
      <c r="L694" s="54" t="s">
        <v>1615</v>
      </c>
      <c r="M694" t="s">
        <v>100</v>
      </c>
      <c r="N694" s="15" t="s">
        <v>151</v>
      </c>
      <c r="O694" s="5" t="s">
        <v>318</v>
      </c>
      <c r="P694" s="17" t="s">
        <v>255</v>
      </c>
      <c r="Q694" s="10"/>
      <c r="R694" s="11"/>
      <c r="S694" s="10"/>
      <c r="T694" s="3" t="str">
        <f>IF(AND(ProtocolosAF[[#This Row],[STATUS]]="APROVADO",ProtocolosAF[[#This Row],[WAIVER]]=""),"Y","")</f>
        <v/>
      </c>
      <c r="U694" t="s">
        <v>1622</v>
      </c>
      <c r="V694" s="16" t="str">
        <f t="shared" si="25"/>
        <v>3NBHVEBORDIN D AZEVEDO CRUZ/VICTOR</v>
      </c>
      <c r="W694">
        <v>654</v>
      </c>
    </row>
    <row r="695" spans="1:23" hidden="1">
      <c r="A695" s="1">
        <v>45513</v>
      </c>
      <c r="B695" t="s">
        <v>13</v>
      </c>
      <c r="C695" t="s">
        <v>1613</v>
      </c>
      <c r="D695" s="23" t="s">
        <v>1613</v>
      </c>
      <c r="E695" t="s">
        <v>41</v>
      </c>
      <c r="F695" s="19">
        <v>57564931</v>
      </c>
      <c r="G695" s="53">
        <v>575901706899</v>
      </c>
      <c r="H695" s="52">
        <v>663</v>
      </c>
      <c r="I695" s="5">
        <v>0.1</v>
      </c>
      <c r="J695" s="52" cm="1">
        <f t="array" ref="J69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67</v>
      </c>
      <c r="K695" s="15" t="s">
        <v>1542</v>
      </c>
      <c r="L695" s="54" t="s">
        <v>1625</v>
      </c>
      <c r="M695" t="s">
        <v>43</v>
      </c>
      <c r="N695" s="15" t="s">
        <v>151</v>
      </c>
      <c r="O695" s="5" t="s">
        <v>134</v>
      </c>
      <c r="P695" s="17" t="s">
        <v>503</v>
      </c>
      <c r="Q695" s="10" t="s">
        <v>1626</v>
      </c>
      <c r="R695" s="11">
        <v>45513</v>
      </c>
      <c r="S695" s="10" t="s">
        <v>1510</v>
      </c>
      <c r="T695" s="3" t="str">
        <f>IF(AND(ProtocolosAF[[#This Row],[STATUS]]="APROVADO",ProtocolosAF[[#This Row],[WAIVER]]=""),"Y","")</f>
        <v/>
      </c>
      <c r="U695" t="s">
        <v>1616</v>
      </c>
      <c r="V695" s="16" t="str">
        <f t="shared" si="25"/>
        <v>3NB2YLJABALI PEDREIRA LEAL/SUSANA</v>
      </c>
      <c r="W695">
        <v>655</v>
      </c>
    </row>
    <row r="696" spans="1:23" hidden="1">
      <c r="A696" s="1">
        <v>45513</v>
      </c>
      <c r="B696" t="s">
        <v>13</v>
      </c>
      <c r="C696" t="s">
        <v>1613</v>
      </c>
      <c r="D696" s="23" t="s">
        <v>1613</v>
      </c>
      <c r="E696" t="s">
        <v>41</v>
      </c>
      <c r="F696" s="19">
        <v>57564931</v>
      </c>
      <c r="G696" s="53">
        <v>575901709000</v>
      </c>
      <c r="H696" s="52">
        <v>663</v>
      </c>
      <c r="I696" s="5">
        <v>0.1</v>
      </c>
      <c r="J696" s="52" cm="1">
        <f t="array" ref="J69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67</v>
      </c>
      <c r="K696" s="15" t="s">
        <v>1542</v>
      </c>
      <c r="L696" s="54" t="s">
        <v>1625</v>
      </c>
      <c r="M696" t="s">
        <v>43</v>
      </c>
      <c r="N696" s="15" t="s">
        <v>151</v>
      </c>
      <c r="O696" s="5" t="s">
        <v>134</v>
      </c>
      <c r="P696" s="17" t="s">
        <v>503</v>
      </c>
      <c r="Q696" s="10" t="s">
        <v>1626</v>
      </c>
      <c r="R696" s="11">
        <v>45513</v>
      </c>
      <c r="S696" s="10" t="s">
        <v>1510</v>
      </c>
      <c r="T696" s="3" t="str">
        <f>IF(AND(ProtocolosAF[[#This Row],[STATUS]]="APROVADO",ProtocolosAF[[#This Row],[WAIVER]]=""),"Y","")</f>
        <v/>
      </c>
      <c r="U696" t="s">
        <v>1617</v>
      </c>
      <c r="V696" s="16" t="str">
        <f t="shared" si="25"/>
        <v>3NB2YLMOREIRA LEAL/CARLOS ALBERTO</v>
      </c>
      <c r="W696">
        <v>655</v>
      </c>
    </row>
    <row r="697" spans="1:23" hidden="1">
      <c r="A697" s="1">
        <v>45513</v>
      </c>
      <c r="B697" t="s">
        <v>13</v>
      </c>
      <c r="C697" t="s">
        <v>1618</v>
      </c>
      <c r="D697" s="23" t="s">
        <v>1618</v>
      </c>
      <c r="E697" t="s">
        <v>41</v>
      </c>
      <c r="F697" s="19">
        <v>57564931</v>
      </c>
      <c r="G697" s="53">
        <v>575901709238</v>
      </c>
      <c r="H697" s="52">
        <v>663</v>
      </c>
      <c r="I697" s="5">
        <v>0.1</v>
      </c>
      <c r="J697" s="52" cm="1">
        <f t="array" ref="J69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67</v>
      </c>
      <c r="K697" s="15" t="s">
        <v>1542</v>
      </c>
      <c r="L697" s="54" t="s">
        <v>66</v>
      </c>
      <c r="M697" t="s">
        <v>43</v>
      </c>
      <c r="N697" s="15" t="s">
        <v>151</v>
      </c>
      <c r="O697" s="5" t="s">
        <v>1627</v>
      </c>
      <c r="P697" s="17" t="s">
        <v>503</v>
      </c>
      <c r="Q697" s="10" t="s">
        <v>1626</v>
      </c>
      <c r="R697" s="11">
        <v>45513</v>
      </c>
      <c r="S697" s="10" t="s">
        <v>1510</v>
      </c>
      <c r="T697" s="3" t="str">
        <f>IF(AND(ProtocolosAF[[#This Row],[STATUS]]="APROVADO",ProtocolosAF[[#This Row],[WAIVER]]=""),"Y","")</f>
        <v/>
      </c>
      <c r="U697" t="s">
        <v>1619</v>
      </c>
      <c r="V697" s="16" t="str">
        <f t="shared" si="25"/>
        <v>3NAKXRPEDREIRA LEAL/ISABELLA</v>
      </c>
      <c r="W697">
        <v>656</v>
      </c>
    </row>
    <row r="698" spans="1:23" hidden="1">
      <c r="A698" s="1">
        <v>45513</v>
      </c>
      <c r="B698" t="s">
        <v>13</v>
      </c>
      <c r="C698" t="s">
        <v>1618</v>
      </c>
      <c r="D698" s="23" t="s">
        <v>1618</v>
      </c>
      <c r="E698" t="s">
        <v>41</v>
      </c>
      <c r="F698" s="19">
        <v>57564931</v>
      </c>
      <c r="G698" s="53">
        <v>575901709239</v>
      </c>
      <c r="H698" s="52">
        <v>663</v>
      </c>
      <c r="I698" s="5">
        <v>0.1</v>
      </c>
      <c r="J698" s="52" cm="1">
        <f t="array" ref="J69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67</v>
      </c>
      <c r="K698" s="15" t="s">
        <v>1542</v>
      </c>
      <c r="L698" s="54" t="s">
        <v>66</v>
      </c>
      <c r="M698" t="s">
        <v>43</v>
      </c>
      <c r="N698" s="15" t="s">
        <v>151</v>
      </c>
      <c r="O698" s="5" t="s">
        <v>1627</v>
      </c>
      <c r="P698" s="17" t="s">
        <v>503</v>
      </c>
      <c r="Q698" s="10" t="s">
        <v>1626</v>
      </c>
      <c r="R698" s="11">
        <v>45513</v>
      </c>
      <c r="S698" s="10" t="s">
        <v>1510</v>
      </c>
      <c r="T698" s="3" t="str">
        <f>IF(AND(ProtocolosAF[[#This Row],[STATUS]]="APROVADO",ProtocolosAF[[#This Row],[WAIVER]]=""),"Y","")</f>
        <v/>
      </c>
      <c r="U698" t="s">
        <v>1624</v>
      </c>
      <c r="V698" s="16" t="str">
        <f t="shared" si="25"/>
        <v>3NAKXRPEDREIRA LEAL/JULIANA</v>
      </c>
      <c r="W698">
        <v>656</v>
      </c>
    </row>
    <row r="699" spans="1:23" hidden="1">
      <c r="A699" s="1">
        <v>45513</v>
      </c>
      <c r="B699" t="s">
        <v>13</v>
      </c>
      <c r="C699" t="s">
        <v>1620</v>
      </c>
      <c r="D699" s="23" t="s">
        <v>1620</v>
      </c>
      <c r="E699" t="s">
        <v>41</v>
      </c>
      <c r="F699" s="19">
        <v>57564931</v>
      </c>
      <c r="G699" s="53">
        <v>575901709028</v>
      </c>
      <c r="H699" s="52">
        <v>663</v>
      </c>
      <c r="I699" s="5">
        <v>0.1</v>
      </c>
      <c r="J699" s="52" cm="1">
        <f t="array" ref="J69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67</v>
      </c>
      <c r="K699" s="15" t="s">
        <v>1542</v>
      </c>
      <c r="L699" s="54" t="s">
        <v>66</v>
      </c>
      <c r="M699" t="s">
        <v>43</v>
      </c>
      <c r="N699" s="15" t="s">
        <v>151</v>
      </c>
      <c r="O699" s="5" t="s">
        <v>1627</v>
      </c>
      <c r="P699" s="17" t="s">
        <v>503</v>
      </c>
      <c r="Q699" s="10" t="s">
        <v>1626</v>
      </c>
      <c r="R699" s="11">
        <v>45513</v>
      </c>
      <c r="S699" s="10" t="s">
        <v>1510</v>
      </c>
      <c r="T699" s="3" t="str">
        <f>IF(AND(ProtocolosAF[[#This Row],[STATUS]]="APROVADO",ProtocolosAF[[#This Row],[WAIVER]]=""),"Y","")</f>
        <v/>
      </c>
      <c r="U699" t="s">
        <v>1622</v>
      </c>
      <c r="V699" s="16" t="str">
        <f t="shared" si="25"/>
        <v>3NBHVEBORDIN D AZEVEDO CRUZ/VICTOR</v>
      </c>
      <c r="W699">
        <v>657</v>
      </c>
    </row>
    <row r="700" spans="1:23" hidden="1">
      <c r="A700" s="1">
        <v>45517</v>
      </c>
      <c r="B700" t="s">
        <v>11</v>
      </c>
      <c r="C700" t="s">
        <v>1628</v>
      </c>
      <c r="D700" s="23" t="s">
        <v>1629</v>
      </c>
      <c r="E700" t="s">
        <v>73</v>
      </c>
      <c r="F700" s="19">
        <v>57994602</v>
      </c>
      <c r="G700" s="53">
        <v>574207249627</v>
      </c>
      <c r="H700" s="52">
        <v>158</v>
      </c>
      <c r="I700" s="5" t="s">
        <v>74</v>
      </c>
      <c r="J700" s="52" cm="1">
        <f t="array" ref="J70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158</v>
      </c>
      <c r="K700" s="15" t="s">
        <v>846</v>
      </c>
      <c r="L700" s="54" t="s">
        <v>172</v>
      </c>
      <c r="M700" t="s">
        <v>43</v>
      </c>
      <c r="N700" s="15" t="s">
        <v>1458</v>
      </c>
      <c r="O700" s="5" t="s">
        <v>68</v>
      </c>
      <c r="P700" s="17" t="s">
        <v>69</v>
      </c>
      <c r="Q700" s="10" t="s">
        <v>1630</v>
      </c>
      <c r="R700" s="11">
        <v>45517</v>
      </c>
      <c r="S700" s="79" t="s">
        <v>1631</v>
      </c>
      <c r="T700" s="3" t="str">
        <f>IF(AND(ProtocolosAF[[#This Row],[STATUS]]="APROVADO",ProtocolosAF[[#This Row],[WAIVER]]=""),"Y","")</f>
        <v/>
      </c>
      <c r="U700" t="s">
        <v>1632</v>
      </c>
      <c r="V700" s="16" t="str">
        <f t="shared" si="25"/>
        <v>IWBVKWFELMANAS/MARCELO</v>
      </c>
      <c r="W700">
        <v>661</v>
      </c>
    </row>
    <row r="701" spans="1:23" hidden="1">
      <c r="A701" s="1">
        <v>45517</v>
      </c>
      <c r="B701" t="s">
        <v>11</v>
      </c>
      <c r="C701" t="s">
        <v>1628</v>
      </c>
      <c r="D701" s="23" t="s">
        <v>1629</v>
      </c>
      <c r="E701" t="s">
        <v>73</v>
      </c>
      <c r="F701" s="19">
        <v>57994602</v>
      </c>
      <c r="G701" s="53">
        <v>574207249628</v>
      </c>
      <c r="H701" s="52">
        <v>158</v>
      </c>
      <c r="I701" s="5" t="s">
        <v>74</v>
      </c>
      <c r="J701" s="52" cm="1">
        <f t="array" ref="J70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158</v>
      </c>
      <c r="K701" s="15" t="s">
        <v>846</v>
      </c>
      <c r="L701" s="54" t="s">
        <v>172</v>
      </c>
      <c r="M701" t="s">
        <v>43</v>
      </c>
      <c r="N701" s="15" t="s">
        <v>1458</v>
      </c>
      <c r="O701" s="5" t="s">
        <v>68</v>
      </c>
      <c r="P701" s="17" t="s">
        <v>69</v>
      </c>
      <c r="Q701" s="10" t="s">
        <v>1630</v>
      </c>
      <c r="R701" s="11">
        <v>45517</v>
      </c>
      <c r="S701" s="79" t="s">
        <v>1631</v>
      </c>
      <c r="T701" s="3" t="str">
        <f>IF(AND(ProtocolosAF[[#This Row],[STATUS]]="APROVADO",ProtocolosAF[[#This Row],[WAIVER]]=""),"Y","")</f>
        <v/>
      </c>
      <c r="U701" t="s">
        <v>1633</v>
      </c>
      <c r="V701" s="16" t="str">
        <f t="shared" si="25"/>
        <v>IWBVKWMARQUES FELMANAS/KARLA</v>
      </c>
      <c r="W701">
        <v>661</v>
      </c>
    </row>
    <row r="702" spans="1:23" hidden="1">
      <c r="A702" s="1">
        <v>45518</v>
      </c>
      <c r="B702" t="s">
        <v>9</v>
      </c>
      <c r="C702" t="s">
        <v>1634</v>
      </c>
      <c r="D702" t="s">
        <v>1634</v>
      </c>
      <c r="E702" t="s">
        <v>512</v>
      </c>
      <c r="F702" s="19">
        <v>57524401</v>
      </c>
      <c r="G702" s="53">
        <v>572314711910</v>
      </c>
      <c r="H702" s="52">
        <v>70</v>
      </c>
      <c r="I702" s="5"/>
      <c r="J702" s="52" cm="1">
        <f t="array" ref="J70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70</v>
      </c>
      <c r="K702" s="15" t="s">
        <v>1635</v>
      </c>
      <c r="L702" s="54" t="s">
        <v>1636</v>
      </c>
      <c r="M702" t="s">
        <v>43</v>
      </c>
      <c r="N702" s="15" t="s">
        <v>1096</v>
      </c>
      <c r="O702" s="5" t="s">
        <v>178</v>
      </c>
      <c r="P702" s="17" t="s">
        <v>503</v>
      </c>
      <c r="Q702" s="10" t="s">
        <v>291</v>
      </c>
      <c r="R702" s="11">
        <v>45519</v>
      </c>
      <c r="S702" s="10" t="s">
        <v>1083</v>
      </c>
      <c r="T702" s="3" t="str">
        <f>IF(AND(ProtocolosAF[[#This Row],[STATUS]]="APROVADO",ProtocolosAF[[#This Row],[BILHETE/EMD]]=""),"Y","")</f>
        <v/>
      </c>
      <c r="U702" t="s">
        <v>1637</v>
      </c>
      <c r="V702" s="16" t="str">
        <f t="shared" si="25"/>
        <v>3ND94OLIMA E SILVA/MARIA DE FATIMA</v>
      </c>
    </row>
    <row r="703" spans="1:23" hidden="1">
      <c r="A703" s="1">
        <v>45518</v>
      </c>
      <c r="B703" t="s">
        <v>9</v>
      </c>
      <c r="C703" t="s">
        <v>1634</v>
      </c>
      <c r="D703" t="s">
        <v>1634</v>
      </c>
      <c r="E703" t="s">
        <v>512</v>
      </c>
      <c r="F703" s="19">
        <v>57524401</v>
      </c>
      <c r="G703" s="53">
        <v>572314711909</v>
      </c>
      <c r="H703" s="52">
        <v>70</v>
      </c>
      <c r="I703" s="5"/>
      <c r="J703" s="52" cm="1">
        <f t="array" ref="J70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70</v>
      </c>
      <c r="K703" s="15" t="s">
        <v>1635</v>
      </c>
      <c r="L703" s="54" t="s">
        <v>1636</v>
      </c>
      <c r="M703" t="s">
        <v>43</v>
      </c>
      <c r="N703" s="15" t="s">
        <v>1096</v>
      </c>
      <c r="O703" s="5" t="s">
        <v>178</v>
      </c>
      <c r="P703" s="17" t="s">
        <v>503</v>
      </c>
      <c r="Q703" s="10" t="s">
        <v>291</v>
      </c>
      <c r="R703" s="11">
        <v>45519</v>
      </c>
      <c r="S703" s="10" t="s">
        <v>1083</v>
      </c>
      <c r="T703" s="3" t="str">
        <f>IF(AND(ProtocolosAF[[#This Row],[STATUS]]="APROVADO",ProtocolosAF[[#This Row],[BILHETE/EMD]]=""),"Y","")</f>
        <v/>
      </c>
      <c r="U703" t="s">
        <v>1638</v>
      </c>
      <c r="V703" s="16" t="str">
        <f t="shared" si="25"/>
        <v>3ND94OLUCENA DO AMARAL/GISELE</v>
      </c>
    </row>
    <row r="704" spans="1:23" hidden="1">
      <c r="A704" s="1">
        <v>45519</v>
      </c>
      <c r="B704" t="s">
        <v>11</v>
      </c>
      <c r="C704" t="s">
        <v>1639</v>
      </c>
      <c r="D704" s="23" t="s">
        <v>1639</v>
      </c>
      <c r="E704" t="s">
        <v>41</v>
      </c>
      <c r="F704" s="19">
        <v>57564931</v>
      </c>
      <c r="G704" s="53">
        <v>575901742257</v>
      </c>
      <c r="H704" s="52">
        <v>1533</v>
      </c>
      <c r="I704" s="5">
        <v>0.09</v>
      </c>
      <c r="J704" s="52" cm="1">
        <f t="array" ref="J70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138</v>
      </c>
      <c r="K704" s="15" t="s">
        <v>1007</v>
      </c>
      <c r="L704" s="54" t="s">
        <v>76</v>
      </c>
      <c r="M704" t="s">
        <v>43</v>
      </c>
      <c r="N704" s="15" t="s">
        <v>1318</v>
      </c>
      <c r="O704" s="5" t="s">
        <v>1090</v>
      </c>
      <c r="P704" s="17" t="s">
        <v>69</v>
      </c>
      <c r="Q704" s="10" t="s">
        <v>1640</v>
      </c>
      <c r="R704" s="11">
        <v>45520</v>
      </c>
      <c r="S704" s="78" t="s">
        <v>1641</v>
      </c>
      <c r="T704" s="3" t="str">
        <f>IF(AND(ProtocolosAF[[#This Row],[STATUS]]="APROVADO",ProtocolosAF[[#This Row],[BILHETE/EMD]]=""),"Y","")</f>
        <v/>
      </c>
      <c r="U704" t="s">
        <v>1642</v>
      </c>
      <c r="V704" s="16" t="str">
        <f t="shared" si="25"/>
        <v>4OC8LQMORALES NETTO/NATHIELE MRS</v>
      </c>
      <c r="W704">
        <v>662</v>
      </c>
    </row>
    <row r="705" spans="1:23" hidden="1">
      <c r="A705" s="1">
        <v>45524</v>
      </c>
      <c r="B705" t="s">
        <v>13</v>
      </c>
      <c r="C705" t="s">
        <v>1643</v>
      </c>
      <c r="D705" s="23" t="s">
        <v>1644</v>
      </c>
      <c r="E705" t="s">
        <v>41</v>
      </c>
      <c r="F705" s="19">
        <v>57564931</v>
      </c>
      <c r="G705" s="53">
        <v>575820707167</v>
      </c>
      <c r="H705" s="52">
        <v>1307</v>
      </c>
      <c r="I705" s="5">
        <v>0.1</v>
      </c>
      <c r="J705" s="52" cm="1">
        <f t="array" ref="J70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131</v>
      </c>
      <c r="K705" s="15" t="s">
        <v>1487</v>
      </c>
      <c r="L705" s="54" t="s">
        <v>76</v>
      </c>
      <c r="M705" t="s">
        <v>43</v>
      </c>
      <c r="N705" s="15" t="s">
        <v>151</v>
      </c>
      <c r="O705" s="5" t="s">
        <v>1645</v>
      </c>
      <c r="P705" s="17" t="s">
        <v>46</v>
      </c>
      <c r="Q705" s="10" t="s">
        <v>1646</v>
      </c>
      <c r="R705" s="11">
        <v>45524</v>
      </c>
      <c r="S705" s="10" t="s">
        <v>1510</v>
      </c>
      <c r="T705" s="3" t="str">
        <f>IF(AND(ProtocolosAF[[#This Row],[STATUS]]="APROVADO",ProtocolosAF[[#This Row],[BILHETE/EMD]]=""),"Y","")</f>
        <v/>
      </c>
      <c r="U705" t="s">
        <v>1647</v>
      </c>
      <c r="V705" s="16" t="str">
        <f t="shared" si="25"/>
        <v xml:space="preserve">JAEPCPSANTANA/JOSIANE DE SOUZA </v>
      </c>
      <c r="W705">
        <v>664</v>
      </c>
    </row>
    <row r="706" spans="1:23" hidden="1">
      <c r="A706" s="1">
        <v>45524</v>
      </c>
      <c r="B706" t="s">
        <v>13</v>
      </c>
      <c r="C706" t="s">
        <v>1648</v>
      </c>
      <c r="D706" s="23" t="s">
        <v>1649</v>
      </c>
      <c r="E706" t="s">
        <v>41</v>
      </c>
      <c r="F706" s="19">
        <v>57564931</v>
      </c>
      <c r="G706" s="53">
        <v>575820707159</v>
      </c>
      <c r="H706" s="52">
        <v>1113</v>
      </c>
      <c r="I706" s="5">
        <v>0.1</v>
      </c>
      <c r="J706" s="52" cm="1">
        <f t="array" ref="J70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112</v>
      </c>
      <c r="K706" s="15" t="s">
        <v>1487</v>
      </c>
      <c r="L706" s="54" t="s">
        <v>76</v>
      </c>
      <c r="M706" t="s">
        <v>43</v>
      </c>
      <c r="N706" s="15" t="s">
        <v>151</v>
      </c>
      <c r="O706" s="5" t="s">
        <v>724</v>
      </c>
      <c r="P706" s="17" t="s">
        <v>46</v>
      </c>
      <c r="Q706" s="10" t="s">
        <v>168</v>
      </c>
      <c r="R706" s="11">
        <v>45700</v>
      </c>
      <c r="S706" s="10" t="s">
        <v>1510</v>
      </c>
      <c r="T706" s="3" t="str">
        <f>IF(AND(ProtocolosAF[[#This Row],[STATUS]]="APROVADO",ProtocolosAF[[#This Row],[BILHETE/EMD]]=""),"Y","")</f>
        <v/>
      </c>
      <c r="U706" t="s">
        <v>952</v>
      </c>
      <c r="V706" s="16" t="str">
        <f t="shared" si="25"/>
        <v>MUOVPOSOARES SILVEIRA/BRUNA BEATRICE</v>
      </c>
      <c r="W706">
        <v>665</v>
      </c>
    </row>
    <row r="707" spans="1:23" hidden="1">
      <c r="A707" s="1">
        <v>45524</v>
      </c>
      <c r="B707" t="s">
        <v>13</v>
      </c>
      <c r="C707" t="s">
        <v>1650</v>
      </c>
      <c r="D707" s="23" t="s">
        <v>1651</v>
      </c>
      <c r="E707" t="s">
        <v>41</v>
      </c>
      <c r="F707" s="19"/>
      <c r="G707" s="53"/>
      <c r="H707" s="52">
        <v>2294</v>
      </c>
      <c r="I707" s="5">
        <v>0.08</v>
      </c>
      <c r="J707" s="52" t="str" cm="1">
        <f t="array" ref="J70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07" s="15" t="s">
        <v>1355</v>
      </c>
      <c r="L707" s="54" t="s">
        <v>1652</v>
      </c>
      <c r="M707" t="s">
        <v>100</v>
      </c>
      <c r="N707" s="15" t="s">
        <v>151</v>
      </c>
      <c r="O707" s="5" t="s">
        <v>484</v>
      </c>
      <c r="P707" s="17" t="s">
        <v>69</v>
      </c>
      <c r="Q707" s="10"/>
      <c r="R707" s="11"/>
      <c r="S707" s="10"/>
      <c r="T707" s="3" t="str">
        <f>IF(AND(ProtocolosAF[[#This Row],[STATUS]]="APROVADO",ProtocolosAF[[#This Row],[BILHETE/EMD]]=""),"Y","")</f>
        <v/>
      </c>
      <c r="U707" t="s">
        <v>1653</v>
      </c>
      <c r="V707" s="16" t="str">
        <f t="shared" si="25"/>
        <v>WOIOARSTEINBRUCH/LEO</v>
      </c>
      <c r="W707">
        <v>666</v>
      </c>
    </row>
    <row r="708" spans="1:23" hidden="1">
      <c r="A708" s="1">
        <v>45524</v>
      </c>
      <c r="B708" t="s">
        <v>10</v>
      </c>
      <c r="C708" t="s">
        <v>1654</v>
      </c>
      <c r="D708" s="23" t="s">
        <v>1655</v>
      </c>
      <c r="E708" t="s">
        <v>73</v>
      </c>
      <c r="F708" s="19">
        <v>57994602</v>
      </c>
      <c r="G708" s="53">
        <v>574207249663</v>
      </c>
      <c r="H708" s="52">
        <v>310</v>
      </c>
      <c r="I708" s="5" t="s">
        <v>74</v>
      </c>
      <c r="J708" s="52" cm="1">
        <f t="array" ref="J70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310</v>
      </c>
      <c r="K708" s="15" t="s">
        <v>345</v>
      </c>
      <c r="L708" s="54" t="s">
        <v>76</v>
      </c>
      <c r="M708" t="s">
        <v>43</v>
      </c>
      <c r="N708" s="15" t="s">
        <v>65</v>
      </c>
      <c r="O708" s="5" t="s">
        <v>1242</v>
      </c>
      <c r="P708" s="17" t="s">
        <v>69</v>
      </c>
      <c r="Q708" s="10" t="s">
        <v>1341</v>
      </c>
      <c r="R708" s="11">
        <v>45530</v>
      </c>
      <c r="S708" s="10" t="s">
        <v>173</v>
      </c>
      <c r="T708" s="3" t="str">
        <f>IF(AND(ProtocolosAF[[#This Row],[STATUS]]="APROVADO",ProtocolosAF[[#This Row],[BILHETE/EMD]]=""),"Y","")</f>
        <v/>
      </c>
      <c r="U708" t="s">
        <v>1656</v>
      </c>
      <c r="V708" s="16" t="str">
        <f t="shared" si="25"/>
        <v>WCQVWAFONSECA/ALEXANDRE MR</v>
      </c>
      <c r="W708">
        <v>667</v>
      </c>
    </row>
    <row r="709" spans="1:23" hidden="1">
      <c r="A709" s="1">
        <v>45530</v>
      </c>
      <c r="B709" t="s">
        <v>10</v>
      </c>
      <c r="C709" t="s">
        <v>1657</v>
      </c>
      <c r="D709" s="23" t="s">
        <v>1658</v>
      </c>
      <c r="E709" t="s">
        <v>512</v>
      </c>
      <c r="F709" s="19">
        <v>57564931</v>
      </c>
      <c r="G709" s="53">
        <v>575820738789</v>
      </c>
      <c r="H709" s="52">
        <v>225</v>
      </c>
      <c r="I709" s="5" t="s">
        <v>74</v>
      </c>
      <c r="J709" s="52" cm="1">
        <f t="array" ref="J70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225</v>
      </c>
      <c r="K709" s="15" t="s">
        <v>105</v>
      </c>
      <c r="L709" s="54" t="s">
        <v>529</v>
      </c>
      <c r="M709" t="s">
        <v>43</v>
      </c>
      <c r="N709" s="15" t="s">
        <v>1129</v>
      </c>
      <c r="O709" s="5" t="s">
        <v>539</v>
      </c>
      <c r="P709" s="17" t="s">
        <v>69</v>
      </c>
      <c r="Q709" s="10" t="s">
        <v>1659</v>
      </c>
      <c r="R709" s="11">
        <v>45530</v>
      </c>
      <c r="S709" s="10" t="s">
        <v>1083</v>
      </c>
      <c r="T709" s="3" t="str">
        <f>IF(AND(ProtocolosAF[[#This Row],[STATUS]]="APROVADO",ProtocolosAF[[#This Row],[BILHETE/EMD]]=""),"Y","")</f>
        <v/>
      </c>
      <c r="U709" t="s">
        <v>1660</v>
      </c>
      <c r="V709" s="16" t="str">
        <f t="shared" si="25"/>
        <v>EFIHTGHONDA/LIEGE AKEMI</v>
      </c>
      <c r="W709">
        <v>669</v>
      </c>
    </row>
    <row r="710" spans="1:23" hidden="1">
      <c r="A710" s="1">
        <v>45530</v>
      </c>
      <c r="B710" t="s">
        <v>11</v>
      </c>
      <c r="C710" t="s">
        <v>1661</v>
      </c>
      <c r="D710" s="23" t="s">
        <v>1662</v>
      </c>
      <c r="E710" t="s">
        <v>41</v>
      </c>
      <c r="F710" s="19"/>
      <c r="G710" s="53"/>
      <c r="H710" s="52">
        <v>3156</v>
      </c>
      <c r="I710" s="5">
        <v>0.1</v>
      </c>
      <c r="J710" s="52" t="str" cm="1">
        <f t="array" ref="J71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10" s="15" t="s">
        <v>1260</v>
      </c>
      <c r="L710" s="54" t="s">
        <v>76</v>
      </c>
      <c r="M710" t="s">
        <v>217</v>
      </c>
      <c r="N710" s="15" t="s">
        <v>1458</v>
      </c>
      <c r="O710" s="5" t="s">
        <v>1137</v>
      </c>
      <c r="P710" s="17" t="s">
        <v>46</v>
      </c>
      <c r="Q710" s="10"/>
      <c r="R710" s="11"/>
      <c r="S710" s="10"/>
      <c r="T710" s="3" t="str">
        <f>IF(AND(ProtocolosAF[[#This Row],[STATUS]]="APROVADO",ProtocolosAF[[#This Row],[BILHETE/EMD]]=""),"Y","")</f>
        <v/>
      </c>
      <c r="U710" t="s">
        <v>1663</v>
      </c>
      <c r="V710" s="16" t="str">
        <f t="shared" si="25"/>
        <v>YJXFOJDE OLIVEIRA/MARCOS EDUARDO</v>
      </c>
      <c r="W710">
        <v>670</v>
      </c>
    </row>
    <row r="711" spans="1:23" hidden="1">
      <c r="A711" s="1">
        <v>45530</v>
      </c>
      <c r="B711" t="s">
        <v>11</v>
      </c>
      <c r="C711" t="s">
        <v>1661</v>
      </c>
      <c r="D711" s="23" t="s">
        <v>1662</v>
      </c>
      <c r="E711" t="s">
        <v>41</v>
      </c>
      <c r="F711" s="19">
        <v>57564931</v>
      </c>
      <c r="G711" s="53">
        <v>575820743887</v>
      </c>
      <c r="H711" s="52">
        <v>1318</v>
      </c>
      <c r="I711" s="5">
        <v>0.1</v>
      </c>
      <c r="J711" s="52" cm="1">
        <f t="array" ref="J71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132</v>
      </c>
      <c r="K711" s="15" t="s">
        <v>1260</v>
      </c>
      <c r="L711" s="54" t="s">
        <v>76</v>
      </c>
      <c r="M711" t="s">
        <v>43</v>
      </c>
      <c r="N711" s="15" t="s">
        <v>1458</v>
      </c>
      <c r="O711" s="5" t="s">
        <v>1137</v>
      </c>
      <c r="P711" s="17" t="s">
        <v>46</v>
      </c>
      <c r="Q711" s="10" t="s">
        <v>1664</v>
      </c>
      <c r="R711" s="11">
        <v>45531</v>
      </c>
      <c r="S711" s="10" t="s">
        <v>1665</v>
      </c>
      <c r="T711" s="3" t="str">
        <f>IF(AND(ProtocolosAF[[#This Row],[STATUS]]="APROVADO",ProtocolosAF[[#This Row],[BILHETE/EMD]]=""),"Y","")</f>
        <v/>
      </c>
      <c r="U711" t="s">
        <v>1663</v>
      </c>
      <c r="V711" s="16" t="str">
        <f t="shared" ref="V711:V744" si="26">_xlfn.CONCAT(C711,U711)</f>
        <v>YJXFOJDE OLIVEIRA/MARCOS EDUARDO</v>
      </c>
      <c r="W711">
        <v>671</v>
      </c>
    </row>
    <row r="712" spans="1:23" hidden="1">
      <c r="A712" s="1">
        <v>45532</v>
      </c>
      <c r="B712" t="s">
        <v>13</v>
      </c>
      <c r="C712" t="s">
        <v>1666</v>
      </c>
      <c r="D712" s="23" t="s">
        <v>1667</v>
      </c>
      <c r="E712" t="s">
        <v>512</v>
      </c>
      <c r="F712" s="19"/>
      <c r="G712" s="53"/>
      <c r="H712" s="52">
        <v>179</v>
      </c>
      <c r="I712" s="5" t="s">
        <v>74</v>
      </c>
      <c r="J712" s="52" t="str" cm="1">
        <f t="array" ref="J71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12" s="15" t="s">
        <v>817</v>
      </c>
      <c r="L712" s="54" t="s">
        <v>529</v>
      </c>
      <c r="M712" t="s">
        <v>217</v>
      </c>
      <c r="N712" s="15" t="s">
        <v>151</v>
      </c>
      <c r="O712" s="5" t="s">
        <v>78</v>
      </c>
      <c r="P712" s="17" t="s">
        <v>146</v>
      </c>
      <c r="Q712" s="10"/>
      <c r="R712" s="11"/>
      <c r="S712" s="10"/>
      <c r="T712" s="3" t="str">
        <f>IF(AND(ProtocolosAF[[#This Row],[STATUS]]="APROVADO",ProtocolosAF[[#This Row],[BILHETE/EMD]]=""),"Y","")</f>
        <v/>
      </c>
      <c r="U712" t="s">
        <v>1668</v>
      </c>
      <c r="V712" s="16" t="str">
        <f t="shared" si="26"/>
        <v>8QM2G4PEREIRA DE SOUZA/THAYSON</v>
      </c>
      <c r="W712">
        <v>677</v>
      </c>
    </row>
    <row r="713" spans="1:23" hidden="1">
      <c r="A713" s="1">
        <v>45698</v>
      </c>
      <c r="B713" t="s">
        <v>16</v>
      </c>
      <c r="C713" t="s">
        <v>1669</v>
      </c>
      <c r="D713" s="23" t="s">
        <v>1669</v>
      </c>
      <c r="E713" t="s">
        <v>73</v>
      </c>
      <c r="F713" s="19">
        <v>57994602</v>
      </c>
      <c r="G713" s="53">
        <v>574216445413</v>
      </c>
      <c r="H713" s="52">
        <v>59</v>
      </c>
      <c r="I713" s="5"/>
      <c r="J713" s="52" cm="1">
        <f t="array" ref="J71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59</v>
      </c>
      <c r="K713" s="15" t="s">
        <v>1670</v>
      </c>
      <c r="L713" s="54" t="s">
        <v>172</v>
      </c>
      <c r="M713" t="s">
        <v>43</v>
      </c>
      <c r="N713" s="15" t="s">
        <v>1096</v>
      </c>
      <c r="O713" s="5" t="s">
        <v>228</v>
      </c>
      <c r="P713" s="17" t="s">
        <v>69</v>
      </c>
      <c r="Q713" s="10" t="s">
        <v>291</v>
      </c>
      <c r="R713" s="11">
        <v>45700</v>
      </c>
      <c r="S713" s="10" t="s">
        <v>173</v>
      </c>
      <c r="T713" s="3" t="str">
        <f>IF(AND(ProtocolosAF[[#This Row],[STATUS]]="APROVADO",ProtocolosAF[[#This Row],[BILHETE/EMD]]=""),"Y","")</f>
        <v/>
      </c>
      <c r="U713" t="s">
        <v>1671</v>
      </c>
      <c r="V713" s="16" t="str">
        <f t="shared" si="26"/>
        <v>3LY9M4DONATO/ANA MARIA</v>
      </c>
    </row>
    <row r="714" spans="1:23" hidden="1">
      <c r="A714" s="1">
        <v>45707</v>
      </c>
      <c r="B714" t="s">
        <v>13</v>
      </c>
      <c r="C714" t="s">
        <v>1672</v>
      </c>
      <c r="D714" s="23" t="s">
        <v>1672</v>
      </c>
      <c r="E714" t="s">
        <v>41</v>
      </c>
      <c r="F714" s="19"/>
      <c r="G714" s="53"/>
      <c r="H714" s="52">
        <v>2689</v>
      </c>
      <c r="I714" s="5">
        <v>7.0000000000000007E-2</v>
      </c>
      <c r="J714" s="52" t="str" cm="1">
        <f t="array" ref="J71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14" s="15" t="s">
        <v>1089</v>
      </c>
      <c r="L714" s="54" t="s">
        <v>66</v>
      </c>
      <c r="M714" t="s">
        <v>100</v>
      </c>
      <c r="N714" s="15" t="s">
        <v>1089</v>
      </c>
      <c r="O714" s="5" t="s">
        <v>290</v>
      </c>
      <c r="P714" s="17" t="s">
        <v>46</v>
      </c>
      <c r="Q714" s="10"/>
      <c r="R714" s="11"/>
      <c r="S714" s="10"/>
      <c r="T714" s="3" t="str">
        <f>IF(AND(ProtocolosAF[[#This Row],[STATUS]]="APROVADO",ProtocolosAF[[#This Row],[BILHETE/EMD]]=""),"Y","")</f>
        <v/>
      </c>
      <c r="U714" t="s">
        <v>1673</v>
      </c>
      <c r="V714" s="16" t="str">
        <f t="shared" si="26"/>
        <v>3LKT6KBRASIL DA SILVA/EDSON</v>
      </c>
      <c r="W714">
        <v>683</v>
      </c>
    </row>
    <row r="715" spans="1:23" hidden="1">
      <c r="A715" s="1">
        <v>45707</v>
      </c>
      <c r="B715" t="s">
        <v>13</v>
      </c>
      <c r="C715" t="s">
        <v>1672</v>
      </c>
      <c r="D715" s="23" t="s">
        <v>1672</v>
      </c>
      <c r="E715" t="s">
        <v>41</v>
      </c>
      <c r="F715" s="19"/>
      <c r="G715" s="53"/>
      <c r="H715" s="52">
        <v>2689</v>
      </c>
      <c r="I715" s="5">
        <v>7.0000000000000007E-2</v>
      </c>
      <c r="J715" s="52" t="str" cm="1">
        <f t="array" ref="J71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15" s="15" t="s">
        <v>1089</v>
      </c>
      <c r="L715" s="54" t="s">
        <v>66</v>
      </c>
      <c r="M715" t="s">
        <v>100</v>
      </c>
      <c r="N715" s="15" t="s">
        <v>1089</v>
      </c>
      <c r="O715" s="5" t="s">
        <v>290</v>
      </c>
      <c r="P715" s="17" t="s">
        <v>46</v>
      </c>
      <c r="Q715" s="10"/>
      <c r="R715" s="11"/>
      <c r="S715" s="10"/>
      <c r="T715" s="3" t="str">
        <f>IF(AND(ProtocolosAF[[#This Row],[STATUS]]="APROVADO",ProtocolosAF[[#This Row],[BILHETE/EMD]]=""),"Y","")</f>
        <v/>
      </c>
      <c r="U715" t="s">
        <v>1674</v>
      </c>
      <c r="V715" s="16" t="str">
        <f t="shared" si="26"/>
        <v>3LKT6KPRATA BRASIL/JOSIANE</v>
      </c>
      <c r="W715">
        <v>683</v>
      </c>
    </row>
    <row r="716" spans="1:23" hidden="1">
      <c r="A716" s="1">
        <v>45707</v>
      </c>
      <c r="B716" t="s">
        <v>13</v>
      </c>
      <c r="C716" t="s">
        <v>1672</v>
      </c>
      <c r="D716" s="23" t="s">
        <v>1672</v>
      </c>
      <c r="E716" t="s">
        <v>41</v>
      </c>
      <c r="F716" s="19"/>
      <c r="G716" s="53"/>
      <c r="H716" s="52">
        <v>2689</v>
      </c>
      <c r="I716" s="5">
        <v>7.0000000000000007E-2</v>
      </c>
      <c r="J716" s="52" t="str" cm="1">
        <f t="array" ref="J71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16" s="15" t="s">
        <v>1089</v>
      </c>
      <c r="L716" s="54" t="s">
        <v>66</v>
      </c>
      <c r="M716" t="s">
        <v>100</v>
      </c>
      <c r="N716" s="15" t="s">
        <v>1089</v>
      </c>
      <c r="O716" s="5" t="s">
        <v>290</v>
      </c>
      <c r="P716" s="17" t="s">
        <v>46</v>
      </c>
      <c r="Q716" s="10"/>
      <c r="R716" s="11"/>
      <c r="S716" s="10"/>
      <c r="T716" s="3" t="str">
        <f>IF(AND(ProtocolosAF[[#This Row],[STATUS]]="APROVADO",ProtocolosAF[[#This Row],[BILHETE/EMD]]=""),"Y","")</f>
        <v/>
      </c>
      <c r="U716" t="s">
        <v>1675</v>
      </c>
      <c r="V716" s="16" t="str">
        <f t="shared" si="26"/>
        <v>3LKT6KPRATA BRASIL/LUCAS</v>
      </c>
      <c r="W716">
        <v>683</v>
      </c>
    </row>
    <row r="717" spans="1:23" hidden="1">
      <c r="A717" s="1">
        <v>45707</v>
      </c>
      <c r="B717" t="s">
        <v>13</v>
      </c>
      <c r="C717" t="s">
        <v>1672</v>
      </c>
      <c r="D717" s="23" t="s">
        <v>1672</v>
      </c>
      <c r="E717" t="s">
        <v>41</v>
      </c>
      <c r="F717" s="19"/>
      <c r="G717" s="53"/>
      <c r="H717" s="52">
        <v>2689</v>
      </c>
      <c r="I717" s="5">
        <v>7.0000000000000007E-2</v>
      </c>
      <c r="J717" s="52" t="str" cm="1">
        <f t="array" ref="J71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17" s="15" t="s">
        <v>1089</v>
      </c>
      <c r="L717" s="54" t="s">
        <v>66</v>
      </c>
      <c r="M717" t="s">
        <v>100</v>
      </c>
      <c r="N717" s="15" t="s">
        <v>1089</v>
      </c>
      <c r="O717" s="5" t="s">
        <v>290</v>
      </c>
      <c r="P717" s="17" t="s">
        <v>46</v>
      </c>
      <c r="Q717" s="10"/>
      <c r="R717" s="11"/>
      <c r="S717" s="10"/>
      <c r="T717" s="3" t="str">
        <f>IF(AND(ProtocolosAF[[#This Row],[STATUS]]="APROVADO",ProtocolosAF[[#This Row],[BILHETE/EMD]]=""),"Y","")</f>
        <v/>
      </c>
      <c r="U717" t="s">
        <v>1676</v>
      </c>
      <c r="V717" s="16" t="str">
        <f t="shared" si="26"/>
        <v>3LKT6KRODRIGUES BRASIL/JULIA SAPEDE</v>
      </c>
      <c r="W717">
        <v>683</v>
      </c>
    </row>
    <row r="718" spans="1:23" hidden="1">
      <c r="A718" s="1">
        <v>45716</v>
      </c>
      <c r="B718" t="s">
        <v>13</v>
      </c>
      <c r="C718" t="s">
        <v>1677</v>
      </c>
      <c r="D718" s="23" t="s">
        <v>1677</v>
      </c>
      <c r="E718" t="s">
        <v>41</v>
      </c>
      <c r="F718" s="19">
        <v>57564931</v>
      </c>
      <c r="G718" s="53">
        <v>571408447203</v>
      </c>
      <c r="H718" s="52">
        <v>5130</v>
      </c>
      <c r="I718" s="5">
        <v>0.1</v>
      </c>
      <c r="J718" s="52" cm="1">
        <f t="array" ref="J71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513</v>
      </c>
      <c r="K718" s="15" t="s">
        <v>1521</v>
      </c>
      <c r="L718" s="54" t="s">
        <v>76</v>
      </c>
      <c r="M718" t="s">
        <v>43</v>
      </c>
      <c r="N718" s="15" t="s">
        <v>1089</v>
      </c>
      <c r="O718" s="5" t="s">
        <v>882</v>
      </c>
      <c r="P718" s="17" t="s">
        <v>255</v>
      </c>
      <c r="Q718" s="10" t="s">
        <v>1678</v>
      </c>
      <c r="R718" s="11">
        <v>45721</v>
      </c>
      <c r="S718" s="10" t="s">
        <v>1679</v>
      </c>
      <c r="T718" s="3" t="str">
        <f>IF(AND(ProtocolosAF[[#This Row],[STATUS]]="APROVADO",ProtocolosAF[[#This Row],[BILHETE/EMD]]=""),"Y","")</f>
        <v/>
      </c>
      <c r="U718" t="s">
        <v>1680</v>
      </c>
      <c r="V718" s="16" t="str">
        <f t="shared" si="26"/>
        <v>24LMZEOLIVEIRA/CLAUDIO EDUARDO</v>
      </c>
      <c r="W718">
        <v>684</v>
      </c>
    </row>
    <row r="719" spans="1:23" hidden="1">
      <c r="A719" s="1">
        <v>45721</v>
      </c>
      <c r="B719" t="s">
        <v>12</v>
      </c>
      <c r="C719" s="23" t="s">
        <v>1681</v>
      </c>
      <c r="D719" s="23" t="s">
        <v>1681</v>
      </c>
      <c r="E719" t="s">
        <v>512</v>
      </c>
      <c r="F719" s="19">
        <v>57564931</v>
      </c>
      <c r="G719" s="53">
        <v>571408464782</v>
      </c>
      <c r="H719" s="52">
        <v>192</v>
      </c>
      <c r="I719" s="5" t="s">
        <v>74</v>
      </c>
      <c r="J719" s="52" cm="1">
        <f t="array" ref="J71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192</v>
      </c>
      <c r="K719" s="15" t="s">
        <v>1682</v>
      </c>
      <c r="L719" s="54" t="s">
        <v>529</v>
      </c>
      <c r="M719" t="s">
        <v>43</v>
      </c>
      <c r="N719" s="15" t="s">
        <v>1552</v>
      </c>
      <c r="O719" s="5" t="s">
        <v>78</v>
      </c>
      <c r="P719" s="17" t="s">
        <v>146</v>
      </c>
      <c r="Q719" s="10" t="s">
        <v>1683</v>
      </c>
      <c r="R719" s="11">
        <v>45722</v>
      </c>
      <c r="S719" s="10" t="s">
        <v>1684</v>
      </c>
      <c r="T719" s="3" t="str">
        <f>IF(AND(ProtocolosAF[[#This Row],[STATUS]]="APROVADO",ProtocolosAF[[#This Row],[BILHETE/EMD]]=""),"Y","")</f>
        <v/>
      </c>
      <c r="U719" t="s">
        <v>1685</v>
      </c>
      <c r="V719" s="16" t="str">
        <f t="shared" si="26"/>
        <v>2LRIDSSERGE ROMAND/OLIVIER NICOLAS MR</v>
      </c>
      <c r="W719">
        <v>685</v>
      </c>
    </row>
    <row r="720" spans="1:23" hidden="1">
      <c r="A720" s="1">
        <v>45723</v>
      </c>
      <c r="B720" t="s">
        <v>11</v>
      </c>
      <c r="C720" s="23" t="s">
        <v>1686</v>
      </c>
      <c r="D720" s="23" t="s">
        <v>1687</v>
      </c>
      <c r="E720" t="s">
        <v>512</v>
      </c>
      <c r="F720" s="19">
        <v>57564931</v>
      </c>
      <c r="G720" s="53">
        <v>572872458693</v>
      </c>
      <c r="H720" s="52">
        <v>187</v>
      </c>
      <c r="I720" s="5" t="s">
        <v>74</v>
      </c>
      <c r="J720" s="52" cm="1">
        <f t="array" ref="J72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187</v>
      </c>
      <c r="K720" s="15" t="s">
        <v>1688</v>
      </c>
      <c r="L720" s="54" t="s">
        <v>529</v>
      </c>
      <c r="M720" t="s">
        <v>43</v>
      </c>
      <c r="N720" s="15" t="s">
        <v>1458</v>
      </c>
      <c r="O720" s="5" t="s">
        <v>1221</v>
      </c>
      <c r="P720" s="17" t="s">
        <v>69</v>
      </c>
      <c r="Q720" s="10" t="s">
        <v>1630</v>
      </c>
      <c r="R720" s="11">
        <v>45726</v>
      </c>
      <c r="S720" s="83" t="s">
        <v>1689</v>
      </c>
      <c r="T720" s="3" t="str">
        <f>IF(AND(ProtocolosAF[[#This Row],[STATUS]]="APROVADO",ProtocolosAF[[#This Row],[BILHETE/EMD]]=""),"Y","")</f>
        <v/>
      </c>
      <c r="U720" t="s">
        <v>1690</v>
      </c>
      <c r="V720" s="16" t="str">
        <f t="shared" si="26"/>
        <v>GKVOWUROSENFELD CREIMER/MARINA</v>
      </c>
      <c r="W720">
        <v>688</v>
      </c>
    </row>
    <row r="721" spans="1:23" hidden="1">
      <c r="A721" s="1">
        <v>45728</v>
      </c>
      <c r="B721" t="s">
        <v>13</v>
      </c>
      <c r="C721" t="s">
        <v>1691</v>
      </c>
      <c r="D721" s="23" t="s">
        <v>1691</v>
      </c>
      <c r="E721" t="s">
        <v>73</v>
      </c>
      <c r="F721" s="19">
        <v>57994602</v>
      </c>
      <c r="G721" s="80">
        <v>571408448303</v>
      </c>
      <c r="H721" s="52">
        <v>70</v>
      </c>
      <c r="I721" s="5" t="s">
        <v>74</v>
      </c>
      <c r="J721" s="52" cm="1">
        <f t="array" ref="J72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70</v>
      </c>
      <c r="K721" s="56" t="s">
        <v>1089</v>
      </c>
      <c r="L721" s="54" t="s">
        <v>172</v>
      </c>
      <c r="M721" t="s">
        <v>43</v>
      </c>
      <c r="N721" s="15" t="s">
        <v>1089</v>
      </c>
      <c r="O721" s="5" t="s">
        <v>78</v>
      </c>
      <c r="P721" s="17" t="s">
        <v>69</v>
      </c>
      <c r="Q721" s="10" t="s">
        <v>1678</v>
      </c>
      <c r="R721" s="11">
        <v>45728</v>
      </c>
      <c r="S721" s="10" t="s">
        <v>1692</v>
      </c>
      <c r="T721" s="3" t="str">
        <f>IF(AND(ProtocolosAF[[#This Row],[STATUS]]="APROVADO",ProtocolosAF[[#This Row],[BILHETE/EMD]]=""),"Y","")</f>
        <v/>
      </c>
      <c r="U721" t="s">
        <v>1693</v>
      </c>
      <c r="V721" s="16" t="str">
        <f t="shared" si="26"/>
        <v xml:space="preserve">25RQJHAMADO/DENISE </v>
      </c>
      <c r="W721">
        <v>691</v>
      </c>
    </row>
    <row r="722" spans="1:23" hidden="1">
      <c r="A722" s="1">
        <v>45728</v>
      </c>
      <c r="B722" t="s">
        <v>13</v>
      </c>
      <c r="C722" t="s">
        <v>1691</v>
      </c>
      <c r="D722" s="23" t="s">
        <v>1691</v>
      </c>
      <c r="E722" t="s">
        <v>73</v>
      </c>
      <c r="F722" s="19">
        <v>57994602</v>
      </c>
      <c r="G722" s="80">
        <v>571408448304</v>
      </c>
      <c r="H722" s="52">
        <v>70</v>
      </c>
      <c r="I722" s="5" t="s">
        <v>74</v>
      </c>
      <c r="J722" s="52" cm="1">
        <f t="array" ref="J72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70</v>
      </c>
      <c r="K722" s="56" t="s">
        <v>1089</v>
      </c>
      <c r="L722" s="54" t="s">
        <v>172</v>
      </c>
      <c r="M722" t="s">
        <v>43</v>
      </c>
      <c r="N722" s="15" t="s">
        <v>1089</v>
      </c>
      <c r="O722" s="5" t="s">
        <v>78</v>
      </c>
      <c r="P722" s="17" t="s">
        <v>69</v>
      </c>
      <c r="Q722" s="10" t="s">
        <v>1678</v>
      </c>
      <c r="R722" s="11">
        <v>45728</v>
      </c>
      <c r="S722" s="10" t="s">
        <v>1692</v>
      </c>
      <c r="T722" s="3" t="str">
        <f>IF(AND(ProtocolosAF[[#This Row],[STATUS]]="APROVADO",ProtocolosAF[[#This Row],[BILHETE/EMD]]=""),"Y","")</f>
        <v/>
      </c>
      <c r="U722" t="s">
        <v>1694</v>
      </c>
      <c r="V722" s="16" t="str">
        <f t="shared" si="26"/>
        <v>25RQJHAMADO/STEPHANIE</v>
      </c>
      <c r="W722">
        <v>691</v>
      </c>
    </row>
    <row r="723" spans="1:23" hidden="1">
      <c r="A723" s="1">
        <v>45737</v>
      </c>
      <c r="B723" t="s">
        <v>10</v>
      </c>
      <c r="C723" t="s">
        <v>1695</v>
      </c>
      <c r="D723" s="23" t="s">
        <v>1696</v>
      </c>
      <c r="E723" t="s">
        <v>512</v>
      </c>
      <c r="F723" s="19">
        <v>57966204</v>
      </c>
      <c r="G723" s="80">
        <v>572334890871</v>
      </c>
      <c r="H723" s="52">
        <v>275</v>
      </c>
      <c r="I723" s="5" t="s">
        <v>74</v>
      </c>
      <c r="J723" s="52" cm="1">
        <f t="array" ref="J72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275</v>
      </c>
      <c r="K723" s="56" t="s">
        <v>1365</v>
      </c>
      <c r="L723" s="54" t="s">
        <v>172</v>
      </c>
      <c r="M723" t="s">
        <v>43</v>
      </c>
      <c r="N723" s="15" t="s">
        <v>1129</v>
      </c>
      <c r="O723" s="5" t="s">
        <v>178</v>
      </c>
      <c r="P723" s="17" t="s">
        <v>69</v>
      </c>
      <c r="Q723" s="10" t="s">
        <v>222</v>
      </c>
      <c r="R723" s="11">
        <v>45376</v>
      </c>
      <c r="S723" s="10" t="s">
        <v>1684</v>
      </c>
      <c r="T723" s="3" t="str">
        <f>IF(AND(ProtocolosAF[[#This Row],[STATUS]]="APROVADO",ProtocolosAF[[#This Row],[BILHETE/EMD]]=""),"Y","")</f>
        <v/>
      </c>
      <c r="U723" t="s">
        <v>1697</v>
      </c>
      <c r="V723" s="16" t="str">
        <f t="shared" si="26"/>
        <v>4HJXHJARAUJO PETERSON/PEDRO</v>
      </c>
      <c r="W723">
        <v>694</v>
      </c>
    </row>
    <row r="724" spans="1:23" hidden="1">
      <c r="A724" s="1">
        <v>45737</v>
      </c>
      <c r="B724" t="s">
        <v>10</v>
      </c>
      <c r="C724" t="s">
        <v>1695</v>
      </c>
      <c r="D724" s="23" t="s">
        <v>1696</v>
      </c>
      <c r="E724" t="s">
        <v>512</v>
      </c>
      <c r="F724" s="19">
        <v>57966204</v>
      </c>
      <c r="G724" s="80">
        <v>572334890872</v>
      </c>
      <c r="H724" s="52">
        <v>275</v>
      </c>
      <c r="I724" s="5" t="s">
        <v>74</v>
      </c>
      <c r="J724" s="52" cm="1">
        <f t="array" ref="J72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275</v>
      </c>
      <c r="K724" s="56" t="s">
        <v>1365</v>
      </c>
      <c r="L724" s="54" t="s">
        <v>172</v>
      </c>
      <c r="M724" t="s">
        <v>43</v>
      </c>
      <c r="N724" s="15" t="s">
        <v>1129</v>
      </c>
      <c r="O724" s="5" t="s">
        <v>178</v>
      </c>
      <c r="P724" s="17" t="s">
        <v>69</v>
      </c>
      <c r="Q724" s="10" t="s">
        <v>222</v>
      </c>
      <c r="R724" s="11">
        <v>45376</v>
      </c>
      <c r="S724" s="10" t="s">
        <v>1684</v>
      </c>
      <c r="T724" s="3" t="str">
        <f>IF(AND(ProtocolosAF[[#This Row],[STATUS]]="APROVADO",ProtocolosAF[[#This Row],[BILHETE/EMD]]=""),"Y","")</f>
        <v/>
      </c>
      <c r="U724" t="s">
        <v>1698</v>
      </c>
      <c r="V724" s="16" t="str">
        <f t="shared" si="26"/>
        <v>4HJXHJVISHNEVSKY NETO/VICTOR</v>
      </c>
      <c r="W724">
        <v>694</v>
      </c>
    </row>
    <row r="725" spans="1:23" hidden="1">
      <c r="A725" s="1">
        <v>45747</v>
      </c>
      <c r="B725" t="s">
        <v>10</v>
      </c>
      <c r="C725" t="s">
        <v>1699</v>
      </c>
      <c r="D725" s="23" t="s">
        <v>1700</v>
      </c>
      <c r="E725" t="s">
        <v>41</v>
      </c>
      <c r="F725" s="19">
        <v>57564931</v>
      </c>
      <c r="G725" s="80">
        <v>572872616903</v>
      </c>
      <c r="H725" s="52">
        <v>4022</v>
      </c>
      <c r="I725" s="5">
        <v>0.15</v>
      </c>
      <c r="J725" s="52" cm="1">
        <f t="array" ref="J72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604</v>
      </c>
      <c r="K725" s="56" t="s">
        <v>345</v>
      </c>
      <c r="L725" s="54" t="s">
        <v>66</v>
      </c>
      <c r="M725" t="s">
        <v>43</v>
      </c>
      <c r="N725" s="15" t="s">
        <v>65</v>
      </c>
      <c r="O725" s="5" t="s">
        <v>167</v>
      </c>
      <c r="P725" s="17" t="s">
        <v>46</v>
      </c>
      <c r="Q725" s="10" t="s">
        <v>1701</v>
      </c>
      <c r="R725" s="11">
        <v>45747</v>
      </c>
      <c r="S725" s="10" t="s">
        <v>1702</v>
      </c>
      <c r="T725" s="3" t="str">
        <f>IF(AND(ProtocolosAF[[#This Row],[STATUS]]="APROVADO",ProtocolosAF[[#This Row],[BILHETE/EMD]]=""),"Y","")</f>
        <v/>
      </c>
      <c r="U725" t="s">
        <v>1703</v>
      </c>
      <c r="V725" s="16" t="str">
        <f t="shared" si="26"/>
        <v>ORDHYOALVES/LEONARDO MR</v>
      </c>
      <c r="W725">
        <v>696</v>
      </c>
    </row>
    <row r="726" spans="1:23" hidden="1">
      <c r="A726" s="1">
        <v>45749</v>
      </c>
      <c r="B726" t="s">
        <v>10</v>
      </c>
      <c r="C726" t="s">
        <v>1695</v>
      </c>
      <c r="D726" s="23" t="s">
        <v>1696</v>
      </c>
      <c r="E726" t="s">
        <v>512</v>
      </c>
      <c r="F726" s="19">
        <v>57966204</v>
      </c>
      <c r="G726" s="80">
        <v>572334891686</v>
      </c>
      <c r="H726" s="52">
        <v>278</v>
      </c>
      <c r="I726" s="5" t="s">
        <v>74</v>
      </c>
      <c r="J726" s="52" cm="1">
        <f t="array" ref="J72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278</v>
      </c>
      <c r="K726" s="56" t="s">
        <v>345</v>
      </c>
      <c r="L726" s="54" t="s">
        <v>172</v>
      </c>
      <c r="M726" t="s">
        <v>43</v>
      </c>
      <c r="N726" s="15" t="s">
        <v>1129</v>
      </c>
      <c r="O726" s="5" t="s">
        <v>78</v>
      </c>
      <c r="P726" s="17" t="s">
        <v>146</v>
      </c>
      <c r="Q726" s="10" t="s">
        <v>222</v>
      </c>
      <c r="R726" s="11">
        <v>45749</v>
      </c>
      <c r="S726" s="10" t="s">
        <v>1684</v>
      </c>
      <c r="T726" s="3" t="str">
        <f>IF(AND(ProtocolosAF[[#This Row],[STATUS]]="APROVADO",ProtocolosAF[[#This Row],[BILHETE/EMD]]=""),"Y","")</f>
        <v/>
      </c>
      <c r="U726" t="s">
        <v>1704</v>
      </c>
      <c r="V726" s="16" t="str">
        <f t="shared" si="26"/>
        <v xml:space="preserve">4HJXHJVISHNEVSKY NETO/VICTOR  </v>
      </c>
      <c r="W726">
        <v>698</v>
      </c>
    </row>
    <row r="727" spans="1:23" hidden="1">
      <c r="A727" s="1">
        <v>45750</v>
      </c>
      <c r="B727" t="s">
        <v>10</v>
      </c>
      <c r="C727" t="s">
        <v>1705</v>
      </c>
      <c r="D727" s="23" t="s">
        <v>1706</v>
      </c>
      <c r="E727" t="s">
        <v>41</v>
      </c>
      <c r="F727" s="19"/>
      <c r="G727" s="80"/>
      <c r="H727" s="52">
        <v>3411</v>
      </c>
      <c r="I727" s="5">
        <v>0.2</v>
      </c>
      <c r="J727" s="52" t="str" cm="1">
        <f t="array" ref="J72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27" s="56" t="s">
        <v>1129</v>
      </c>
      <c r="L727" s="54" t="s">
        <v>66</v>
      </c>
      <c r="M727" t="s">
        <v>100</v>
      </c>
      <c r="N727" s="15" t="s">
        <v>1129</v>
      </c>
      <c r="O727" s="5" t="s">
        <v>1090</v>
      </c>
      <c r="P727" s="17" t="s">
        <v>146</v>
      </c>
      <c r="Q727" s="10"/>
      <c r="R727" s="11"/>
      <c r="S727" s="10"/>
      <c r="T727" s="3" t="str">
        <f>IF(AND(ProtocolosAF[[#This Row],[STATUS]]="APROVADO",ProtocolosAF[[#This Row],[BILHETE/EMD]]=""),"Y","")</f>
        <v/>
      </c>
      <c r="U727" t="s">
        <v>1707</v>
      </c>
      <c r="V727" s="16" t="str">
        <f t="shared" si="26"/>
        <v>KGGACYQUIROGA/GISELE MRS</v>
      </c>
      <c r="W727">
        <v>699</v>
      </c>
    </row>
    <row r="728" spans="1:23" hidden="1">
      <c r="A728" s="1">
        <v>45750</v>
      </c>
      <c r="B728" t="s">
        <v>10</v>
      </c>
      <c r="C728" t="s">
        <v>1705</v>
      </c>
      <c r="D728" s="23" t="s">
        <v>1706</v>
      </c>
      <c r="E728" t="s">
        <v>41</v>
      </c>
      <c r="F728" s="19"/>
      <c r="G728" s="80"/>
      <c r="H728" s="52">
        <v>3411</v>
      </c>
      <c r="I728" s="5">
        <v>0.2</v>
      </c>
      <c r="J728" s="52" t="str" cm="1">
        <f t="array" ref="J72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28" s="56" t="s">
        <v>1129</v>
      </c>
      <c r="L728" s="54" t="s">
        <v>66</v>
      </c>
      <c r="M728" t="s">
        <v>100</v>
      </c>
      <c r="N728" s="15" t="s">
        <v>1129</v>
      </c>
      <c r="O728" s="5" t="s">
        <v>1090</v>
      </c>
      <c r="P728" s="17" t="s">
        <v>146</v>
      </c>
      <c r="Q728" s="10"/>
      <c r="R728" s="11"/>
      <c r="S728" s="10"/>
      <c r="T728" s="3" t="str">
        <f>IF(AND(ProtocolosAF[[#This Row],[STATUS]]="APROVADO",ProtocolosAF[[#This Row],[BILHETE/EMD]]=""),"Y","")</f>
        <v/>
      </c>
      <c r="U728" t="s">
        <v>1708</v>
      </c>
      <c r="V728" s="16" t="str">
        <f t="shared" si="26"/>
        <v>KGGACYMARTIN QUIROGA/RUY MR</v>
      </c>
      <c r="W728">
        <v>699</v>
      </c>
    </row>
    <row r="729" spans="1:23" hidden="1">
      <c r="A729" s="1">
        <v>45751</v>
      </c>
      <c r="B729" t="s">
        <v>11</v>
      </c>
      <c r="C729" t="s">
        <v>1709</v>
      </c>
      <c r="D729" s="23" t="s">
        <v>1709</v>
      </c>
      <c r="E729" t="s">
        <v>73</v>
      </c>
      <c r="F729" s="19">
        <v>57994602</v>
      </c>
      <c r="G729" s="80">
        <v>574216445524</v>
      </c>
      <c r="H729" s="52">
        <v>600</v>
      </c>
      <c r="I729" s="5" t="s">
        <v>74</v>
      </c>
      <c r="J729" s="52" cm="1">
        <f t="array" ref="J72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600</v>
      </c>
      <c r="K729" s="56" t="s">
        <v>1710</v>
      </c>
      <c r="L729" s="54" t="s">
        <v>172</v>
      </c>
      <c r="M729" t="s">
        <v>43</v>
      </c>
      <c r="N729" s="15" t="s">
        <v>1458</v>
      </c>
      <c r="O729" s="5" t="s">
        <v>101</v>
      </c>
      <c r="P729" s="17" t="s">
        <v>69</v>
      </c>
      <c r="Q729" s="10" t="s">
        <v>1711</v>
      </c>
      <c r="R729" s="11">
        <v>45754</v>
      </c>
      <c r="S729" s="10" t="s">
        <v>1712</v>
      </c>
      <c r="T729" s="3" t="str">
        <f>IF(AND(ProtocolosAF[[#This Row],[STATUS]]="APROVADO",ProtocolosAF[[#This Row],[BILHETE/EMD]]=""),"Y","")</f>
        <v/>
      </c>
      <c r="U729" t="s">
        <v>1713</v>
      </c>
      <c r="V729" s="16" t="str">
        <f t="shared" si="26"/>
        <v>3JJO8REISENBERG GOLDMAN/ELISHEVA SOPHIE</v>
      </c>
      <c r="W729">
        <v>700</v>
      </c>
    </row>
    <row r="730" spans="1:23" hidden="1">
      <c r="A730" s="1">
        <v>45751</v>
      </c>
      <c r="B730" t="s">
        <v>11</v>
      </c>
      <c r="C730" t="s">
        <v>1714</v>
      </c>
      <c r="D730" s="23" t="s">
        <v>1714</v>
      </c>
      <c r="E730" t="s">
        <v>73</v>
      </c>
      <c r="F730" s="19">
        <v>57994602</v>
      </c>
      <c r="G730" s="80">
        <v>574216445531</v>
      </c>
      <c r="H730" s="52">
        <v>455</v>
      </c>
      <c r="I730" s="5" t="s">
        <v>74</v>
      </c>
      <c r="J730" s="52" cm="1">
        <f t="array" ref="J73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455</v>
      </c>
      <c r="K730" s="56" t="s">
        <v>1710</v>
      </c>
      <c r="L730" s="54" t="s">
        <v>172</v>
      </c>
      <c r="M730" t="s">
        <v>43</v>
      </c>
      <c r="N730" s="15" t="s">
        <v>1458</v>
      </c>
      <c r="O730" s="5" t="s">
        <v>1715</v>
      </c>
      <c r="P730" s="17" t="s">
        <v>69</v>
      </c>
      <c r="Q730" s="10" t="s">
        <v>1711</v>
      </c>
      <c r="R730" s="11">
        <v>45754</v>
      </c>
      <c r="S730" s="10" t="s">
        <v>1716</v>
      </c>
      <c r="T730" s="3" t="str">
        <f>IF(AND(ProtocolosAF[[#This Row],[STATUS]]="APROVADO",ProtocolosAF[[#This Row],[BILHETE/EMD]]=""),"Y","")</f>
        <v/>
      </c>
      <c r="U730" t="s">
        <v>1717</v>
      </c>
      <c r="V730" s="16" t="str">
        <f t="shared" si="26"/>
        <v>3JJ5R3ZURAVEIN/RAFAEL MR</v>
      </c>
      <c r="W730">
        <v>701</v>
      </c>
    </row>
    <row r="731" spans="1:23" hidden="1">
      <c r="A731" s="1">
        <v>45754</v>
      </c>
      <c r="B731" t="s">
        <v>13</v>
      </c>
      <c r="C731" t="s">
        <v>1718</v>
      </c>
      <c r="D731" s="23" t="s">
        <v>1718</v>
      </c>
      <c r="E731" t="s">
        <v>41</v>
      </c>
      <c r="F731" s="19"/>
      <c r="G731" s="80"/>
      <c r="H731" s="52">
        <v>2200</v>
      </c>
      <c r="I731" s="5">
        <v>0.2</v>
      </c>
      <c r="J731" s="52" t="str" cm="1">
        <f t="array" ref="J73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31" s="56" t="s">
        <v>1355</v>
      </c>
      <c r="L731" s="54" t="s">
        <v>66</v>
      </c>
      <c r="M731" t="s">
        <v>100</v>
      </c>
      <c r="N731" s="15" t="s">
        <v>1096</v>
      </c>
      <c r="O731" s="5" t="s">
        <v>1719</v>
      </c>
      <c r="P731" s="17" t="s">
        <v>46</v>
      </c>
      <c r="Q731" s="10"/>
      <c r="R731" s="11"/>
      <c r="S731" s="10"/>
      <c r="T731" s="3" t="str">
        <f>IF(AND(ProtocolosAF[[#This Row],[STATUS]]="APROVADO",ProtocolosAF[[#This Row],[BILHETE/EMD]]=""),"Y","")</f>
        <v/>
      </c>
      <c r="U731" t="s">
        <v>1720</v>
      </c>
      <c r="V731" s="16" t="str">
        <f t="shared" si="26"/>
        <v>2I2LK7LOPES ROCHA FILHO/CLAUDIO</v>
      </c>
      <c r="W731">
        <v>702</v>
      </c>
    </row>
    <row r="732" spans="1:23" hidden="1">
      <c r="A732" s="1">
        <v>45754</v>
      </c>
      <c r="B732" t="s">
        <v>13</v>
      </c>
      <c r="C732" t="s">
        <v>1718</v>
      </c>
      <c r="D732" s="23" t="s">
        <v>1718</v>
      </c>
      <c r="E732" t="s">
        <v>41</v>
      </c>
      <c r="F732" s="19"/>
      <c r="G732" s="80"/>
      <c r="H732" s="52">
        <v>2200</v>
      </c>
      <c r="I732" s="5">
        <v>0.2</v>
      </c>
      <c r="J732" s="52" t="str" cm="1">
        <f t="array" ref="J73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32" s="56" t="s">
        <v>1355</v>
      </c>
      <c r="L732" s="54" t="s">
        <v>66</v>
      </c>
      <c r="M732" t="s">
        <v>100</v>
      </c>
      <c r="N732" s="15" t="s">
        <v>1096</v>
      </c>
      <c r="O732" s="5" t="s">
        <v>1719</v>
      </c>
      <c r="P732" s="17" t="s">
        <v>46</v>
      </c>
      <c r="Q732" s="10"/>
      <c r="R732" s="11"/>
      <c r="S732" s="10"/>
      <c r="T732" s="3" t="str">
        <f>IF(AND(ProtocolosAF[[#This Row],[STATUS]]="APROVADO",ProtocolosAF[[#This Row],[BILHETE/EMD]]=""),"Y","")</f>
        <v/>
      </c>
      <c r="U732" t="s">
        <v>1721</v>
      </c>
      <c r="V732" s="16" t="str">
        <f t="shared" si="26"/>
        <v>2I2LK7MEDAUAR ROCHA/DENISE</v>
      </c>
      <c r="W732">
        <v>702</v>
      </c>
    </row>
    <row r="733" spans="1:23" hidden="1">
      <c r="A733" s="1">
        <v>45758</v>
      </c>
      <c r="B733" t="s">
        <v>12</v>
      </c>
      <c r="C733" t="s">
        <v>1722</v>
      </c>
      <c r="D733" s="23" t="s">
        <v>1723</v>
      </c>
      <c r="E733" t="s">
        <v>73</v>
      </c>
      <c r="F733" s="19">
        <v>57564931</v>
      </c>
      <c r="G733" s="84" t="s">
        <v>1724</v>
      </c>
      <c r="H733" s="52">
        <v>654</v>
      </c>
      <c r="I733" s="5" t="s">
        <v>74</v>
      </c>
      <c r="J733" s="52" cm="1">
        <f t="array" ref="J73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654</v>
      </c>
      <c r="K733" s="56" t="s">
        <v>1552</v>
      </c>
      <c r="L733" s="54" t="s">
        <v>172</v>
      </c>
      <c r="M733" t="s">
        <v>43</v>
      </c>
      <c r="N733" s="15" t="s">
        <v>1552</v>
      </c>
      <c r="O733" s="5" t="s">
        <v>978</v>
      </c>
      <c r="P733" s="17" t="s">
        <v>46</v>
      </c>
      <c r="Q733" s="10" t="s">
        <v>1473</v>
      </c>
      <c r="R733" s="11">
        <v>45784</v>
      </c>
      <c r="S733" s="85" t="s">
        <v>1725</v>
      </c>
      <c r="T733" s="3" t="str">
        <f>IF(AND(ProtocolosAF[[#This Row],[STATUS]]="APROVADO",ProtocolosAF[[#This Row],[BILHETE/EMD]]=""),"Y","")</f>
        <v/>
      </c>
      <c r="U733" t="s">
        <v>1726</v>
      </c>
      <c r="V733" s="16" t="str">
        <f t="shared" si="26"/>
        <v>MUKJCFBASSANI/SILVIA</v>
      </c>
      <c r="W733">
        <v>704</v>
      </c>
    </row>
    <row r="734" spans="1:23" hidden="1">
      <c r="A734" s="1">
        <v>45758</v>
      </c>
      <c r="B734" t="s">
        <v>12</v>
      </c>
      <c r="C734" t="s">
        <v>1722</v>
      </c>
      <c r="D734" s="23" t="s">
        <v>1723</v>
      </c>
      <c r="E734" t="s">
        <v>73</v>
      </c>
      <c r="F734" s="19">
        <v>57564931</v>
      </c>
      <c r="G734" s="84" t="s">
        <v>1727</v>
      </c>
      <c r="H734" s="52">
        <v>654</v>
      </c>
      <c r="I734" s="5" t="s">
        <v>74</v>
      </c>
      <c r="J734" s="52" cm="1">
        <f t="array" ref="J73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654</v>
      </c>
      <c r="K734" s="56" t="s">
        <v>1552</v>
      </c>
      <c r="L734" s="54" t="s">
        <v>172</v>
      </c>
      <c r="M734" t="s">
        <v>43</v>
      </c>
      <c r="N734" s="15" t="s">
        <v>1552</v>
      </c>
      <c r="O734" s="5" t="s">
        <v>978</v>
      </c>
      <c r="P734" s="17" t="s">
        <v>46</v>
      </c>
      <c r="Q734" s="10" t="s">
        <v>1473</v>
      </c>
      <c r="R734" s="11">
        <v>45784</v>
      </c>
      <c r="S734" s="86" t="s">
        <v>1728</v>
      </c>
      <c r="T734" s="3" t="str">
        <f>IF(AND(ProtocolosAF[[#This Row],[STATUS]]="APROVADO",ProtocolosAF[[#This Row],[BILHETE/EMD]]=""),"Y","")</f>
        <v/>
      </c>
      <c r="U734" t="s">
        <v>1729</v>
      </c>
      <c r="V734" s="16" t="str">
        <f t="shared" si="26"/>
        <v>MUKJCFPIZANI/MARCELO</v>
      </c>
      <c r="W734">
        <v>704</v>
      </c>
    </row>
    <row r="735" spans="1:23" hidden="1">
      <c r="A735" s="1">
        <v>45761</v>
      </c>
      <c r="B735" t="s">
        <v>13</v>
      </c>
      <c r="C735" t="s">
        <v>1730</v>
      </c>
      <c r="D735" s="23" t="s">
        <v>1730</v>
      </c>
      <c r="E735" t="s">
        <v>41</v>
      </c>
      <c r="F735" s="19"/>
      <c r="G735" s="80"/>
      <c r="H735" s="52">
        <v>4842</v>
      </c>
      <c r="I735" s="5">
        <v>0.08</v>
      </c>
      <c r="J735" s="52" t="str" cm="1">
        <f t="array" ref="J73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35" s="56" t="s">
        <v>1731</v>
      </c>
      <c r="L735" s="54" t="s">
        <v>66</v>
      </c>
      <c r="M735" t="s">
        <v>100</v>
      </c>
      <c r="N735" s="15" t="s">
        <v>1096</v>
      </c>
      <c r="O735" s="5" t="s">
        <v>68</v>
      </c>
      <c r="P735" s="17" t="s">
        <v>69</v>
      </c>
      <c r="Q735" s="10"/>
      <c r="R735" s="11"/>
      <c r="S735" s="10"/>
      <c r="T735" s="3" t="str">
        <f>IF(AND(ProtocolosAF[[#This Row],[STATUS]]="APROVADO",ProtocolosAF[[#This Row],[BILHETE/EMD]]=""),"Y","")</f>
        <v/>
      </c>
      <c r="U735" t="s">
        <v>1732</v>
      </c>
      <c r="V735" s="16" t="str">
        <f t="shared" si="26"/>
        <v>3OXVBSATTOSO FERNANDES/PAULO JOSE</v>
      </c>
      <c r="W735">
        <v>705</v>
      </c>
    </row>
    <row r="736" spans="1:23" hidden="1">
      <c r="A736" s="1">
        <v>45769</v>
      </c>
      <c r="B736" t="s">
        <v>16</v>
      </c>
      <c r="C736" t="s">
        <v>1733</v>
      </c>
      <c r="D736" s="23" t="s">
        <v>1733</v>
      </c>
      <c r="E736" t="s">
        <v>73</v>
      </c>
      <c r="F736" s="19">
        <v>57564931</v>
      </c>
      <c r="G736" s="53">
        <v>574216445564</v>
      </c>
      <c r="H736" s="52">
        <v>156</v>
      </c>
      <c r="I736" s="5" t="s">
        <v>74</v>
      </c>
      <c r="J736" s="52" cm="1">
        <f t="array" ref="J73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156</v>
      </c>
      <c r="K736" s="56" t="s">
        <v>1670</v>
      </c>
      <c r="L736" s="54" t="s">
        <v>172</v>
      </c>
      <c r="M736" t="s">
        <v>43</v>
      </c>
      <c r="N736" s="15" t="s">
        <v>1012</v>
      </c>
      <c r="O736" s="5" t="s">
        <v>290</v>
      </c>
      <c r="P736" s="17" t="s">
        <v>69</v>
      </c>
      <c r="Q736" s="10" t="s">
        <v>1711</v>
      </c>
      <c r="R736" s="11">
        <v>45770</v>
      </c>
      <c r="S736" s="10" t="s">
        <v>1734</v>
      </c>
      <c r="T736" s="3" t="str">
        <f>IF(AND(ProtocolosAF[[#This Row],[STATUS]]="APROVADO",ProtocolosAF[[#This Row],[BILHETE/EMD]]=""),"Y","")</f>
        <v/>
      </c>
      <c r="U736" t="s">
        <v>1735</v>
      </c>
      <c r="V736" s="16" t="str">
        <f t="shared" si="26"/>
        <v>4Y6DD5ARY DUQUE/LOUISE</v>
      </c>
      <c r="W736">
        <v>707</v>
      </c>
    </row>
    <row r="737" spans="1:23" hidden="1">
      <c r="A737" s="1">
        <v>45769</v>
      </c>
      <c r="B737" t="s">
        <v>16</v>
      </c>
      <c r="C737" t="s">
        <v>1733</v>
      </c>
      <c r="D737" s="23" t="s">
        <v>1733</v>
      </c>
      <c r="E737" t="s">
        <v>73</v>
      </c>
      <c r="F737" s="19">
        <v>57564931</v>
      </c>
      <c r="G737" s="80" t="s">
        <v>1736</v>
      </c>
      <c r="H737" s="52">
        <v>156</v>
      </c>
      <c r="I737" s="5" t="s">
        <v>74</v>
      </c>
      <c r="J737" s="52" cm="1">
        <f t="array" ref="J73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156</v>
      </c>
      <c r="K737" s="56" t="s">
        <v>1670</v>
      </c>
      <c r="L737" s="54" t="s">
        <v>172</v>
      </c>
      <c r="M737" t="s">
        <v>43</v>
      </c>
      <c r="N737" s="15" t="s">
        <v>1012</v>
      </c>
      <c r="O737" s="5" t="s">
        <v>290</v>
      </c>
      <c r="P737" s="17" t="s">
        <v>69</v>
      </c>
      <c r="Q737" s="10" t="s">
        <v>1711</v>
      </c>
      <c r="R737" s="11">
        <v>45770</v>
      </c>
      <c r="S737" s="10" t="s">
        <v>1734</v>
      </c>
      <c r="T737" s="3" t="str">
        <f>IF(AND(ProtocolosAF[[#This Row],[STATUS]]="APROVADO",ProtocolosAF[[#This Row],[BILHETE/EMD]]=""),"Y","")</f>
        <v/>
      </c>
      <c r="U737" t="s">
        <v>1737</v>
      </c>
      <c r="V737" s="16" t="str">
        <f t="shared" si="26"/>
        <v>4Y6DD5GOIS RODRIGUES/JONATAS</v>
      </c>
      <c r="W737">
        <v>707</v>
      </c>
    </row>
    <row r="738" spans="1:23" hidden="1">
      <c r="A738" s="1">
        <v>45772</v>
      </c>
      <c r="B738" t="s">
        <v>10</v>
      </c>
      <c r="C738" t="s">
        <v>1738</v>
      </c>
      <c r="D738" s="23" t="s">
        <v>1738</v>
      </c>
      <c r="E738" t="s">
        <v>512</v>
      </c>
      <c r="F738" s="19">
        <v>57564931</v>
      </c>
      <c r="G738" s="80">
        <v>576373419114</v>
      </c>
      <c r="H738" s="52">
        <v>264</v>
      </c>
      <c r="I738" s="5" t="s">
        <v>74</v>
      </c>
      <c r="J738" s="52" cm="1">
        <f t="array" ref="J73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264</v>
      </c>
      <c r="K738" s="56" t="s">
        <v>1129</v>
      </c>
      <c r="L738" s="54" t="s">
        <v>172</v>
      </c>
      <c r="M738" t="s">
        <v>43</v>
      </c>
      <c r="N738" s="15" t="s">
        <v>1129</v>
      </c>
      <c r="O738" s="5" t="s">
        <v>68</v>
      </c>
      <c r="P738" s="17" t="s">
        <v>146</v>
      </c>
      <c r="Q738" s="10" t="s">
        <v>222</v>
      </c>
      <c r="R738" s="11">
        <v>45772</v>
      </c>
      <c r="S738" s="10" t="s">
        <v>1739</v>
      </c>
      <c r="T738" s="3" t="str">
        <f>IF(AND(ProtocolosAF[[#This Row],[STATUS]]="APROVADO",ProtocolosAF[[#This Row],[BILHETE/EMD]]=""),"Y","")</f>
        <v/>
      </c>
      <c r="U738" t="s">
        <v>1740</v>
      </c>
      <c r="V738" s="16" t="str">
        <f t="shared" si="26"/>
        <v>47XRVBSILVA LOUZA/EMMANUELE</v>
      </c>
      <c r="W738">
        <v>710</v>
      </c>
    </row>
    <row r="739" spans="1:23" hidden="1">
      <c r="A739" s="1">
        <v>45772</v>
      </c>
      <c r="B739" t="s">
        <v>13</v>
      </c>
      <c r="C739" t="s">
        <v>1741</v>
      </c>
      <c r="D739" s="23" t="s">
        <v>1742</v>
      </c>
      <c r="E739" t="s">
        <v>41</v>
      </c>
      <c r="F739" s="19">
        <v>57564931</v>
      </c>
      <c r="G739" s="80">
        <v>572872762294</v>
      </c>
      <c r="H739" s="52">
        <v>4299</v>
      </c>
      <c r="I739" s="5">
        <v>0.15</v>
      </c>
      <c r="J739" s="52" cm="1">
        <f t="array" ref="J73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645</v>
      </c>
      <c r="K739" s="56" t="s">
        <v>1521</v>
      </c>
      <c r="L739" s="54" t="s">
        <v>66</v>
      </c>
      <c r="M739" t="s">
        <v>43</v>
      </c>
      <c r="N739" s="15" t="s">
        <v>1089</v>
      </c>
      <c r="O739" s="5" t="s">
        <v>101</v>
      </c>
      <c r="P739" s="17" t="s">
        <v>46</v>
      </c>
      <c r="Q739" s="10" t="s">
        <v>229</v>
      </c>
      <c r="R739" s="11">
        <v>45775</v>
      </c>
      <c r="S739" s="10" t="s">
        <v>48</v>
      </c>
      <c r="T739" s="3" t="str">
        <f>IF(AND(ProtocolosAF[[#This Row],[STATUS]]="APROVADO",ProtocolosAF[[#This Row],[BILHETE/EMD]]=""),"Y","")</f>
        <v/>
      </c>
      <c r="U739" t="s">
        <v>1743</v>
      </c>
      <c r="V739" s="16" t="str">
        <f t="shared" si="26"/>
        <v>MQGVLFWOJDYSLAWSKI/PHILLIP</v>
      </c>
      <c r="W739">
        <v>711</v>
      </c>
    </row>
    <row r="740" spans="1:23" hidden="1">
      <c r="A740" s="1">
        <v>45776</v>
      </c>
      <c r="B740" t="s">
        <v>11</v>
      </c>
      <c r="C740" t="s">
        <v>1714</v>
      </c>
      <c r="D740" s="23" t="s">
        <v>1714</v>
      </c>
      <c r="E740" t="s">
        <v>512</v>
      </c>
      <c r="F740" s="19"/>
      <c r="G740" s="80"/>
      <c r="H740" s="52">
        <v>265</v>
      </c>
      <c r="I740" s="5" t="s">
        <v>74</v>
      </c>
      <c r="J740" s="52" t="str" cm="1">
        <f t="array" ref="J74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40" s="56" t="s">
        <v>834</v>
      </c>
      <c r="L740" s="54" t="s">
        <v>172</v>
      </c>
      <c r="M740" t="s">
        <v>217</v>
      </c>
      <c r="N740" s="15" t="s">
        <v>1458</v>
      </c>
      <c r="O740" s="5" t="s">
        <v>1221</v>
      </c>
      <c r="P740" s="17" t="s">
        <v>46</v>
      </c>
      <c r="Q740" s="10"/>
      <c r="R740" s="11"/>
      <c r="S740" s="10"/>
      <c r="T740" s="3" t="str">
        <f>IF(AND(ProtocolosAF[[#This Row],[STATUS]]="APROVADO",ProtocolosAF[[#This Row],[BILHETE/EMD]]=""),"Y","")</f>
        <v/>
      </c>
      <c r="U740" t="s">
        <v>1744</v>
      </c>
      <c r="V740" s="16" t="str">
        <f t="shared" si="26"/>
        <v>3JJ5R3 1.ZURAVEIN/RAFAEL MR</v>
      </c>
      <c r="W740">
        <v>712</v>
      </c>
    </row>
    <row r="741" spans="1:23" hidden="1">
      <c r="A741" s="1">
        <v>45776</v>
      </c>
      <c r="B741" t="s">
        <v>11</v>
      </c>
      <c r="C741" t="s">
        <v>1714</v>
      </c>
      <c r="D741" s="23" t="s">
        <v>1714</v>
      </c>
      <c r="E741" t="s">
        <v>512</v>
      </c>
      <c r="F741" s="19">
        <v>57564931</v>
      </c>
      <c r="G741" s="80" t="s">
        <v>1745</v>
      </c>
      <c r="H741" s="52">
        <v>264</v>
      </c>
      <c r="I741" s="5" t="s">
        <v>74</v>
      </c>
      <c r="J741" s="52" cm="1">
        <f t="array" ref="J74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264</v>
      </c>
      <c r="K741" s="56" t="s">
        <v>1007</v>
      </c>
      <c r="L741" s="54" t="s">
        <v>172</v>
      </c>
      <c r="M741" t="s">
        <v>43</v>
      </c>
      <c r="N741" s="15" t="s">
        <v>1458</v>
      </c>
      <c r="O741" s="5" t="s">
        <v>101</v>
      </c>
      <c r="P741" s="17" t="s">
        <v>46</v>
      </c>
      <c r="Q741" s="10" t="s">
        <v>1711</v>
      </c>
      <c r="R741" s="11">
        <v>45777</v>
      </c>
      <c r="S741" s="10" t="s">
        <v>1746</v>
      </c>
      <c r="T741" s="3" t="str">
        <f>IF(AND(ProtocolosAF[[#This Row],[STATUS]]="APROVADO",ProtocolosAF[[#This Row],[BILHETE/EMD]]=""),"Y","")</f>
        <v/>
      </c>
      <c r="U741" t="s">
        <v>1747</v>
      </c>
      <c r="V741" s="16" t="str">
        <f t="shared" si="26"/>
        <v>3JJ5R3ZURAVEIN/RAFAEL</v>
      </c>
      <c r="W741">
        <v>713</v>
      </c>
    </row>
    <row r="742" spans="1:23" hidden="1">
      <c r="A742" s="1">
        <v>45776</v>
      </c>
      <c r="B742" t="s">
        <v>11</v>
      </c>
      <c r="C742" t="s">
        <v>1714</v>
      </c>
      <c r="D742" s="23" t="s">
        <v>1714</v>
      </c>
      <c r="E742" t="s">
        <v>512</v>
      </c>
      <c r="F742" s="19">
        <v>57564931</v>
      </c>
      <c r="G742" s="80" t="s">
        <v>1748</v>
      </c>
      <c r="H742" s="52">
        <v>300</v>
      </c>
      <c r="I742" s="5" t="s">
        <v>74</v>
      </c>
      <c r="J742" s="52" cm="1">
        <f t="array" ref="J74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300</v>
      </c>
      <c r="K742" s="56" t="s">
        <v>1007</v>
      </c>
      <c r="L742" s="54" t="s">
        <v>172</v>
      </c>
      <c r="M742" t="s">
        <v>43</v>
      </c>
      <c r="N742" s="15" t="s">
        <v>1458</v>
      </c>
      <c r="O742" s="5" t="s">
        <v>711</v>
      </c>
      <c r="P742" s="17" t="s">
        <v>46</v>
      </c>
      <c r="Q742" s="10" t="s">
        <v>1711</v>
      </c>
      <c r="R742" s="11">
        <v>45777</v>
      </c>
      <c r="S742" s="10" t="s">
        <v>1746</v>
      </c>
      <c r="T742" s="3" t="str">
        <f>IF(AND(ProtocolosAF[[#This Row],[STATUS]]="APROVADO",ProtocolosAF[[#This Row],[BILHETE/EMD]]=""),"Y","")</f>
        <v/>
      </c>
      <c r="U742" t="s">
        <v>1747</v>
      </c>
      <c r="V742" s="16" t="str">
        <f t="shared" si="26"/>
        <v>3JJ5R3ZURAVEIN/RAFAEL</v>
      </c>
      <c r="W742">
        <v>714</v>
      </c>
    </row>
    <row r="743" spans="1:23" hidden="1">
      <c r="A743" s="1">
        <v>45777</v>
      </c>
      <c r="B743" t="s">
        <v>11</v>
      </c>
      <c r="C743" t="s">
        <v>1749</v>
      </c>
      <c r="D743" s="23" t="s">
        <v>1750</v>
      </c>
      <c r="E743" t="s">
        <v>73</v>
      </c>
      <c r="F743" s="19">
        <v>57995254</v>
      </c>
      <c r="G743" s="80">
        <v>744100136619</v>
      </c>
      <c r="H743" s="52">
        <v>200</v>
      </c>
      <c r="I743" s="5" t="s">
        <v>74</v>
      </c>
      <c r="J743" s="52" cm="1">
        <f t="array" ref="J74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200</v>
      </c>
      <c r="K743" s="56" t="s">
        <v>1751</v>
      </c>
      <c r="L743" s="54" t="s">
        <v>529</v>
      </c>
      <c r="M743" t="s">
        <v>43</v>
      </c>
      <c r="N743" s="15" t="s">
        <v>1458</v>
      </c>
      <c r="O743" s="5" t="s">
        <v>307</v>
      </c>
      <c r="P743" s="17" t="s">
        <v>69</v>
      </c>
      <c r="Q743" s="10" t="s">
        <v>1711</v>
      </c>
      <c r="R743" s="11">
        <v>45786</v>
      </c>
      <c r="S743" s="10" t="s">
        <v>1752</v>
      </c>
      <c r="T743" s="3" t="str">
        <f>IF(AND(ProtocolosAF[[#This Row],[STATUS]]="APROVADO",ProtocolosAF[[#This Row],[BILHETE/EMD]]=""),"Y","")</f>
        <v/>
      </c>
      <c r="U743" t="s">
        <v>1753</v>
      </c>
      <c r="V743" s="16" t="str">
        <f t="shared" si="26"/>
        <v>YDJTMAVICENTE BOMFIM FILHO/SEBASTIAO</v>
      </c>
      <c r="W743">
        <v>715</v>
      </c>
    </row>
    <row r="744" spans="1:23" hidden="1">
      <c r="A744" s="1">
        <v>45777</v>
      </c>
      <c r="B744" t="s">
        <v>9</v>
      </c>
      <c r="C744" t="s">
        <v>1749</v>
      </c>
      <c r="D744" s="23" t="s">
        <v>1754</v>
      </c>
      <c r="E744" t="s">
        <v>41</v>
      </c>
      <c r="F744" s="19">
        <v>57564931</v>
      </c>
      <c r="G744" s="80" t="s">
        <v>1755</v>
      </c>
      <c r="H744" s="52">
        <v>4693</v>
      </c>
      <c r="I744" s="5">
        <v>0.08</v>
      </c>
      <c r="J744" s="52" cm="1">
        <f t="array" ref="J74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376</v>
      </c>
      <c r="K744" s="56" t="s">
        <v>99</v>
      </c>
      <c r="L744" s="54" t="s">
        <v>66</v>
      </c>
      <c r="M744" t="s">
        <v>43</v>
      </c>
      <c r="N744" s="15" t="s">
        <v>42</v>
      </c>
      <c r="O744" s="5" t="s">
        <v>164</v>
      </c>
      <c r="P744" s="17" t="s">
        <v>69</v>
      </c>
      <c r="Q744" s="10" t="s">
        <v>1756</v>
      </c>
      <c r="R744" s="11">
        <v>45779</v>
      </c>
      <c r="S744" s="10" t="s">
        <v>1757</v>
      </c>
      <c r="T744" s="3" t="str">
        <f>IF(AND(ProtocolosAF[[#This Row],[STATUS]]="APROVADO",ProtocolosAF[[#This Row],[BILHETE/EMD]]=""),"Y","")</f>
        <v/>
      </c>
      <c r="U744" t="s">
        <v>1758</v>
      </c>
      <c r="V744" s="16" t="str">
        <f t="shared" si="26"/>
        <v>YDJTMAMORENO/CARLOS MR</v>
      </c>
      <c r="W744">
        <v>716</v>
      </c>
    </row>
    <row r="745" spans="1:23" hidden="1">
      <c r="A745" s="1">
        <v>45784</v>
      </c>
      <c r="B745" t="s">
        <v>11</v>
      </c>
      <c r="C745" t="s">
        <v>1759</v>
      </c>
      <c r="D745" s="23" t="s">
        <v>1760</v>
      </c>
      <c r="E745" t="s">
        <v>512</v>
      </c>
      <c r="F745" s="19">
        <v>57564931</v>
      </c>
      <c r="G745" s="80">
        <v>576373506342</v>
      </c>
      <c r="H745" s="52">
        <v>221</v>
      </c>
      <c r="I745" s="5" t="s">
        <v>74</v>
      </c>
      <c r="J745" s="52" cm="1">
        <f t="array" ref="J74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221</v>
      </c>
      <c r="K745" s="56" t="s">
        <v>1082</v>
      </c>
      <c r="L745" s="54" t="s">
        <v>172</v>
      </c>
      <c r="M745" t="s">
        <v>43</v>
      </c>
      <c r="N745" s="15" t="s">
        <v>1458</v>
      </c>
      <c r="O745" s="5" t="s">
        <v>190</v>
      </c>
      <c r="P745" s="17" t="s">
        <v>46</v>
      </c>
      <c r="Q745" s="10" t="s">
        <v>1761</v>
      </c>
      <c r="R745" s="11">
        <v>45785</v>
      </c>
      <c r="S745" s="10" t="s">
        <v>1762</v>
      </c>
      <c r="T745" s="3" t="str">
        <f>IF(AND(ProtocolosAF[[#This Row],[STATUS]]="APROVADO",ProtocolosAF[[#This Row],[BILHETE/EMD]]=""),"Y","")</f>
        <v/>
      </c>
      <c r="U745" t="s">
        <v>1763</v>
      </c>
      <c r="V745" s="16" t="str">
        <f t="shared" ref="V745:V751" si="27">_xlfn.CONCAT(C745,U745)</f>
        <v>3SML5PCARDOSO/JANE</v>
      </c>
      <c r="W745">
        <v>719</v>
      </c>
    </row>
    <row r="746" spans="1:23" hidden="1">
      <c r="A746" s="1">
        <v>45786</v>
      </c>
      <c r="B746" t="s">
        <v>15</v>
      </c>
      <c r="C746" t="s">
        <v>1764</v>
      </c>
      <c r="D746" s="23" t="s">
        <v>1764</v>
      </c>
      <c r="E746" t="s">
        <v>41</v>
      </c>
      <c r="F746" s="19"/>
      <c r="G746" s="80"/>
      <c r="H746" s="52">
        <v>5029</v>
      </c>
      <c r="I746" s="5">
        <v>0.12</v>
      </c>
      <c r="J746" s="52" t="str" cm="1">
        <f t="array" ref="J74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46" s="56" t="s">
        <v>1765</v>
      </c>
      <c r="L746" s="54" t="s">
        <v>66</v>
      </c>
      <c r="M746" t="s">
        <v>217</v>
      </c>
      <c r="N746" s="15" t="s">
        <v>1155</v>
      </c>
      <c r="O746" s="5" t="s">
        <v>468</v>
      </c>
      <c r="P746" s="17" t="s">
        <v>46</v>
      </c>
      <c r="Q746" s="10"/>
      <c r="R746" s="11"/>
      <c r="S746" s="10"/>
      <c r="T746" s="3" t="str">
        <f>IF(AND(ProtocolosAF[[#This Row],[STATUS]]="APROVADO",ProtocolosAF[[#This Row],[BILHETE/EMD]]=""),"Y","")</f>
        <v/>
      </c>
      <c r="U746" t="s">
        <v>1766</v>
      </c>
      <c r="V746" s="16" t="str">
        <f t="shared" si="27"/>
        <v xml:space="preserve">A2BXULDESOUZA MACHADO/ANA CRISTINA </v>
      </c>
      <c r="W746">
        <v>720</v>
      </c>
    </row>
    <row r="747" spans="1:23" hidden="1">
      <c r="A747" s="1">
        <v>45786</v>
      </c>
      <c r="B747" t="s">
        <v>15</v>
      </c>
      <c r="C747" t="s">
        <v>1764</v>
      </c>
      <c r="D747" s="23" t="s">
        <v>1764</v>
      </c>
      <c r="E747" t="s">
        <v>41</v>
      </c>
      <c r="F747" s="19"/>
      <c r="G747" s="80"/>
      <c r="H747" s="52">
        <v>5209</v>
      </c>
      <c r="I747" s="5">
        <v>0.12</v>
      </c>
      <c r="J747" s="52" t="str" cm="1">
        <f t="array" ref="J74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47" s="56" t="s">
        <v>1765</v>
      </c>
      <c r="L747" s="54" t="s">
        <v>66</v>
      </c>
      <c r="M747" t="s">
        <v>217</v>
      </c>
      <c r="N747" s="15" t="s">
        <v>1155</v>
      </c>
      <c r="O747" s="5" t="s">
        <v>468</v>
      </c>
      <c r="P747" s="17" t="s">
        <v>46</v>
      </c>
      <c r="Q747" s="10"/>
      <c r="R747" s="11"/>
      <c r="S747" s="10"/>
      <c r="T747" s="3" t="str">
        <f>IF(AND(ProtocolosAF[[#This Row],[STATUS]]="APROVADO",ProtocolosAF[[#This Row],[BILHETE/EMD]]=""),"Y","")</f>
        <v/>
      </c>
      <c r="U747" t="s">
        <v>1767</v>
      </c>
      <c r="V747" s="16" t="str">
        <f t="shared" si="27"/>
        <v>A2BXULDESOUZA MACHADO/ANA CRISTINA</v>
      </c>
      <c r="W747">
        <v>721</v>
      </c>
    </row>
    <row r="748" spans="1:23" hidden="1">
      <c r="A748" s="1">
        <v>45786</v>
      </c>
      <c r="B748" t="s">
        <v>15</v>
      </c>
      <c r="C748" t="s">
        <v>1764</v>
      </c>
      <c r="D748" s="23" t="s">
        <v>1764</v>
      </c>
      <c r="E748" t="s">
        <v>41</v>
      </c>
      <c r="F748" s="19"/>
      <c r="G748" s="80"/>
      <c r="H748" s="52">
        <v>5029</v>
      </c>
      <c r="I748" s="5">
        <v>0.12</v>
      </c>
      <c r="J748" s="52" t="str" cm="1">
        <f t="array" ref="J74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48" s="56" t="s">
        <v>1765</v>
      </c>
      <c r="L748" s="54" t="s">
        <v>66</v>
      </c>
      <c r="M748" t="s">
        <v>217</v>
      </c>
      <c r="N748" s="15" t="s">
        <v>1155</v>
      </c>
      <c r="O748" s="5" t="s">
        <v>468</v>
      </c>
      <c r="P748" s="17" t="s">
        <v>46</v>
      </c>
      <c r="Q748" s="10"/>
      <c r="R748" s="11"/>
      <c r="S748" s="10"/>
      <c r="T748" s="3" t="str">
        <f>IF(AND(ProtocolosAF[[#This Row],[STATUS]]="APROVADO",ProtocolosAF[[#This Row],[BILHETE/EMD]]=""),"Y","")</f>
        <v/>
      </c>
      <c r="U748" t="s">
        <v>1767</v>
      </c>
      <c r="V748" s="16" t="str">
        <f t="shared" si="27"/>
        <v>A2BXULDESOUZA MACHADO/ANA CRISTINA</v>
      </c>
      <c r="W748">
        <v>722</v>
      </c>
    </row>
    <row r="749" spans="1:23" hidden="1">
      <c r="A749" s="1">
        <v>45786</v>
      </c>
      <c r="B749" t="s">
        <v>15</v>
      </c>
      <c r="C749" t="s">
        <v>1764</v>
      </c>
      <c r="D749" s="23" t="s">
        <v>1764</v>
      </c>
      <c r="E749" t="s">
        <v>41</v>
      </c>
      <c r="F749" s="19">
        <v>57564931</v>
      </c>
      <c r="G749" s="80">
        <v>576373518579</v>
      </c>
      <c r="H749" s="52">
        <v>1738</v>
      </c>
      <c r="I749" s="5">
        <v>0.12</v>
      </c>
      <c r="J749" s="52" cm="1">
        <f t="array" ref="J74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209</v>
      </c>
      <c r="K749" s="56" t="s">
        <v>1293</v>
      </c>
      <c r="L749" s="54" t="s">
        <v>66</v>
      </c>
      <c r="M749" t="s">
        <v>43</v>
      </c>
      <c r="N749" s="15" t="s">
        <v>1155</v>
      </c>
      <c r="O749" s="5" t="s">
        <v>468</v>
      </c>
      <c r="P749" s="17" t="s">
        <v>69</v>
      </c>
      <c r="Q749" s="10" t="s">
        <v>79</v>
      </c>
      <c r="R749" s="11">
        <v>45789</v>
      </c>
      <c r="S749" s="10" t="s">
        <v>48</v>
      </c>
      <c r="T749" s="3" t="str">
        <f>IF(AND(ProtocolosAF[[#This Row],[STATUS]]="APROVADO",ProtocolosAF[[#This Row],[BILHETE/EMD]]=""),"Y","")</f>
        <v/>
      </c>
      <c r="U749" t="s">
        <v>1768</v>
      </c>
      <c r="V749" s="16" t="str">
        <f t="shared" si="27"/>
        <v>A2BXUL1.DESOUZA MACHADO/ANA CRISTINA MRS(ADT/27DEC44)</v>
      </c>
      <c r="W749">
        <v>723</v>
      </c>
    </row>
    <row r="750" spans="1:23" hidden="1">
      <c r="A750" s="1">
        <v>45786</v>
      </c>
      <c r="B750" t="s">
        <v>15</v>
      </c>
      <c r="C750" t="s">
        <v>1764</v>
      </c>
      <c r="D750" s="23" t="s">
        <v>1764</v>
      </c>
      <c r="E750" t="s">
        <v>41</v>
      </c>
      <c r="F750" s="19">
        <v>57564931</v>
      </c>
      <c r="G750" s="80">
        <v>576373518580</v>
      </c>
      <c r="H750" s="52">
        <v>1738</v>
      </c>
      <c r="I750" s="5">
        <v>0.12</v>
      </c>
      <c r="J750" s="52" cm="1">
        <f t="array" ref="J75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209</v>
      </c>
      <c r="K750" s="56" t="s">
        <v>1293</v>
      </c>
      <c r="L750" s="54" t="s">
        <v>66</v>
      </c>
      <c r="M750" t="s">
        <v>43</v>
      </c>
      <c r="N750" s="15" t="s">
        <v>1155</v>
      </c>
      <c r="O750" s="5" t="s">
        <v>468</v>
      </c>
      <c r="P750" s="17" t="s">
        <v>69</v>
      </c>
      <c r="Q750" s="10" t="s">
        <v>79</v>
      </c>
      <c r="R750" s="11">
        <v>45789</v>
      </c>
      <c r="S750" s="10" t="s">
        <v>48</v>
      </c>
      <c r="T750" s="3" t="str">
        <f>IF(AND(ProtocolosAF[[#This Row],[STATUS]]="APROVADO",ProtocolosAF[[#This Row],[BILHETE/EMD]]=""),"Y","")</f>
        <v/>
      </c>
      <c r="U750" t="s">
        <v>1769</v>
      </c>
      <c r="V750" s="16" t="str">
        <f t="shared" si="27"/>
        <v>A2BXUL2.PEREIRA LEITE/SERGIO MR(ADT/22SEP46)</v>
      </c>
      <c r="W750">
        <v>723</v>
      </c>
    </row>
    <row r="751" spans="1:23" hidden="1">
      <c r="A751" s="1">
        <v>45786</v>
      </c>
      <c r="B751" t="s">
        <v>10</v>
      </c>
      <c r="C751" t="s">
        <v>1770</v>
      </c>
      <c r="D751" s="23" t="s">
        <v>1770</v>
      </c>
      <c r="E751" t="s">
        <v>73</v>
      </c>
      <c r="F751" s="19">
        <v>57564931</v>
      </c>
      <c r="G751" s="53">
        <v>574216445632</v>
      </c>
      <c r="H751" s="52">
        <v>144</v>
      </c>
      <c r="I751" s="5" t="s">
        <v>74</v>
      </c>
      <c r="J751" s="52" cm="1">
        <f t="array" ref="J75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144</v>
      </c>
      <c r="K751" s="56" t="s">
        <v>1771</v>
      </c>
      <c r="L751" s="54" t="s">
        <v>172</v>
      </c>
      <c r="M751" t="s">
        <v>43</v>
      </c>
      <c r="N751" s="15" t="s">
        <v>65</v>
      </c>
      <c r="O751" s="5" t="s">
        <v>1772</v>
      </c>
      <c r="P751" s="17" t="s">
        <v>146</v>
      </c>
      <c r="Q751" s="10" t="s">
        <v>1711</v>
      </c>
      <c r="R751" s="11">
        <v>13</v>
      </c>
      <c r="S751" s="10" t="s">
        <v>1773</v>
      </c>
      <c r="T751" s="3" t="str">
        <f>IF(AND(ProtocolosAF[[#This Row],[STATUS]]="APROVADO",ProtocolosAF[[#This Row],[BILHETE/EMD]]=""),"Y","")</f>
        <v/>
      </c>
      <c r="U751" t="s">
        <v>1774</v>
      </c>
      <c r="V751" s="16" t="str">
        <f t="shared" si="27"/>
        <v>33XAKSJABUR ABRAHAO/LUISA MRS</v>
      </c>
      <c r="W751">
        <v>724</v>
      </c>
    </row>
    <row r="752" spans="1:23" hidden="1">
      <c r="A752" s="1">
        <v>45790</v>
      </c>
      <c r="B752" t="s">
        <v>13</v>
      </c>
      <c r="C752" t="s">
        <v>1775</v>
      </c>
      <c r="D752" s="23" t="s">
        <v>1776</v>
      </c>
      <c r="E752" t="s">
        <v>41</v>
      </c>
      <c r="F752" s="19"/>
      <c r="G752" s="53"/>
      <c r="H752" s="52">
        <v>4676</v>
      </c>
      <c r="I752" s="5">
        <v>0.1</v>
      </c>
      <c r="J752" s="52" t="str" cm="1">
        <f t="array" ref="J75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52" s="56" t="s">
        <v>1521</v>
      </c>
      <c r="L752" s="54" t="s">
        <v>76</v>
      </c>
      <c r="M752" t="s">
        <v>100</v>
      </c>
      <c r="N752" s="15" t="s">
        <v>1089</v>
      </c>
      <c r="O752" s="5" t="s">
        <v>78</v>
      </c>
      <c r="P752" s="17" t="s">
        <v>46</v>
      </c>
      <c r="Q752" s="10"/>
      <c r="R752" s="11"/>
      <c r="S752" s="10"/>
      <c r="T752" s="3" t="str">
        <f>IF(AND(ProtocolosAF[[#This Row],[STATUS]]="APROVADO",ProtocolosAF[[#This Row],[BILHETE/EMD]]=""),"Y","")</f>
        <v/>
      </c>
      <c r="U752" t="s">
        <v>1743</v>
      </c>
      <c r="V752" s="16" t="str">
        <f>_xlfn.CONCAT(C752,U752)</f>
        <v>WXTSKBWOJDYSLAWSKI/PHILLIP</v>
      </c>
      <c r="W752">
        <v>726</v>
      </c>
    </row>
    <row r="753" spans="1:23" ht="15" hidden="1">
      <c r="A753" s="1">
        <v>45814</v>
      </c>
      <c r="B753" t="s">
        <v>12</v>
      </c>
      <c r="C753" t="s">
        <v>1777</v>
      </c>
      <c r="D753" s="23" t="s">
        <v>1778</v>
      </c>
      <c r="E753" t="s">
        <v>73</v>
      </c>
      <c r="F753" s="19">
        <v>57564931</v>
      </c>
      <c r="G753" s="53">
        <v>574216445728</v>
      </c>
      <c r="H753" s="52">
        <v>211</v>
      </c>
      <c r="I753" s="5" t="s">
        <v>74</v>
      </c>
      <c r="J753" s="52" cm="1">
        <f t="array" ref="J75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211</v>
      </c>
      <c r="K753" s="56" t="s">
        <v>1779</v>
      </c>
      <c r="L753" s="54" t="s">
        <v>172</v>
      </c>
      <c r="M753" t="s">
        <v>43</v>
      </c>
      <c r="N753" s="15" t="s">
        <v>1552</v>
      </c>
      <c r="O753" s="5" t="s">
        <v>1772</v>
      </c>
      <c r="P753" s="17" t="s">
        <v>69</v>
      </c>
      <c r="Q753" s="10" t="s">
        <v>1711</v>
      </c>
      <c r="R753" s="11">
        <v>45817</v>
      </c>
      <c r="S753" s="10" t="s">
        <v>1780</v>
      </c>
      <c r="T753" s="3" t="str">
        <f>IF(AND(ProtocolosAF[[#This Row],[STATUS]]="APROVADO",ProtocolosAF[[#This Row],[BILHETE/EMD]]=""),"Y","")</f>
        <v/>
      </c>
      <c r="U753" t="s">
        <v>1781</v>
      </c>
      <c r="V753" s="16" t="str">
        <f>_xlfn.CONCAT(C753,U753)</f>
        <v>EVAIJXPENNACCHI RIBEIRO/ENZO PAULO HERMINIO</v>
      </c>
      <c r="W753">
        <v>729</v>
      </c>
    </row>
    <row r="754" spans="1:23" ht="15" hidden="1">
      <c r="A754" s="1">
        <v>45814</v>
      </c>
      <c r="B754" t="s">
        <v>12</v>
      </c>
      <c r="C754" t="s">
        <v>1777</v>
      </c>
      <c r="D754" s="23" t="s">
        <v>1778</v>
      </c>
      <c r="E754" t="s">
        <v>73</v>
      </c>
      <c r="F754" s="19">
        <v>57564931</v>
      </c>
      <c r="G754" s="53">
        <v>574216445729</v>
      </c>
      <c r="H754" s="52">
        <v>211</v>
      </c>
      <c r="I754" s="5" t="s">
        <v>74</v>
      </c>
      <c r="J754" s="52" cm="1">
        <f t="array" ref="J75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211</v>
      </c>
      <c r="K754" s="56" t="s">
        <v>1779</v>
      </c>
      <c r="L754" s="54" t="s">
        <v>172</v>
      </c>
      <c r="M754" t="s">
        <v>43</v>
      </c>
      <c r="N754" s="15" t="s">
        <v>1552</v>
      </c>
      <c r="O754" s="5" t="s">
        <v>1772</v>
      </c>
      <c r="P754" s="17" t="s">
        <v>69</v>
      </c>
      <c r="Q754" s="10" t="s">
        <v>1711</v>
      </c>
      <c r="R754" s="11">
        <v>45817</v>
      </c>
      <c r="S754" s="10" t="s">
        <v>1780</v>
      </c>
      <c r="T754" s="3" t="str">
        <f>IF(AND(ProtocolosAF[[#This Row],[STATUS]]="APROVADO",ProtocolosAF[[#This Row],[BILHETE/EMD]]=""),"Y","")</f>
        <v/>
      </c>
      <c r="U754" t="s">
        <v>1782</v>
      </c>
      <c r="V754" s="16" t="str">
        <f>_xlfn.CONCAT(C754,U754)</f>
        <v>EVAIJXPENNACCHI NETO/PAULO HERMINIO</v>
      </c>
      <c r="W754">
        <v>729</v>
      </c>
    </row>
    <row r="755" spans="1:23" ht="15" hidden="1">
      <c r="A755" s="1">
        <v>45814</v>
      </c>
      <c r="B755" t="s">
        <v>12</v>
      </c>
      <c r="C755" t="s">
        <v>1783</v>
      </c>
      <c r="D755" s="23" t="s">
        <v>1784</v>
      </c>
      <c r="E755" t="s">
        <v>73</v>
      </c>
      <c r="F755" s="19">
        <v>57564931</v>
      </c>
      <c r="G755" s="53">
        <v>574216445730</v>
      </c>
      <c r="H755" s="52">
        <v>400</v>
      </c>
      <c r="I755" s="5" t="s">
        <v>74</v>
      </c>
      <c r="J755" s="52" cm="1">
        <f t="array" ref="J75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400</v>
      </c>
      <c r="K755" s="56" t="s">
        <v>1779</v>
      </c>
      <c r="L755" s="54" t="s">
        <v>172</v>
      </c>
      <c r="M755" t="s">
        <v>43</v>
      </c>
      <c r="N755" s="15" t="s">
        <v>1552</v>
      </c>
      <c r="O755" s="5" t="s">
        <v>1772</v>
      </c>
      <c r="P755" s="17" t="s">
        <v>69</v>
      </c>
      <c r="Q755" s="10" t="s">
        <v>1711</v>
      </c>
      <c r="R755" s="11">
        <v>45817</v>
      </c>
      <c r="S755" s="10" t="s">
        <v>1785</v>
      </c>
      <c r="T755" s="3" t="str">
        <f>IF(AND(ProtocolosAF[[#This Row],[STATUS]]="APROVADO",ProtocolosAF[[#This Row],[BILHETE/EMD]]=""),"Y","")</f>
        <v/>
      </c>
      <c r="U755" t="s">
        <v>1786</v>
      </c>
      <c r="V755" s="16" t="str">
        <f>_xlfn.CONCAT(C755,U755)</f>
        <v>ESIPAEPENNACCHI/PAULO HERMINIO</v>
      </c>
      <c r="W755">
        <v>728</v>
      </c>
    </row>
    <row r="756" spans="1:23" ht="15" hidden="1">
      <c r="A756" s="1">
        <v>45814</v>
      </c>
      <c r="B756" t="s">
        <v>12</v>
      </c>
      <c r="C756" t="s">
        <v>1783</v>
      </c>
      <c r="D756" s="23" t="s">
        <v>1784</v>
      </c>
      <c r="E756" t="s">
        <v>73</v>
      </c>
      <c r="F756" s="19">
        <v>57594931</v>
      </c>
      <c r="G756" s="53">
        <v>574216445731</v>
      </c>
      <c r="H756" s="52">
        <v>400</v>
      </c>
      <c r="I756" s="5" t="s">
        <v>74</v>
      </c>
      <c r="J756" s="52" cm="1">
        <f t="array" ref="J75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400</v>
      </c>
      <c r="K756" s="56" t="s">
        <v>1779</v>
      </c>
      <c r="L756" s="54" t="s">
        <v>172</v>
      </c>
      <c r="M756" t="s">
        <v>43</v>
      </c>
      <c r="N756" s="15" t="s">
        <v>1552</v>
      </c>
      <c r="O756" s="5" t="s">
        <v>1772</v>
      </c>
      <c r="P756" s="17" t="s">
        <v>69</v>
      </c>
      <c r="Q756" s="10" t="s">
        <v>1711</v>
      </c>
      <c r="R756" s="11">
        <v>45817</v>
      </c>
      <c r="S756" s="10" t="s">
        <v>1785</v>
      </c>
      <c r="T756" s="3" t="str">
        <f>IF(AND(ProtocolosAF[[#This Row],[STATUS]]="APROVADO",ProtocolosAF[[#This Row],[BILHETE/EMD]]=""),"Y","")</f>
        <v/>
      </c>
      <c r="U756" t="s">
        <v>1787</v>
      </c>
      <c r="V756" s="16" t="str">
        <f>_xlfn.CONCAT(C756,U756)</f>
        <v>ESIPAEZANIN PENNACCHI/MARIA CLEIDE</v>
      </c>
      <c r="W756">
        <v>728</v>
      </c>
    </row>
    <row r="757" spans="1:23" ht="15" hidden="1">
      <c r="A757" s="1">
        <v>45817</v>
      </c>
      <c r="B757" t="s">
        <v>10</v>
      </c>
      <c r="C757" t="s">
        <v>1788</v>
      </c>
      <c r="D757" t="s">
        <v>1788</v>
      </c>
      <c r="E757" t="s">
        <v>512</v>
      </c>
      <c r="F757" s="19">
        <v>57594931</v>
      </c>
      <c r="G757" s="53">
        <v>576373737594</v>
      </c>
      <c r="H757" s="52">
        <v>250</v>
      </c>
      <c r="I757" s="5" t="s">
        <v>74</v>
      </c>
      <c r="J757" s="52" cm="1">
        <f t="array" ref="J75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250</v>
      </c>
      <c r="K757" s="56" t="s">
        <v>1789</v>
      </c>
      <c r="L757" s="54" t="s">
        <v>513</v>
      </c>
      <c r="M757" t="s">
        <v>43</v>
      </c>
      <c r="N757" s="15" t="s">
        <v>65</v>
      </c>
      <c r="O757" s="5" t="s">
        <v>1539</v>
      </c>
      <c r="P757" s="17" t="s">
        <v>146</v>
      </c>
      <c r="Q757" s="10" t="s">
        <v>1711</v>
      </c>
      <c r="R757" s="11">
        <v>45817</v>
      </c>
      <c r="S757" s="10" t="s">
        <v>1790</v>
      </c>
      <c r="T757" s="3" t="str">
        <f>IF(AND(ProtocolosAF[[#This Row],[STATUS]]="APROVADO",ProtocolosAF[[#This Row],[BILHETE/EMD]]=""),"Y","")</f>
        <v/>
      </c>
      <c r="U757" t="s">
        <v>1791</v>
      </c>
      <c r="V757" s="16" t="str">
        <f>_xlfn.CONCAT(C757,U757)</f>
        <v>BE8BTABUNDSCHUH/	 LEILA</v>
      </c>
      <c r="W757">
        <v>730</v>
      </c>
    </row>
    <row r="758" spans="1:23" ht="15" hidden="1">
      <c r="A758" s="1">
        <v>45820</v>
      </c>
      <c r="B758" t="s">
        <v>13</v>
      </c>
      <c r="C758" t="s">
        <v>1792</v>
      </c>
      <c r="D758" s="23" t="s">
        <v>1792</v>
      </c>
      <c r="E758" t="s">
        <v>41</v>
      </c>
      <c r="F758" s="19">
        <v>57564931</v>
      </c>
      <c r="G758" s="53">
        <v>576373765821</v>
      </c>
      <c r="H758" s="52">
        <v>4211</v>
      </c>
      <c r="I758" s="5">
        <v>0.1</v>
      </c>
      <c r="J758" s="52" cm="1">
        <f t="array" ref="J75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422</v>
      </c>
      <c r="K758" s="56" t="s">
        <v>1089</v>
      </c>
      <c r="L758" s="54" t="s">
        <v>66</v>
      </c>
      <c r="M758" t="s">
        <v>43</v>
      </c>
      <c r="N758" s="15" t="s">
        <v>1089</v>
      </c>
      <c r="O758" s="5" t="s">
        <v>68</v>
      </c>
      <c r="P758" s="17" t="s">
        <v>146</v>
      </c>
      <c r="Q758" s="10" t="s">
        <v>1678</v>
      </c>
      <c r="R758" s="11">
        <v>45821</v>
      </c>
      <c r="S758" s="10" t="s">
        <v>48</v>
      </c>
      <c r="T758" s="3" t="str">
        <f>IF(AND(ProtocolosAF[[#This Row],[STATUS]]="APROVADO",ProtocolosAF[[#This Row],[BILHETE/EMD]]=""),"Y","")</f>
        <v/>
      </c>
      <c r="U758" t="s">
        <v>1793</v>
      </c>
      <c r="V758" s="16" t="str">
        <f>_xlfn.CONCAT(C758,U758)</f>
        <v>CNYEHPDE MACEDO SOARES/MARIA EMILIA</v>
      </c>
      <c r="W758">
        <v>731</v>
      </c>
    </row>
    <row r="759" spans="1:23" ht="15" hidden="1">
      <c r="A759" s="1">
        <v>45824</v>
      </c>
      <c r="B759" t="s">
        <v>12</v>
      </c>
      <c r="C759" t="s">
        <v>1794</v>
      </c>
      <c r="D759" s="23" t="s">
        <v>1794</v>
      </c>
      <c r="E759" t="s">
        <v>512</v>
      </c>
      <c r="F759" s="19"/>
      <c r="G759" s="53"/>
      <c r="H759" s="52">
        <v>390</v>
      </c>
      <c r="I759" s="5" t="s">
        <v>74</v>
      </c>
      <c r="J759" s="52" t="str" cm="1">
        <f t="array" ref="J75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59" s="56" t="s">
        <v>1795</v>
      </c>
      <c r="L759" s="54" t="s">
        <v>529</v>
      </c>
      <c r="M759" t="s">
        <v>100</v>
      </c>
      <c r="N759" s="15" t="s">
        <v>1552</v>
      </c>
      <c r="O759" s="5" t="s">
        <v>539</v>
      </c>
      <c r="P759" s="17" t="s">
        <v>46</v>
      </c>
      <c r="Q759" s="10"/>
      <c r="R759" s="11"/>
      <c r="S759" s="10"/>
      <c r="T759" s="3" t="str">
        <f>IF(AND(ProtocolosAF[[#This Row],[STATUS]]="APROVADO",ProtocolosAF[[#This Row],[BILHETE/EMD]]=""),"Y","")</f>
        <v/>
      </c>
      <c r="U759" t="s">
        <v>1796</v>
      </c>
      <c r="V759" s="16" t="str">
        <f>_xlfn.CONCAT(C759,U759)</f>
        <v>2GQ3RMTANSINI/KATHLEEN</v>
      </c>
      <c r="W759">
        <v>732</v>
      </c>
    </row>
    <row r="760" spans="1:23" ht="15" hidden="1">
      <c r="A760" s="1">
        <v>45828</v>
      </c>
      <c r="B760" t="s">
        <v>11</v>
      </c>
      <c r="C760" t="s">
        <v>1797</v>
      </c>
      <c r="D760" s="23" t="s">
        <v>1798</v>
      </c>
      <c r="E760" t="s">
        <v>512</v>
      </c>
      <c r="F760" s="19">
        <v>57966204</v>
      </c>
      <c r="G760" s="53">
        <v>572325322935</v>
      </c>
      <c r="H760" s="52">
        <v>174</v>
      </c>
      <c r="I760" s="5" t="s">
        <v>74</v>
      </c>
      <c r="J760" s="52" cm="1">
        <f t="array" ref="J76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174</v>
      </c>
      <c r="K760" s="56" t="s">
        <v>1799</v>
      </c>
      <c r="L760" s="54" t="s">
        <v>172</v>
      </c>
      <c r="M760" t="s">
        <v>43</v>
      </c>
      <c r="N760" s="15" t="s">
        <v>1458</v>
      </c>
      <c r="O760" s="5" t="s">
        <v>557</v>
      </c>
      <c r="P760" s="17" t="s">
        <v>146</v>
      </c>
      <c r="Q760" s="10" t="s">
        <v>1473</v>
      </c>
      <c r="R760" s="11">
        <v>45828</v>
      </c>
      <c r="S760" s="10" t="s">
        <v>1800</v>
      </c>
      <c r="T760" s="3" t="str">
        <f>IF(AND(ProtocolosAF[[#This Row],[STATUS]]="APROVADO",ProtocolosAF[[#This Row],[BILHETE/EMD]]=""),"Y","")</f>
        <v/>
      </c>
      <c r="U760" t="s">
        <v>1801</v>
      </c>
      <c r="V760" s="16" t="str">
        <f>_xlfn.CONCAT(C760,U760)</f>
        <v>22YIKIFASCIOLO/ROSA MARIA</v>
      </c>
      <c r="W760">
        <v>733</v>
      </c>
    </row>
    <row r="761" spans="1:23" ht="15" hidden="1">
      <c r="A761" s="1">
        <v>45832</v>
      </c>
      <c r="B761" t="s">
        <v>13</v>
      </c>
      <c r="C761" t="s">
        <v>1802</v>
      </c>
      <c r="D761" s="23" t="s">
        <v>1802</v>
      </c>
      <c r="E761" t="s">
        <v>41</v>
      </c>
      <c r="F761" s="19"/>
      <c r="G761" s="53"/>
      <c r="H761" s="52">
        <v>3160</v>
      </c>
      <c r="I761" s="5">
        <v>0.12</v>
      </c>
      <c r="J761" s="52" t="str" cm="1">
        <f t="array" ref="J76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61" s="56" t="s">
        <v>1803</v>
      </c>
      <c r="L761" s="54" t="s">
        <v>66</v>
      </c>
      <c r="M761" t="s">
        <v>100</v>
      </c>
      <c r="N761" s="15" t="s">
        <v>1089</v>
      </c>
      <c r="O761" s="5" t="s">
        <v>167</v>
      </c>
      <c r="P761" s="17" t="s">
        <v>255</v>
      </c>
      <c r="Q761" s="10"/>
      <c r="R761" s="11"/>
      <c r="S761" s="10"/>
      <c r="T761" s="3" t="str">
        <f>IF(AND(ProtocolosAF[[#This Row],[STATUS]]="APROVADO",ProtocolosAF[[#This Row],[BILHETE/EMD]]=""),"Y","")</f>
        <v/>
      </c>
      <c r="U761" t="s">
        <v>1804</v>
      </c>
      <c r="V761" s="16" t="str">
        <f>_xlfn.CONCAT(C761,U761)</f>
        <v>CNM3T7MONQUEIRO COUTO/BRUNO</v>
      </c>
      <c r="W761">
        <v>734</v>
      </c>
    </row>
    <row r="762" spans="1:23" ht="15" hidden="1">
      <c r="A762" s="1">
        <v>45832</v>
      </c>
      <c r="B762" t="s">
        <v>13</v>
      </c>
      <c r="C762" t="s">
        <v>1802</v>
      </c>
      <c r="D762" s="23" t="s">
        <v>1802</v>
      </c>
      <c r="E762" t="s">
        <v>41</v>
      </c>
      <c r="F762" s="19"/>
      <c r="G762" s="53"/>
      <c r="H762" s="52">
        <v>3160</v>
      </c>
      <c r="I762" s="5">
        <v>0.12</v>
      </c>
      <c r="J762" s="52" t="str" cm="1">
        <f t="array" ref="J76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62" s="56" t="s">
        <v>1803</v>
      </c>
      <c r="L762" s="54" t="s">
        <v>66</v>
      </c>
      <c r="M762" t="s">
        <v>100</v>
      </c>
      <c r="N762" s="15" t="s">
        <v>1089</v>
      </c>
      <c r="O762" s="5" t="s">
        <v>167</v>
      </c>
      <c r="P762" s="17" t="s">
        <v>255</v>
      </c>
      <c r="Q762" s="10"/>
      <c r="R762" s="11"/>
      <c r="S762" s="10"/>
      <c r="T762" s="3" t="str">
        <f>IF(AND(ProtocolosAF[[#This Row],[STATUS]]="APROVADO",ProtocolosAF[[#This Row],[BILHETE/EMD]]=""),"Y","")</f>
        <v/>
      </c>
      <c r="U762" t="s">
        <v>1805</v>
      </c>
      <c r="V762" s="16" t="str">
        <f>_xlfn.CONCAT(C762,U762)</f>
        <v>CNM3T7MONQUEIRO COUTO/CAROLINA</v>
      </c>
      <c r="W762">
        <v>734</v>
      </c>
    </row>
    <row r="763" spans="1:23" ht="15" hidden="1">
      <c r="A763" s="1">
        <v>45832</v>
      </c>
      <c r="B763" t="s">
        <v>13</v>
      </c>
      <c r="C763" t="s">
        <v>1802</v>
      </c>
      <c r="D763" s="23" t="s">
        <v>1802</v>
      </c>
      <c r="E763" t="s">
        <v>41</v>
      </c>
      <c r="F763" s="19"/>
      <c r="G763" s="53"/>
      <c r="H763" s="52">
        <v>3160</v>
      </c>
      <c r="I763" s="5">
        <v>0.12</v>
      </c>
      <c r="J763" s="52" t="str" cm="1">
        <f t="array" ref="J76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63" s="56" t="s">
        <v>1803</v>
      </c>
      <c r="L763" s="54" t="s">
        <v>66</v>
      </c>
      <c r="M763" t="s">
        <v>100</v>
      </c>
      <c r="N763" s="15" t="s">
        <v>1089</v>
      </c>
      <c r="O763" s="5" t="s">
        <v>167</v>
      </c>
      <c r="P763" s="17" t="s">
        <v>255</v>
      </c>
      <c r="Q763" s="10"/>
      <c r="R763" s="11"/>
      <c r="S763" s="10"/>
      <c r="T763" s="3" t="str">
        <f>IF(AND(ProtocolosAF[[#This Row],[STATUS]]="APROVADO",ProtocolosAF[[#This Row],[BILHETE/EMD]]=""),"Y","")</f>
        <v/>
      </c>
      <c r="U763" t="s">
        <v>1806</v>
      </c>
      <c r="V763" s="16" t="str">
        <f>_xlfn.CONCAT(C763,U763)</f>
        <v>CNM3T7MONQUEIRO COUTO/PATRICIA</v>
      </c>
      <c r="W763">
        <v>734</v>
      </c>
    </row>
    <row r="764" spans="1:23" ht="15" hidden="1">
      <c r="A764" s="1">
        <v>45833</v>
      </c>
      <c r="B764" t="s">
        <v>12</v>
      </c>
      <c r="C764" t="s">
        <v>1807</v>
      </c>
      <c r="D764" s="23" t="s">
        <v>1807</v>
      </c>
      <c r="E764" t="s">
        <v>512</v>
      </c>
      <c r="F764" s="19"/>
      <c r="G764" s="53"/>
      <c r="H764" s="52">
        <v>391</v>
      </c>
      <c r="I764" s="5" t="s">
        <v>74</v>
      </c>
      <c r="J764" s="52" t="str" cm="1">
        <f t="array" ref="J76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64" s="56" t="s">
        <v>1552</v>
      </c>
      <c r="L764" s="54" t="s">
        <v>529</v>
      </c>
      <c r="M764" t="s">
        <v>100</v>
      </c>
      <c r="N764" s="15" t="s">
        <v>1552</v>
      </c>
      <c r="O764" s="5" t="s">
        <v>711</v>
      </c>
      <c r="P764" s="17" t="s">
        <v>69</v>
      </c>
      <c r="Q764" s="10"/>
      <c r="R764" s="11"/>
      <c r="S764" s="10"/>
      <c r="T764" s="3" t="str">
        <f>IF(AND(ProtocolosAF[[#This Row],[STATUS]]="APROVADO",ProtocolosAF[[#This Row],[BILHETE/EMD]]=""),"Y","")</f>
        <v/>
      </c>
      <c r="U764" t="s">
        <v>1808</v>
      </c>
      <c r="V764" s="16" t="str">
        <f>_xlfn.CONCAT(C764,U764)</f>
        <v>22RB85PEREIRA ROMANO/FERNANDA</v>
      </c>
      <c r="W764">
        <v>735</v>
      </c>
    </row>
    <row r="765" spans="1:23" ht="15" hidden="1">
      <c r="A765" s="1">
        <v>45838</v>
      </c>
      <c r="B765" t="s">
        <v>11</v>
      </c>
      <c r="C765" t="s">
        <v>1714</v>
      </c>
      <c r="D765" s="23" t="s">
        <v>1714</v>
      </c>
      <c r="E765" t="s">
        <v>512</v>
      </c>
      <c r="F765" s="19">
        <v>57564931</v>
      </c>
      <c r="G765" s="53">
        <v>576373880402</v>
      </c>
      <c r="H765" s="52">
        <v>255</v>
      </c>
      <c r="I765" s="5" t="s">
        <v>74</v>
      </c>
      <c r="J765" s="52" cm="1">
        <f t="array" ref="J76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255</v>
      </c>
      <c r="K765" s="56" t="s">
        <v>1007</v>
      </c>
      <c r="L765" s="54" t="s">
        <v>172</v>
      </c>
      <c r="M765" t="s">
        <v>43</v>
      </c>
      <c r="N765" s="15" t="s">
        <v>1458</v>
      </c>
      <c r="O765" s="5" t="s">
        <v>711</v>
      </c>
      <c r="P765" s="17" t="s">
        <v>69</v>
      </c>
      <c r="Q765" s="83" t="s">
        <v>1711</v>
      </c>
      <c r="R765" s="11">
        <v>45839</v>
      </c>
      <c r="S765" s="10" t="s">
        <v>1809</v>
      </c>
      <c r="T765" s="3" t="str">
        <f>IF(AND(ProtocolosAF[[#This Row],[STATUS]]="APROVADO",ProtocolosAF[[#This Row],[BILHETE/EMD]]=""),"Y","")</f>
        <v/>
      </c>
      <c r="U765" t="s">
        <v>1747</v>
      </c>
      <c r="V765" s="16" t="str">
        <f>_xlfn.CONCAT(C765,U765)</f>
        <v>3JJ5R3ZURAVEIN/RAFAEL</v>
      </c>
      <c r="W765">
        <v>736</v>
      </c>
    </row>
    <row r="766" spans="1:23" ht="15" hidden="1">
      <c r="A766" s="1">
        <v>45838</v>
      </c>
      <c r="B766" t="s">
        <v>11</v>
      </c>
      <c r="C766" t="s">
        <v>1709</v>
      </c>
      <c r="D766" s="23" t="s">
        <v>1709</v>
      </c>
      <c r="E766" t="s">
        <v>512</v>
      </c>
      <c r="F766" s="19">
        <v>57564931</v>
      </c>
      <c r="G766" s="53">
        <v>576373880394</v>
      </c>
      <c r="H766" s="52">
        <v>255</v>
      </c>
      <c r="I766" s="5" t="s">
        <v>74</v>
      </c>
      <c r="J766" s="52" cm="1">
        <f t="array" ref="J76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255</v>
      </c>
      <c r="K766" s="56" t="s">
        <v>1007</v>
      </c>
      <c r="L766" s="54" t="s">
        <v>172</v>
      </c>
      <c r="M766" t="s">
        <v>43</v>
      </c>
      <c r="N766" s="15" t="s">
        <v>1458</v>
      </c>
      <c r="O766" s="5" t="s">
        <v>711</v>
      </c>
      <c r="P766" s="17" t="s">
        <v>69</v>
      </c>
      <c r="Q766" s="83" t="s">
        <v>1711</v>
      </c>
      <c r="R766" s="11">
        <v>45839</v>
      </c>
      <c r="S766" s="10" t="s">
        <v>1810</v>
      </c>
      <c r="T766" s="3" t="str">
        <f>IF(AND(ProtocolosAF[[#This Row],[STATUS]]="APROVADO",ProtocolosAF[[#This Row],[BILHETE/EMD]]=""),"Y","")</f>
        <v/>
      </c>
      <c r="U766" t="s">
        <v>1713</v>
      </c>
      <c r="V766" s="16" t="str">
        <f>_xlfn.CONCAT(C766,U766)</f>
        <v>3JJO8REISENBERG GOLDMAN/ELISHEVA SOPHIE</v>
      </c>
      <c r="W766">
        <v>737</v>
      </c>
    </row>
    <row r="767" spans="1:23" ht="15" hidden="1">
      <c r="A767" s="1">
        <v>45838</v>
      </c>
      <c r="B767" t="s">
        <v>11</v>
      </c>
      <c r="C767" t="s">
        <v>1714</v>
      </c>
      <c r="D767" s="23" t="s">
        <v>1714</v>
      </c>
      <c r="E767" t="s">
        <v>512</v>
      </c>
      <c r="F767" s="19">
        <v>57564931</v>
      </c>
      <c r="G767" s="53">
        <v>576373878725</v>
      </c>
      <c r="H767" s="52">
        <v>255</v>
      </c>
      <c r="I767" s="5" t="s">
        <v>74</v>
      </c>
      <c r="J767" s="52" cm="1">
        <f t="array" ref="J76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255</v>
      </c>
      <c r="K767" s="56" t="s">
        <v>1007</v>
      </c>
      <c r="L767" s="54" t="s">
        <v>172</v>
      </c>
      <c r="M767" t="s">
        <v>43</v>
      </c>
      <c r="N767" s="15" t="s">
        <v>1458</v>
      </c>
      <c r="O767" s="5" t="s">
        <v>101</v>
      </c>
      <c r="P767" s="17" t="s">
        <v>69</v>
      </c>
      <c r="Q767" s="83" t="s">
        <v>1711</v>
      </c>
      <c r="R767" s="11">
        <v>45839</v>
      </c>
      <c r="S767" s="10" t="s">
        <v>1809</v>
      </c>
      <c r="T767" s="3" t="str">
        <f>IF(AND(ProtocolosAF[[#This Row],[STATUS]]="APROVADO",ProtocolosAF[[#This Row],[BILHETE/EMD]]=""),"Y","")</f>
        <v/>
      </c>
      <c r="U767" t="s">
        <v>1747</v>
      </c>
      <c r="V767" s="16" t="str">
        <f>_xlfn.CONCAT(C767,U767)</f>
        <v>3JJ5R3ZURAVEIN/RAFAEL</v>
      </c>
      <c r="W767">
        <v>738</v>
      </c>
    </row>
    <row r="768" spans="1:23" ht="15" hidden="1">
      <c r="A768" s="1">
        <v>45838</v>
      </c>
      <c r="B768" t="s">
        <v>10</v>
      </c>
      <c r="C768" t="s">
        <v>1811</v>
      </c>
      <c r="D768" s="23" t="s">
        <v>1812</v>
      </c>
      <c r="E768" t="s">
        <v>73</v>
      </c>
      <c r="F768" s="19"/>
      <c r="G768" s="53"/>
      <c r="H768" s="52">
        <v>300</v>
      </c>
      <c r="I768" s="5" t="s">
        <v>74</v>
      </c>
      <c r="J768" s="52" t="str" cm="1">
        <f t="array" ref="J76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68" s="56" t="s">
        <v>1293</v>
      </c>
      <c r="L768" s="54" t="s">
        <v>172</v>
      </c>
      <c r="M768" t="s">
        <v>100</v>
      </c>
      <c r="N768" s="15" t="s">
        <v>65</v>
      </c>
      <c r="O768" s="5" t="s">
        <v>45</v>
      </c>
      <c r="P768" s="17" t="s">
        <v>69</v>
      </c>
      <c r="Q768" s="10"/>
      <c r="R768" s="11"/>
      <c r="S768" s="10"/>
      <c r="T768" s="3" t="str">
        <f>IF(AND(ProtocolosAF[[#This Row],[STATUS]]="APROVADO",ProtocolosAF[[#This Row],[BILHETE/EMD]]=""),"Y","")</f>
        <v/>
      </c>
      <c r="U768" t="s">
        <v>1813</v>
      </c>
      <c r="V768" s="16" t="str">
        <f>_xlfn.CONCAT(C768,U768)</f>
        <v>AIJ223 1.COUTINHO CALHEIROS/GUILHERME(ADT)</v>
      </c>
      <c r="W768">
        <v>739</v>
      </c>
    </row>
    <row r="769" spans="1:23" ht="15" hidden="1">
      <c r="A769" s="1">
        <v>45838</v>
      </c>
      <c r="B769" t="s">
        <v>16</v>
      </c>
      <c r="C769" t="s">
        <v>1814</v>
      </c>
      <c r="D769" s="23" t="s">
        <v>1814</v>
      </c>
      <c r="E769" t="s">
        <v>512</v>
      </c>
      <c r="F769" s="19">
        <v>57564931</v>
      </c>
      <c r="G769" s="53">
        <v>576373889022</v>
      </c>
      <c r="H769" s="52">
        <v>170</v>
      </c>
      <c r="I769" s="5" t="s">
        <v>74</v>
      </c>
      <c r="J769" s="52" cm="1">
        <f t="array" ref="J76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170</v>
      </c>
      <c r="K769" s="56" t="s">
        <v>177</v>
      </c>
      <c r="L769" s="54" t="s">
        <v>172</v>
      </c>
      <c r="M769" t="s">
        <v>43</v>
      </c>
      <c r="N769" s="15" t="s">
        <v>177</v>
      </c>
      <c r="O769" s="5" t="s">
        <v>45</v>
      </c>
      <c r="P769" s="17" t="s">
        <v>46</v>
      </c>
      <c r="Q769" s="10" t="s">
        <v>1473</v>
      </c>
      <c r="R769" s="11">
        <v>45839</v>
      </c>
      <c r="S769" s="10" t="s">
        <v>1815</v>
      </c>
      <c r="T769" s="3" t="str">
        <f>IF(AND(ProtocolosAF[[#This Row],[STATUS]]="APROVADO",ProtocolosAF[[#This Row],[BILHETE/EMD]]=""),"Y","")</f>
        <v/>
      </c>
      <c r="U769" t="s">
        <v>1816</v>
      </c>
      <c r="V769" s="16" t="str">
        <f>_xlfn.CONCAT(C769,U769)</f>
        <v>A98ZDIFIUZA DE CARVALHO/MARCOS</v>
      </c>
      <c r="W769">
        <v>740</v>
      </c>
    </row>
    <row r="770" spans="1:23" ht="15" hidden="1">
      <c r="A770" s="1">
        <v>45838</v>
      </c>
      <c r="B770" t="s">
        <v>16</v>
      </c>
      <c r="C770" t="s">
        <v>1814</v>
      </c>
      <c r="D770" s="23" t="s">
        <v>1814</v>
      </c>
      <c r="E770" t="s">
        <v>512</v>
      </c>
      <c r="F770" s="19">
        <v>57564931</v>
      </c>
      <c r="G770" s="53">
        <v>576373889026</v>
      </c>
      <c r="H770" s="52">
        <v>170</v>
      </c>
      <c r="I770" s="5" t="s">
        <v>74</v>
      </c>
      <c r="J770" s="52" cm="1">
        <f t="array" ref="J77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170</v>
      </c>
      <c r="K770" s="56" t="s">
        <v>177</v>
      </c>
      <c r="L770" s="54" t="s">
        <v>172</v>
      </c>
      <c r="M770" t="s">
        <v>43</v>
      </c>
      <c r="N770" s="15" t="s">
        <v>177</v>
      </c>
      <c r="O770" s="5" t="s">
        <v>45</v>
      </c>
      <c r="P770" s="17" t="s">
        <v>46</v>
      </c>
      <c r="Q770" s="10" t="s">
        <v>1473</v>
      </c>
      <c r="R770" s="11">
        <v>45839</v>
      </c>
      <c r="S770" s="10" t="s">
        <v>1815</v>
      </c>
      <c r="T770" s="3" t="str">
        <f>IF(AND(ProtocolosAF[[#This Row],[STATUS]]="APROVADO",ProtocolosAF[[#This Row],[BILHETE/EMD]]=""),"Y","")</f>
        <v/>
      </c>
      <c r="U770" t="s">
        <v>1817</v>
      </c>
      <c r="V770" s="16" t="str">
        <f>_xlfn.CONCAT(C770,U770)</f>
        <v>A98ZDISOBRAL DE CARVALHO/SABINE GISELLE</v>
      </c>
      <c r="W770">
        <v>740</v>
      </c>
    </row>
    <row r="771" spans="1:23" ht="15" hidden="1">
      <c r="A771" s="1">
        <v>45849</v>
      </c>
      <c r="B771" t="s">
        <v>16</v>
      </c>
      <c r="C771" t="s">
        <v>1818</v>
      </c>
      <c r="D771" s="23" t="s">
        <v>1818</v>
      </c>
      <c r="E771" t="s">
        <v>512</v>
      </c>
      <c r="F771" s="19">
        <v>57564931</v>
      </c>
      <c r="G771" s="53">
        <v>572681178646</v>
      </c>
      <c r="H771" s="52">
        <v>171</v>
      </c>
      <c r="I771" s="5" t="s">
        <v>74</v>
      </c>
      <c r="J771" s="52" cm="1">
        <f t="array" ref="J77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171</v>
      </c>
      <c r="K771" s="56" t="s">
        <v>1670</v>
      </c>
      <c r="L771" s="54" t="s">
        <v>172</v>
      </c>
      <c r="M771" t="s">
        <v>43</v>
      </c>
      <c r="N771" s="15" t="s">
        <v>1155</v>
      </c>
      <c r="O771" s="5" t="s">
        <v>116</v>
      </c>
      <c r="P771" s="17" t="s">
        <v>46</v>
      </c>
      <c r="Q771" s="10" t="s">
        <v>1819</v>
      </c>
      <c r="R771" s="11">
        <v>45852</v>
      </c>
      <c r="S771" s="10" t="s">
        <v>1820</v>
      </c>
      <c r="T771" s="3" t="str">
        <f>IF(AND(ProtocolosAF[[#This Row],[STATUS]]="APROVADO",ProtocolosAF[[#This Row],[BILHETE/EMD]]=""),"Y","")</f>
        <v/>
      </c>
      <c r="U771" t="s">
        <v>1821</v>
      </c>
      <c r="V771" s="16" t="str">
        <f>_xlfn.CONCAT(C771,U771)</f>
        <v>CCSFJGDE CASTRO CAVALCANTE/MONICA</v>
      </c>
      <c r="W771">
        <v>741</v>
      </c>
    </row>
    <row r="772" spans="1:23" ht="15" hidden="1">
      <c r="A772" s="1">
        <v>45849</v>
      </c>
      <c r="B772" t="s">
        <v>16</v>
      </c>
      <c r="C772" t="s">
        <v>1818</v>
      </c>
      <c r="D772" s="23" t="s">
        <v>1818</v>
      </c>
      <c r="E772" t="s">
        <v>512</v>
      </c>
      <c r="F772" s="19">
        <v>57564931</v>
      </c>
      <c r="G772" s="53">
        <v>572681178648</v>
      </c>
      <c r="H772" s="52">
        <v>171</v>
      </c>
      <c r="I772" s="5" t="s">
        <v>74</v>
      </c>
      <c r="J772" s="52" cm="1">
        <f t="array" ref="J77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171</v>
      </c>
      <c r="K772" s="56" t="s">
        <v>1670</v>
      </c>
      <c r="L772" s="54" t="s">
        <v>172</v>
      </c>
      <c r="M772" t="s">
        <v>43</v>
      </c>
      <c r="N772" s="15" t="s">
        <v>1155</v>
      </c>
      <c r="O772" s="5" t="s">
        <v>116</v>
      </c>
      <c r="P772" s="17" t="s">
        <v>46</v>
      </c>
      <c r="Q772" s="10" t="s">
        <v>1819</v>
      </c>
      <c r="R772" s="11">
        <v>45852</v>
      </c>
      <c r="S772" s="10" t="s">
        <v>1820</v>
      </c>
      <c r="T772" s="3" t="str">
        <f>IF(AND(ProtocolosAF[[#This Row],[STATUS]]="APROVADO",ProtocolosAF[[#This Row],[BILHETE/EMD]]=""),"Y","")</f>
        <v/>
      </c>
      <c r="U772" t="s">
        <v>1822</v>
      </c>
      <c r="V772" s="16" t="str">
        <f>_xlfn.CONCAT(C772,U772)</f>
        <v>CCSFJGVIEIRA CAVALCANTE/CARLOS ERNESTO</v>
      </c>
      <c r="W772">
        <v>741</v>
      </c>
    </row>
    <row r="773" spans="1:23" ht="15" hidden="1">
      <c r="A773" s="1">
        <v>45855</v>
      </c>
      <c r="B773" t="s">
        <v>10</v>
      </c>
      <c r="C773" t="s">
        <v>1823</v>
      </c>
      <c r="D773" s="23" t="s">
        <v>1823</v>
      </c>
      <c r="E773" t="s">
        <v>512</v>
      </c>
      <c r="F773" s="19"/>
      <c r="G773" s="53"/>
      <c r="H773" s="52">
        <v>450</v>
      </c>
      <c r="I773" s="5" t="s">
        <v>74</v>
      </c>
      <c r="J773" s="52" t="str" cm="1">
        <f t="array" ref="J77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73" s="56" t="s">
        <v>1771</v>
      </c>
      <c r="L773" s="54" t="s">
        <v>172</v>
      </c>
      <c r="M773" t="s">
        <v>100</v>
      </c>
      <c r="N773" s="15" t="s">
        <v>1129</v>
      </c>
      <c r="O773" s="5" t="s">
        <v>1824</v>
      </c>
      <c r="P773" s="17" t="s">
        <v>146</v>
      </c>
      <c r="Q773" s="10"/>
      <c r="R773" s="11"/>
      <c r="S773" s="10"/>
      <c r="T773" s="3" t="str">
        <f>IF(AND(ProtocolosAF[[#This Row],[STATUS]]="APROVADO",ProtocolosAF[[#This Row],[BILHETE/EMD]]=""),"Y","")</f>
        <v/>
      </c>
      <c r="U773" t="s">
        <v>1825</v>
      </c>
      <c r="V773" s="16" t="str">
        <f>_xlfn.CONCAT(C773,U773)</f>
        <v>CBTLX9PETROVIC/ALEKSANDAR MR</v>
      </c>
      <c r="W773">
        <v>743</v>
      </c>
    </row>
    <row r="774" spans="1:23" ht="15" hidden="1">
      <c r="A774" s="1">
        <v>45855</v>
      </c>
      <c r="B774" t="s">
        <v>11</v>
      </c>
      <c r="C774" t="s">
        <v>1826</v>
      </c>
      <c r="D774" s="23" t="s">
        <v>1827</v>
      </c>
      <c r="E774" t="s">
        <v>73</v>
      </c>
      <c r="F774" s="19">
        <v>57994602</v>
      </c>
      <c r="G774" s="53">
        <v>574216445824</v>
      </c>
      <c r="H774" s="52">
        <v>150</v>
      </c>
      <c r="I774" s="5" t="s">
        <v>74</v>
      </c>
      <c r="J774" s="52" cm="1">
        <f t="array" ref="J77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150</v>
      </c>
      <c r="K774" s="56" t="s">
        <v>1828</v>
      </c>
      <c r="L774" s="54" t="s">
        <v>172</v>
      </c>
      <c r="M774" t="s">
        <v>43</v>
      </c>
      <c r="N774" s="15" t="s">
        <v>1458</v>
      </c>
      <c r="O774" s="5" t="s">
        <v>178</v>
      </c>
      <c r="P774" s="17" t="s">
        <v>69</v>
      </c>
      <c r="Q774" s="10" t="s">
        <v>1761</v>
      </c>
      <c r="R774" s="11">
        <v>45860</v>
      </c>
      <c r="S774" s="10" t="s">
        <v>1829</v>
      </c>
      <c r="T774" s="3" t="str">
        <f>IF(AND(ProtocolosAF[[#This Row],[STATUS]]="APROVADO",ProtocolosAF[[#This Row],[BILHETE/EMD]]=""),"Y","")</f>
        <v/>
      </c>
      <c r="U774" t="s">
        <v>1830</v>
      </c>
      <c r="V774" s="16" t="str">
        <f>_xlfn.CONCAT(C774,U774)</f>
        <v>BQLVRM BRUNER/CARLOS EDUARDO</v>
      </c>
      <c r="W774">
        <v>744</v>
      </c>
    </row>
    <row r="775" spans="1:23" ht="15" hidden="1">
      <c r="A775" s="1">
        <v>45855</v>
      </c>
      <c r="B775" t="s">
        <v>11</v>
      </c>
      <c r="C775" t="s">
        <v>1826</v>
      </c>
      <c r="D775" s="23" t="s">
        <v>1827</v>
      </c>
      <c r="E775" t="s">
        <v>73</v>
      </c>
      <c r="F775" s="19">
        <v>57994602</v>
      </c>
      <c r="G775" s="53">
        <v>574216445825</v>
      </c>
      <c r="H775" s="52">
        <v>150</v>
      </c>
      <c r="I775" s="5" t="s">
        <v>74</v>
      </c>
      <c r="J775" s="52" cm="1">
        <f t="array" ref="J77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150</v>
      </c>
      <c r="K775" s="56" t="s">
        <v>1828</v>
      </c>
      <c r="L775" s="54" t="s">
        <v>172</v>
      </c>
      <c r="M775" t="s">
        <v>43</v>
      </c>
      <c r="N775" s="15" t="s">
        <v>1458</v>
      </c>
      <c r="O775" s="5" t="s">
        <v>178</v>
      </c>
      <c r="P775" s="17" t="s">
        <v>69</v>
      </c>
      <c r="Q775" s="10" t="s">
        <v>1761</v>
      </c>
      <c r="R775" s="11">
        <v>45860</v>
      </c>
      <c r="S775" s="10" t="s">
        <v>1829</v>
      </c>
      <c r="T775" s="3" t="str">
        <f>IF(AND(ProtocolosAF[[#This Row],[STATUS]]="APROVADO",ProtocolosAF[[#This Row],[BILHETE/EMD]]=""),"Y","")</f>
        <v/>
      </c>
      <c r="U775" t="s">
        <v>1831</v>
      </c>
      <c r="V775" s="16" t="str">
        <f>_xlfn.CONCAT(C775,U775)</f>
        <v>BQLVRM PIOVESANGUZELLA/JOAO PAULO</v>
      </c>
      <c r="W775">
        <v>744</v>
      </c>
    </row>
    <row r="776" spans="1:23" ht="15" hidden="1">
      <c r="A776" s="1">
        <v>45856</v>
      </c>
      <c r="B776" t="s">
        <v>13</v>
      </c>
      <c r="C776" t="s">
        <v>1832</v>
      </c>
      <c r="D776" s="23" t="s">
        <v>1832</v>
      </c>
      <c r="E776" t="s">
        <v>41</v>
      </c>
      <c r="F776" s="19">
        <v>57564931</v>
      </c>
      <c r="G776" s="53">
        <v>572681214487</v>
      </c>
      <c r="H776" s="52">
        <v>2944</v>
      </c>
      <c r="I776" s="5">
        <v>0.1</v>
      </c>
      <c r="J776" s="52" cm="1">
        <f t="array" ref="J77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295</v>
      </c>
      <c r="K776" s="56" t="s">
        <v>1530</v>
      </c>
      <c r="L776" s="54" t="s">
        <v>66</v>
      </c>
      <c r="M776" t="s">
        <v>43</v>
      </c>
      <c r="N776" s="15" t="s">
        <v>1089</v>
      </c>
      <c r="O776" s="5" t="s">
        <v>380</v>
      </c>
      <c r="P776" s="17" t="s">
        <v>46</v>
      </c>
      <c r="Q776" s="10" t="s">
        <v>1678</v>
      </c>
      <c r="R776" s="11">
        <v>45856</v>
      </c>
      <c r="S776" s="10" t="s">
        <v>48</v>
      </c>
      <c r="T776" s="3" t="str">
        <f>IF(AND(ProtocolosAF[[#This Row],[STATUS]]="APROVADO",ProtocolosAF[[#This Row],[BILHETE/EMD]]=""),"Y","")</f>
        <v/>
      </c>
      <c r="U776" t="s">
        <v>1833</v>
      </c>
      <c r="V776" s="16" t="str">
        <f>_xlfn.CONCAT(C776,U776)</f>
        <v xml:space="preserve">C9EAB6DA COSTA JARDIM FRARE/RENATA </v>
      </c>
      <c r="W776">
        <v>745</v>
      </c>
    </row>
    <row r="777" spans="1:23" ht="15" hidden="1">
      <c r="A777" s="1">
        <v>45856</v>
      </c>
      <c r="B777" t="s">
        <v>13</v>
      </c>
      <c r="C777" t="s">
        <v>1832</v>
      </c>
      <c r="D777" s="23" t="s">
        <v>1832</v>
      </c>
      <c r="E777" t="s">
        <v>41</v>
      </c>
      <c r="F777" s="19">
        <v>57564931</v>
      </c>
      <c r="G777" s="53">
        <v>572681214488</v>
      </c>
      <c r="H777" s="52">
        <v>2944</v>
      </c>
      <c r="I777" s="5">
        <v>0.1</v>
      </c>
      <c r="J777" s="52" cm="1">
        <f t="array" ref="J77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295</v>
      </c>
      <c r="K777" s="56" t="s">
        <v>1530</v>
      </c>
      <c r="L777" s="54" t="s">
        <v>66</v>
      </c>
      <c r="M777" t="s">
        <v>43</v>
      </c>
      <c r="N777" s="15" t="s">
        <v>1089</v>
      </c>
      <c r="O777" s="5" t="s">
        <v>380</v>
      </c>
      <c r="P777" s="17" t="s">
        <v>46</v>
      </c>
      <c r="Q777" s="10" t="s">
        <v>1678</v>
      </c>
      <c r="R777" s="11">
        <v>45856</v>
      </c>
      <c r="S777" s="10" t="s">
        <v>48</v>
      </c>
      <c r="T777" s="3" t="str">
        <f>IF(AND(ProtocolosAF[[#This Row],[STATUS]]="APROVADO",ProtocolosAF[[#This Row],[BILHETE/EMD]]=""),"Y","")</f>
        <v/>
      </c>
      <c r="U777" t="s">
        <v>1834</v>
      </c>
      <c r="V777" s="16" t="str">
        <f>_xlfn.CONCAT(C777,U777)</f>
        <v>C9EAB6RARE/LUIZ ADRIANO</v>
      </c>
      <c r="W777">
        <v>745</v>
      </c>
    </row>
    <row r="778" spans="1:23" ht="15" hidden="1">
      <c r="A778" s="1">
        <v>45861</v>
      </c>
      <c r="B778" t="s">
        <v>13</v>
      </c>
      <c r="C778" t="s">
        <v>1835</v>
      </c>
      <c r="D778" s="23" t="s">
        <v>1835</v>
      </c>
      <c r="E778" t="s">
        <v>41</v>
      </c>
      <c r="F778" s="19"/>
      <c r="G778" s="53"/>
      <c r="H778" s="52">
        <v>2079</v>
      </c>
      <c r="I778" s="5">
        <v>0.08</v>
      </c>
      <c r="J778" s="52" t="str" cm="1">
        <f t="array" ref="J77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78" s="56" t="s">
        <v>1521</v>
      </c>
      <c r="L778" s="54" t="s">
        <v>76</v>
      </c>
      <c r="M778" t="s">
        <v>100</v>
      </c>
      <c r="N778" s="15" t="s">
        <v>1089</v>
      </c>
      <c r="O778" s="5" t="s">
        <v>417</v>
      </c>
      <c r="P778" s="17" t="s">
        <v>46</v>
      </c>
      <c r="Q778" s="10"/>
      <c r="R778" s="11"/>
      <c r="S778" s="87"/>
      <c r="T778" s="3" t="str">
        <f>IF(AND(ProtocolosAF[[#This Row],[STATUS]]="APROVADO",ProtocolosAF[[#This Row],[BILHETE/EMD]]=""),"Y","")</f>
        <v/>
      </c>
      <c r="U778" t="s">
        <v>1836</v>
      </c>
      <c r="V778" s="16" t="str">
        <f>_xlfn.CONCAT(C778,U778)</f>
        <v>B3QWM2SASSAKI/FABIO</v>
      </c>
      <c r="W778">
        <v>746</v>
      </c>
    </row>
    <row r="779" spans="1:23" ht="15" hidden="1">
      <c r="A779" s="1">
        <v>45862</v>
      </c>
      <c r="B779" t="s">
        <v>10</v>
      </c>
      <c r="C779" t="s">
        <v>1837</v>
      </c>
      <c r="D779" s="23" t="s">
        <v>1838</v>
      </c>
      <c r="E779" t="s">
        <v>41</v>
      </c>
      <c r="F779" s="19">
        <v>57564931</v>
      </c>
      <c r="G779" s="53">
        <v>572971562452</v>
      </c>
      <c r="H779" s="52">
        <v>4711</v>
      </c>
      <c r="I779" s="5">
        <v>0.1</v>
      </c>
      <c r="J779" s="52" cm="1">
        <f t="array" ref="J77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472</v>
      </c>
      <c r="K779" s="56" t="s">
        <v>189</v>
      </c>
      <c r="L779" s="54" t="s">
        <v>76</v>
      </c>
      <c r="M779" t="s">
        <v>43</v>
      </c>
      <c r="N779" s="15" t="s">
        <v>65</v>
      </c>
      <c r="O779" s="5" t="s">
        <v>101</v>
      </c>
      <c r="P779" s="17" t="s">
        <v>69</v>
      </c>
      <c r="Q779" s="10" t="s">
        <v>1298</v>
      </c>
      <c r="R779" s="11">
        <v>45862</v>
      </c>
      <c r="S779" s="87" t="s">
        <v>1839</v>
      </c>
      <c r="T779" s="3" t="str">
        <f>IF(AND(ProtocolosAF[[#This Row],[STATUS]]="APROVADO",ProtocolosAF[[#This Row],[BILHETE/EMD]]=""),"Y","")</f>
        <v/>
      </c>
      <c r="U779" t="s">
        <v>1840</v>
      </c>
      <c r="V779" s="16" t="str">
        <f>_xlfn.CONCAT(C779,U779)</f>
        <v>CHOEERSHPAISMAN/RAN MR</v>
      </c>
      <c r="W779">
        <v>747</v>
      </c>
    </row>
    <row r="780" spans="1:23" ht="15" hidden="1">
      <c r="A780" s="1">
        <v>45862</v>
      </c>
      <c r="B780" t="s">
        <v>10</v>
      </c>
      <c r="C780" t="s">
        <v>1837</v>
      </c>
      <c r="D780" s="23" t="s">
        <v>1838</v>
      </c>
      <c r="E780" t="s">
        <v>41</v>
      </c>
      <c r="F780" s="19">
        <v>57564931</v>
      </c>
      <c r="G780" s="53">
        <v>572971562453</v>
      </c>
      <c r="H780" s="52">
        <v>4711</v>
      </c>
      <c r="I780" s="5">
        <v>0.1</v>
      </c>
      <c r="J780" s="52" cm="1">
        <f t="array" ref="J78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472</v>
      </c>
      <c r="K780" s="56" t="s">
        <v>189</v>
      </c>
      <c r="L780" s="54" t="s">
        <v>76</v>
      </c>
      <c r="M780" t="s">
        <v>43</v>
      </c>
      <c r="N780" s="15" t="s">
        <v>65</v>
      </c>
      <c r="O780" s="5" t="s">
        <v>101</v>
      </c>
      <c r="P780" s="17" t="s">
        <v>69</v>
      </c>
      <c r="Q780" s="10" t="s">
        <v>1298</v>
      </c>
      <c r="R780" s="11">
        <v>45862</v>
      </c>
      <c r="S780" s="87" t="s">
        <v>1839</v>
      </c>
      <c r="T780" s="3" t="str">
        <f>IF(AND(ProtocolosAF[[#This Row],[STATUS]]="APROVADO",ProtocolosAF[[#This Row],[BILHETE/EMD]]=""),"Y","")</f>
        <v/>
      </c>
      <c r="U780" t="s">
        <v>1841</v>
      </c>
      <c r="V780" s="16" t="str">
        <f>_xlfn.CONCAT(C780,U780)</f>
        <v>CHOEERSHPAISMAN/ESTELA MRS</v>
      </c>
      <c r="W780">
        <v>747</v>
      </c>
    </row>
    <row r="781" spans="1:23" ht="15" hidden="1" customHeight="1">
      <c r="A781" s="1">
        <v>45863</v>
      </c>
      <c r="B781" t="s">
        <v>15</v>
      </c>
      <c r="C781" t="s">
        <v>1842</v>
      </c>
      <c r="D781" s="23" t="s">
        <v>1842</v>
      </c>
      <c r="E781" t="s">
        <v>41</v>
      </c>
      <c r="F781" s="19">
        <v>57564931</v>
      </c>
      <c r="G781" s="81" t="s">
        <v>1843</v>
      </c>
      <c r="H781" s="52">
        <v>3625</v>
      </c>
      <c r="I781" s="5">
        <v>0.1</v>
      </c>
      <c r="J781" s="52" cm="1">
        <f t="array" ref="J78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363</v>
      </c>
      <c r="K781" s="56" t="s">
        <v>1155</v>
      </c>
      <c r="L781" s="54" t="s">
        <v>76</v>
      </c>
      <c r="M781" t="s">
        <v>43</v>
      </c>
      <c r="N781" s="15" t="s">
        <v>1155</v>
      </c>
      <c r="O781" s="5" t="s">
        <v>624</v>
      </c>
      <c r="P781" s="17" t="s">
        <v>46</v>
      </c>
      <c r="Q781" s="10" t="s">
        <v>1756</v>
      </c>
      <c r="R781" s="11">
        <v>45862</v>
      </c>
      <c r="S781" s="87" t="s">
        <v>48</v>
      </c>
      <c r="T781" s="3" t="str">
        <f>IF(AND(ProtocolosAF[[#This Row],[STATUS]]="APROVADO",ProtocolosAF[[#This Row],[BILHETE/EMD]]=""),"Y","")</f>
        <v/>
      </c>
      <c r="U781" t="s">
        <v>1844</v>
      </c>
      <c r="V781" s="16" t="str">
        <f>_xlfn.CONCAT(C781,U781)</f>
        <v>B5ZOBKPIRES VAZ/MARIA LUIZA</v>
      </c>
      <c r="W781">
        <v>748</v>
      </c>
    </row>
    <row r="782" spans="1:23" ht="15" hidden="1">
      <c r="A782" s="1">
        <v>45866</v>
      </c>
      <c r="B782" t="s">
        <v>11</v>
      </c>
      <c r="C782" t="s">
        <v>1845</v>
      </c>
      <c r="D782" s="23" t="s">
        <v>1845</v>
      </c>
      <c r="E782" t="s">
        <v>73</v>
      </c>
      <c r="F782" s="19">
        <v>57564931</v>
      </c>
      <c r="G782" s="53">
        <v>574216445841</v>
      </c>
      <c r="H782" s="52">
        <v>73</v>
      </c>
      <c r="I782" s="5" t="s">
        <v>74</v>
      </c>
      <c r="J782" s="52" cm="1">
        <f t="array" ref="J78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73</v>
      </c>
      <c r="K782" s="56" t="s">
        <v>1710</v>
      </c>
      <c r="L782" s="54" t="s">
        <v>488</v>
      </c>
      <c r="M782" t="s">
        <v>43</v>
      </c>
      <c r="N782" s="15" t="s">
        <v>1318</v>
      </c>
      <c r="O782" s="5" t="s">
        <v>178</v>
      </c>
      <c r="P782" s="17" t="s">
        <v>46</v>
      </c>
      <c r="Q782" s="10" t="s">
        <v>1711</v>
      </c>
      <c r="R782" s="11">
        <v>45868</v>
      </c>
      <c r="S782" s="87" t="s">
        <v>1846</v>
      </c>
      <c r="T782" s="3" t="str">
        <f>IF(AND(ProtocolosAF[[#This Row],[STATUS]]="APROVADO",ProtocolosAF[[#This Row],[BILHETE/EMD]]=""),"Y","")</f>
        <v/>
      </c>
      <c r="U782" t="s">
        <v>1847</v>
      </c>
      <c r="V782" s="16" t="str">
        <f>_xlfn.CONCAT(C782,U782)</f>
        <v>AZ9WP9DOS SANTOS EUSEBIO/RAFAEL MR</v>
      </c>
      <c r="W782">
        <v>749</v>
      </c>
    </row>
    <row r="783" spans="1:23" ht="15" hidden="1">
      <c r="A783" s="1">
        <v>45866</v>
      </c>
      <c r="B783" t="s">
        <v>11</v>
      </c>
      <c r="C783" t="s">
        <v>1845</v>
      </c>
      <c r="D783" s="23" t="s">
        <v>1845</v>
      </c>
      <c r="E783" t="s">
        <v>73</v>
      </c>
      <c r="F783" s="19">
        <v>57564931</v>
      </c>
      <c r="G783" s="53">
        <v>574216445842</v>
      </c>
      <c r="H783" s="52">
        <v>73</v>
      </c>
      <c r="I783" s="5" t="s">
        <v>74</v>
      </c>
      <c r="J783" s="52" cm="1">
        <f t="array" ref="J78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73</v>
      </c>
      <c r="K783" s="56" t="s">
        <v>1710</v>
      </c>
      <c r="L783" s="54" t="s">
        <v>488</v>
      </c>
      <c r="M783" t="s">
        <v>43</v>
      </c>
      <c r="N783" s="15" t="s">
        <v>1318</v>
      </c>
      <c r="O783" s="5" t="s">
        <v>178</v>
      </c>
      <c r="P783" s="17" t="s">
        <v>46</v>
      </c>
      <c r="Q783" s="10" t="s">
        <v>1711</v>
      </c>
      <c r="R783" s="11">
        <v>45868</v>
      </c>
      <c r="S783" s="87" t="s">
        <v>1846</v>
      </c>
      <c r="T783" s="3" t="str">
        <f>IF(AND(ProtocolosAF[[#This Row],[STATUS]]="APROVADO",ProtocolosAF[[#This Row],[BILHETE/EMD]]=""),"Y","")</f>
        <v/>
      </c>
      <c r="U783" t="s">
        <v>1848</v>
      </c>
      <c r="V783" s="16" t="str">
        <f>_xlfn.CONCAT(C783,U783)</f>
        <v>AZ9WP9FERREIRA/FABIO FERNANDO MR(</v>
      </c>
      <c r="W783">
        <v>749</v>
      </c>
    </row>
    <row r="784" spans="1:23" ht="15" hidden="1">
      <c r="A784" s="1">
        <v>45866</v>
      </c>
      <c r="B784" t="s">
        <v>11</v>
      </c>
      <c r="C784" t="s">
        <v>1845</v>
      </c>
      <c r="D784" s="23" t="s">
        <v>1845</v>
      </c>
      <c r="E784" t="s">
        <v>73</v>
      </c>
      <c r="F784" s="19">
        <v>57564931</v>
      </c>
      <c r="G784" s="53">
        <v>574216445843</v>
      </c>
      <c r="H784" s="52">
        <v>73</v>
      </c>
      <c r="I784" s="5" t="s">
        <v>74</v>
      </c>
      <c r="J784" s="52" cm="1">
        <f t="array" ref="J78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73</v>
      </c>
      <c r="K784" s="56" t="s">
        <v>1710</v>
      </c>
      <c r="L784" s="54" t="s">
        <v>488</v>
      </c>
      <c r="M784" t="s">
        <v>43</v>
      </c>
      <c r="N784" s="15" t="s">
        <v>1318</v>
      </c>
      <c r="O784" s="5" t="s">
        <v>178</v>
      </c>
      <c r="P784" s="17" t="s">
        <v>46</v>
      </c>
      <c r="Q784" s="10" t="s">
        <v>1711</v>
      </c>
      <c r="R784" s="11">
        <v>45868</v>
      </c>
      <c r="S784" s="87" t="s">
        <v>1846</v>
      </c>
      <c r="T784" s="3" t="str">
        <f>IF(AND(ProtocolosAF[[#This Row],[STATUS]]="APROVADO",ProtocolosAF[[#This Row],[BILHETE/EMD]]=""),"Y","")</f>
        <v/>
      </c>
      <c r="U784" t="s">
        <v>1849</v>
      </c>
      <c r="V784" s="16" t="str">
        <f>_xlfn.CONCAT(C784,U784)</f>
        <v>AZ9WP9MIGUEL/LEANDRO ELIAS MR</v>
      </c>
      <c r="W784">
        <v>749</v>
      </c>
    </row>
    <row r="785" spans="1:23" ht="15" hidden="1">
      <c r="A785" s="1">
        <v>45866</v>
      </c>
      <c r="B785" t="s">
        <v>11</v>
      </c>
      <c r="C785" t="s">
        <v>1845</v>
      </c>
      <c r="D785" s="23" t="s">
        <v>1845</v>
      </c>
      <c r="E785" t="s">
        <v>73</v>
      </c>
      <c r="F785" s="19">
        <v>57564931</v>
      </c>
      <c r="G785" s="53">
        <v>574216445844</v>
      </c>
      <c r="H785" s="52">
        <v>73</v>
      </c>
      <c r="I785" s="5" t="s">
        <v>74</v>
      </c>
      <c r="J785" s="52" cm="1">
        <f t="array" ref="J78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73</v>
      </c>
      <c r="K785" s="56" t="s">
        <v>1710</v>
      </c>
      <c r="L785" s="54" t="s">
        <v>488</v>
      </c>
      <c r="M785" t="s">
        <v>43</v>
      </c>
      <c r="N785" s="15" t="s">
        <v>1318</v>
      </c>
      <c r="O785" s="5" t="s">
        <v>178</v>
      </c>
      <c r="P785" s="17" t="s">
        <v>46</v>
      </c>
      <c r="Q785" s="10" t="s">
        <v>1711</v>
      </c>
      <c r="R785" s="11">
        <v>45868</v>
      </c>
      <c r="S785" s="87" t="s">
        <v>1846</v>
      </c>
      <c r="T785" s="3" t="str">
        <f>IF(AND(ProtocolosAF[[#This Row],[STATUS]]="APROVADO",ProtocolosAF[[#This Row],[BILHETE/EMD]]=""),"Y","")</f>
        <v/>
      </c>
      <c r="U785" t="s">
        <v>1850</v>
      </c>
      <c r="V785" s="16" t="str">
        <f>_xlfn.CONCAT(C785,U785)</f>
        <v>AZ9WP9SILVA REIS/ALINE CRISTINA MRS</v>
      </c>
      <c r="W785">
        <v>749</v>
      </c>
    </row>
    <row r="786" spans="1:23" ht="15" hidden="1">
      <c r="A786" s="1">
        <v>45867</v>
      </c>
      <c r="B786" t="s">
        <v>11</v>
      </c>
      <c r="C786" t="s">
        <v>1851</v>
      </c>
      <c r="D786" s="23" t="s">
        <v>1851</v>
      </c>
      <c r="E786" t="s">
        <v>41</v>
      </c>
      <c r="F786" s="19"/>
      <c r="G786" s="53"/>
      <c r="H786" s="52">
        <v>2727</v>
      </c>
      <c r="I786" s="5">
        <v>0.1</v>
      </c>
      <c r="J786" s="52" t="str" cm="1">
        <f t="array" ref="J78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86" s="56" t="s">
        <v>921</v>
      </c>
      <c r="L786" s="54" t="s">
        <v>66</v>
      </c>
      <c r="M786" t="s">
        <v>100</v>
      </c>
      <c r="N786" s="15" t="s">
        <v>1458</v>
      </c>
      <c r="O786" s="5" t="s">
        <v>1852</v>
      </c>
      <c r="P786" s="17" t="s">
        <v>146</v>
      </c>
      <c r="Q786" s="10"/>
      <c r="R786" s="11"/>
      <c r="S786" s="87"/>
      <c r="T786" s="3" t="str">
        <f>IF(AND(ProtocolosAF[[#This Row],[STATUS]]="APROVADO",ProtocolosAF[[#This Row],[BILHETE/EMD]]=""),"Y","")</f>
        <v/>
      </c>
      <c r="U786" t="s">
        <v>1853</v>
      </c>
      <c r="V786" s="16" t="str">
        <f>_xlfn.CONCAT(C786,U786)</f>
        <v xml:space="preserve">CKDAP4MURAD/BRUNA </v>
      </c>
      <c r="W786">
        <v>750</v>
      </c>
    </row>
    <row r="787" spans="1:23" ht="15" hidden="1">
      <c r="A787" s="1">
        <v>45867</v>
      </c>
      <c r="B787" t="s">
        <v>11</v>
      </c>
      <c r="C787" t="s">
        <v>1854</v>
      </c>
      <c r="D787" s="23" t="s">
        <v>1855</v>
      </c>
      <c r="E787" t="s">
        <v>41</v>
      </c>
      <c r="F787" s="19"/>
      <c r="G787" s="53"/>
      <c r="H787" s="52">
        <v>4303</v>
      </c>
      <c r="I787" s="5">
        <v>0.1</v>
      </c>
      <c r="J787" s="52" t="str" cm="1">
        <f t="array" ref="J78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87" s="56" t="s">
        <v>921</v>
      </c>
      <c r="L787" s="54" t="s">
        <v>66</v>
      </c>
      <c r="M787" t="s">
        <v>100</v>
      </c>
      <c r="N787" s="15" t="s">
        <v>1458</v>
      </c>
      <c r="O787" s="5" t="s">
        <v>1852</v>
      </c>
      <c r="P787" s="17" t="s">
        <v>146</v>
      </c>
      <c r="Q787" s="10"/>
      <c r="R787" s="11"/>
      <c r="S787" s="87"/>
      <c r="T787" s="3" t="str">
        <f>IF(AND(ProtocolosAF[[#This Row],[STATUS]]="APROVADO",ProtocolosAF[[#This Row],[BILHETE/EMD]]=""),"Y","")</f>
        <v/>
      </c>
      <c r="U787" t="s">
        <v>1856</v>
      </c>
      <c r="V787" s="16" t="str">
        <f>_xlfn.CONCAT(C787,U787)</f>
        <v>UETDDHELIAS KESSLER DE AZEVEDO/MANUELA</v>
      </c>
      <c r="W787">
        <v>751</v>
      </c>
    </row>
    <row r="788" spans="1:23" ht="15" hidden="1">
      <c r="A788" s="1">
        <v>45867</v>
      </c>
      <c r="B788" t="s">
        <v>11</v>
      </c>
      <c r="C788" t="s">
        <v>1857</v>
      </c>
      <c r="D788" s="23" t="s">
        <v>1857</v>
      </c>
      <c r="E788" t="s">
        <v>41</v>
      </c>
      <c r="F788" s="19"/>
      <c r="G788" s="53"/>
      <c r="H788" s="52">
        <v>2727</v>
      </c>
      <c r="I788" s="5">
        <v>0.12</v>
      </c>
      <c r="J788" s="52" t="str" cm="1">
        <f t="array" ref="J78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88" s="56" t="s">
        <v>1230</v>
      </c>
      <c r="L788" s="54" t="s">
        <v>66</v>
      </c>
      <c r="M788" t="s">
        <v>100</v>
      </c>
      <c r="N788" s="15" t="s">
        <v>1458</v>
      </c>
      <c r="O788" s="5" t="s">
        <v>346</v>
      </c>
      <c r="P788" s="17" t="s">
        <v>146</v>
      </c>
      <c r="Q788" s="10"/>
      <c r="R788" s="11"/>
      <c r="S788" s="87"/>
      <c r="T788" s="3" t="str">
        <f>IF(AND(ProtocolosAF[[#This Row],[STATUS]]="APROVADO",ProtocolosAF[[#This Row],[BILHETE/EMD]]=""),"Y","")</f>
        <v/>
      </c>
      <c r="U788" t="s">
        <v>1856</v>
      </c>
      <c r="V788" s="16" t="str">
        <f>_xlfn.CONCAT(C788,U788)</f>
        <v>CM9NLXELIAS KESSLER DE AZEVEDO/MANUELA</v>
      </c>
      <c r="W788">
        <v>752</v>
      </c>
    </row>
    <row r="789" spans="1:23" ht="15" hidden="1">
      <c r="A789" s="1">
        <v>45867</v>
      </c>
      <c r="B789" t="s">
        <v>11</v>
      </c>
      <c r="C789" t="s">
        <v>1857</v>
      </c>
      <c r="D789" s="23" t="s">
        <v>1857</v>
      </c>
      <c r="E789" t="s">
        <v>41</v>
      </c>
      <c r="F789" s="19"/>
      <c r="G789" s="53"/>
      <c r="H789" s="52">
        <v>2727</v>
      </c>
      <c r="I789" s="5">
        <v>0.12</v>
      </c>
      <c r="J789" s="52" t="str" cm="1">
        <f t="array" ref="J78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89" s="56" t="s">
        <v>1230</v>
      </c>
      <c r="L789" s="54" t="s">
        <v>66</v>
      </c>
      <c r="M789" t="s">
        <v>100</v>
      </c>
      <c r="N789" s="15" t="s">
        <v>1458</v>
      </c>
      <c r="O789" s="5" t="s">
        <v>346</v>
      </c>
      <c r="P789" s="17" t="s">
        <v>146</v>
      </c>
      <c r="Q789" s="10"/>
      <c r="R789" s="11"/>
      <c r="S789" s="87"/>
      <c r="T789" s="3" t="str">
        <f>IF(AND(ProtocolosAF[[#This Row],[STATUS]]="APROVADO",ProtocolosAF[[#This Row],[BILHETE/EMD]]=""),"Y","")</f>
        <v/>
      </c>
      <c r="U789" t="s">
        <v>1858</v>
      </c>
      <c r="V789" s="16" t="str">
        <f>_xlfn.CONCAT(C789,U789)</f>
        <v>CM9NLXMURAD/BRUNA</v>
      </c>
      <c r="W789">
        <v>752</v>
      </c>
    </row>
    <row r="790" spans="1:23" ht="15" hidden="1">
      <c r="A790" s="1">
        <v>45870</v>
      </c>
      <c r="B790" t="s">
        <v>10</v>
      </c>
      <c r="C790" t="s">
        <v>1859</v>
      </c>
      <c r="D790" s="23" t="s">
        <v>1860</v>
      </c>
      <c r="E790" t="s">
        <v>41</v>
      </c>
      <c r="F790" s="19"/>
      <c r="G790" s="53"/>
      <c r="H790" s="52">
        <v>2038</v>
      </c>
      <c r="I790" s="5">
        <v>0.08</v>
      </c>
      <c r="J790" s="52" t="str" cm="1">
        <f t="array" ref="J79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90" s="56" t="s">
        <v>189</v>
      </c>
      <c r="L790" s="54" t="s">
        <v>66</v>
      </c>
      <c r="M790" t="s">
        <v>100</v>
      </c>
      <c r="N790" s="15" t="s">
        <v>65</v>
      </c>
      <c r="O790" s="5" t="s">
        <v>1861</v>
      </c>
      <c r="P790" s="17" t="s">
        <v>69</v>
      </c>
      <c r="Q790" s="10"/>
      <c r="R790" s="11"/>
      <c r="S790" s="87"/>
      <c r="T790" s="3" t="str">
        <f>IF(AND(ProtocolosAF[[#This Row],[STATUS]]="APROVADO",ProtocolosAF[[#This Row],[BILHETE/EMD]]=""),"Y","")</f>
        <v/>
      </c>
      <c r="U790" t="s">
        <v>1862</v>
      </c>
      <c r="V790" s="16" t="str">
        <f>_xlfn.CONCAT(C790,U790)</f>
        <v>CVHTJYSALES BORGES/CESAR MR</v>
      </c>
      <c r="W790">
        <v>754</v>
      </c>
    </row>
    <row r="791" spans="1:23" ht="15" hidden="1">
      <c r="A791" s="1">
        <v>45870</v>
      </c>
      <c r="B791" t="s">
        <v>10</v>
      </c>
      <c r="C791" t="s">
        <v>1859</v>
      </c>
      <c r="D791" s="23" t="s">
        <v>1860</v>
      </c>
      <c r="E791" t="s">
        <v>41</v>
      </c>
      <c r="F791" s="19"/>
      <c r="G791" s="53"/>
      <c r="H791" s="52">
        <v>2038</v>
      </c>
      <c r="I791" s="5">
        <v>0.08</v>
      </c>
      <c r="J791" s="52" t="str" cm="1">
        <f t="array" ref="J79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91" s="56" t="s">
        <v>189</v>
      </c>
      <c r="L791" s="54" t="s">
        <v>66</v>
      </c>
      <c r="M791" t="s">
        <v>100</v>
      </c>
      <c r="N791" s="15" t="s">
        <v>65</v>
      </c>
      <c r="O791" s="5" t="s">
        <v>1861</v>
      </c>
      <c r="P791" s="17" t="s">
        <v>69</v>
      </c>
      <c r="Q791" s="10"/>
      <c r="R791" s="11"/>
      <c r="S791" s="87"/>
      <c r="T791" s="3" t="str">
        <f>IF(AND(ProtocolosAF[[#This Row],[STATUS]]="APROVADO",ProtocolosAF[[#This Row],[BILHETE/EMD]]=""),"Y","")</f>
        <v/>
      </c>
      <c r="U791" t="s">
        <v>1863</v>
      </c>
      <c r="V791" s="16" t="str">
        <f>_xlfn.CONCAT(C791,U791)</f>
        <v>CVHTJYDIAS DA SILVA/RUBIA MRS</v>
      </c>
      <c r="W791">
        <v>754</v>
      </c>
    </row>
    <row r="792" spans="1:23" ht="15" hidden="1">
      <c r="A792" s="1">
        <v>45870</v>
      </c>
      <c r="B792" t="s">
        <v>16</v>
      </c>
      <c r="C792" t="s">
        <v>1864</v>
      </c>
      <c r="D792" t="s">
        <v>1865</v>
      </c>
      <c r="E792" t="s">
        <v>512</v>
      </c>
      <c r="F792" s="19">
        <v>57564931</v>
      </c>
      <c r="G792" s="53">
        <v>572681313756</v>
      </c>
      <c r="H792" s="52">
        <v>173.87</v>
      </c>
      <c r="I792" s="5" t="s">
        <v>74</v>
      </c>
      <c r="J792" s="52" cm="1">
        <f t="array" ref="J79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173.87</v>
      </c>
      <c r="K792" s="56" t="s">
        <v>1670</v>
      </c>
      <c r="L792" s="54" t="s">
        <v>529</v>
      </c>
      <c r="M792" t="s">
        <v>43</v>
      </c>
      <c r="N792" s="15" t="s">
        <v>177</v>
      </c>
      <c r="O792" s="5" t="s">
        <v>1596</v>
      </c>
      <c r="P792" s="17" t="s">
        <v>146</v>
      </c>
      <c r="Q792" s="10" t="s">
        <v>396</v>
      </c>
      <c r="R792" s="11">
        <v>45874</v>
      </c>
      <c r="S792" s="11" t="s">
        <v>1866</v>
      </c>
      <c r="T792" s="3" t="str">
        <f>IF(AND(ProtocolosAF[[#This Row],[STATUS]]="APROVADO",ProtocolosAF[[#This Row],[BILHETE/EMD]]=""),"Y","")</f>
        <v/>
      </c>
      <c r="U792" t="s">
        <v>1867</v>
      </c>
      <c r="V792" s="16" t="str">
        <f>_xlfn.CONCAT(C792,U792)</f>
        <v>AE97QZARAUJO/MIGUEL ALEXANDRE RIBEIRO DE MR</v>
      </c>
      <c r="W792">
        <v>755</v>
      </c>
    </row>
    <row r="793" spans="1:23" ht="15" hidden="1">
      <c r="A793" s="1">
        <v>45868</v>
      </c>
      <c r="B793" t="s">
        <v>16</v>
      </c>
      <c r="C793" t="s">
        <v>1868</v>
      </c>
      <c r="D793" s="23" t="s">
        <v>1869</v>
      </c>
      <c r="E793" t="s">
        <v>512</v>
      </c>
      <c r="F793" s="19">
        <v>57966204</v>
      </c>
      <c r="G793" s="53">
        <v>572342017653</v>
      </c>
      <c r="H793" s="52">
        <v>172</v>
      </c>
      <c r="I793" s="5" t="s">
        <v>74</v>
      </c>
      <c r="J793" s="89" cm="1">
        <f t="array" ref="J79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172</v>
      </c>
      <c r="K793" s="56" t="s">
        <v>1670</v>
      </c>
      <c r="L793" s="90" t="s">
        <v>1870</v>
      </c>
      <c r="M793" t="s">
        <v>43</v>
      </c>
      <c r="N793" s="15" t="s">
        <v>177</v>
      </c>
      <c r="O793" s="3" t="s">
        <v>178</v>
      </c>
      <c r="P793" s="17" t="s">
        <v>146</v>
      </c>
      <c r="Q793" s="10" t="s">
        <v>1711</v>
      </c>
      <c r="R793" s="11">
        <v>45868</v>
      </c>
      <c r="S793" s="11" t="s">
        <v>1871</v>
      </c>
      <c r="T793" s="3" t="str">
        <f>IF(AND(ProtocolosAF[[#This Row],[STATUS]]="APROVADO",ProtocolosAF[[#This Row],[BILHETE/EMD]]=""),"Y","")</f>
        <v/>
      </c>
      <c r="U793" t="s">
        <v>1872</v>
      </c>
      <c r="V793" s="23" t="s">
        <v>1873</v>
      </c>
    </row>
    <row r="794" spans="1:23" hidden="1">
      <c r="A794" s="1">
        <v>45883</v>
      </c>
      <c r="B794" t="s">
        <v>10</v>
      </c>
      <c r="C794" t="s">
        <v>1874</v>
      </c>
      <c r="D794" s="23" t="s">
        <v>1875</v>
      </c>
      <c r="E794" t="s">
        <v>73</v>
      </c>
      <c r="F794" s="19">
        <v>57564931</v>
      </c>
      <c r="G794" s="53">
        <v>574216445868</v>
      </c>
      <c r="H794" s="52">
        <v>140</v>
      </c>
      <c r="I794" s="5" t="s">
        <v>74</v>
      </c>
      <c r="J794" s="89" cm="1">
        <f t="array" ref="J79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140</v>
      </c>
      <c r="K794" s="56" t="s">
        <v>345</v>
      </c>
      <c r="L794" s="90" t="s">
        <v>76</v>
      </c>
      <c r="M794" t="s">
        <v>43</v>
      </c>
      <c r="N794" s="15" t="s">
        <v>65</v>
      </c>
      <c r="O794" s="3" t="s">
        <v>78</v>
      </c>
      <c r="P794" s="17" t="s">
        <v>69</v>
      </c>
      <c r="Q794" s="10" t="s">
        <v>1701</v>
      </c>
      <c r="R794" s="11">
        <v>45888</v>
      </c>
      <c r="S794" s="11" t="s">
        <v>1876</v>
      </c>
      <c r="T794" s="3" t="str">
        <f>IF(AND(ProtocolosAF[[#This Row],[STATUS]]="APROVADO",ProtocolosAF[[#This Row],[BILHETE/EMD]]=""),"Y","")</f>
        <v/>
      </c>
      <c r="U794" t="s">
        <v>1877</v>
      </c>
      <c r="V794" s="16" t="str">
        <f>_xlfn.CONCAT(C794,U794)</f>
        <v>BUJONIGOMES DA SILVA/SARAH</v>
      </c>
      <c r="W794">
        <v>760</v>
      </c>
    </row>
    <row r="795" spans="1:23" hidden="1">
      <c r="A795" s="1">
        <v>45883</v>
      </c>
      <c r="B795" t="s">
        <v>10</v>
      </c>
      <c r="C795" t="s">
        <v>1878</v>
      </c>
      <c r="D795" s="23" t="s">
        <v>1879</v>
      </c>
      <c r="E795" t="s">
        <v>73</v>
      </c>
      <c r="F795" s="19">
        <v>57564931</v>
      </c>
      <c r="G795" s="53">
        <v>574216445867</v>
      </c>
      <c r="H795" s="52">
        <v>140</v>
      </c>
      <c r="I795" s="5" t="s">
        <v>74</v>
      </c>
      <c r="J795" s="89" cm="1">
        <f t="array" ref="J79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140</v>
      </c>
      <c r="K795" s="56" t="s">
        <v>345</v>
      </c>
      <c r="L795" s="90" t="s">
        <v>76</v>
      </c>
      <c r="M795" t="s">
        <v>43</v>
      </c>
      <c r="N795" s="15" t="s">
        <v>65</v>
      </c>
      <c r="O795" s="3" t="s">
        <v>78</v>
      </c>
      <c r="P795" s="17" t="s">
        <v>69</v>
      </c>
      <c r="Q795" s="10" t="s">
        <v>1880</v>
      </c>
      <c r="R795" s="11">
        <v>45887</v>
      </c>
      <c r="S795" s="11" t="s">
        <v>1881</v>
      </c>
      <c r="T795" s="3" t="str">
        <f>IF(AND(ProtocolosAF[[#This Row],[STATUS]]="APROVADO",ProtocolosAF[[#This Row],[BILHETE/EMD]]=""),"Y","")</f>
        <v/>
      </c>
      <c r="U795" t="s">
        <v>1877</v>
      </c>
      <c r="V795" s="16" t="str">
        <f>_xlfn.CONCAT(C795,U795)</f>
        <v>BVK5CSGOMES DA SILVA/SARAH</v>
      </c>
      <c r="W795">
        <v>759</v>
      </c>
    </row>
    <row r="796" spans="1:23" ht="15" hidden="1">
      <c r="A796" s="1">
        <v>45888</v>
      </c>
      <c r="B796" t="s">
        <v>15</v>
      </c>
      <c r="C796" t="s">
        <v>1882</v>
      </c>
      <c r="D796" s="23" t="s">
        <v>1882</v>
      </c>
      <c r="E796" t="s">
        <v>73</v>
      </c>
      <c r="F796" s="19">
        <v>57564931</v>
      </c>
      <c r="G796" s="53">
        <v>574216445876</v>
      </c>
      <c r="H796" s="52">
        <v>200</v>
      </c>
      <c r="I796" s="5" t="s">
        <v>74</v>
      </c>
      <c r="J796" s="89" cm="1">
        <f t="array" ref="J79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200</v>
      </c>
      <c r="K796" s="56" t="s">
        <v>1883</v>
      </c>
      <c r="L796" s="90" t="s">
        <v>172</v>
      </c>
      <c r="M796" t="s">
        <v>43</v>
      </c>
      <c r="N796" s="15" t="s">
        <v>1155</v>
      </c>
      <c r="O796" s="3" t="s">
        <v>178</v>
      </c>
      <c r="P796" s="17" t="s">
        <v>46</v>
      </c>
      <c r="Q796" s="10" t="s">
        <v>79</v>
      </c>
      <c r="R796" s="11">
        <v>45891</v>
      </c>
      <c r="S796" s="11" t="s">
        <v>1884</v>
      </c>
      <c r="T796" s="3" t="str">
        <f>IF(AND(ProtocolosAF[[#This Row],[STATUS]]="APROVADO",ProtocolosAF[[#This Row],[BILHETE/EMD]]=""),"Y","")</f>
        <v/>
      </c>
      <c r="U796" t="s">
        <v>1885</v>
      </c>
      <c r="V796" s="16" t="str">
        <f>_xlfn.CONCAT(C796,U796)</f>
        <v>BNBHLNKELIS JUNIOR/ROBERTO</v>
      </c>
      <c r="W796">
        <v>761</v>
      </c>
    </row>
    <row r="797" spans="1:23" hidden="1">
      <c r="A797" s="1">
        <v>45888</v>
      </c>
      <c r="B797" t="s">
        <v>15</v>
      </c>
      <c r="C797" t="s">
        <v>1882</v>
      </c>
      <c r="D797" s="23" t="s">
        <v>1882</v>
      </c>
      <c r="E797" t="s">
        <v>73</v>
      </c>
      <c r="F797" s="19">
        <v>57564931</v>
      </c>
      <c r="G797" s="53">
        <v>574216445877</v>
      </c>
      <c r="H797" s="52">
        <v>200</v>
      </c>
      <c r="I797" s="5" t="s">
        <v>74</v>
      </c>
      <c r="J797" s="89" cm="1">
        <f t="array" ref="J79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200</v>
      </c>
      <c r="K797" s="56" t="s">
        <v>1883</v>
      </c>
      <c r="L797" s="90" t="s">
        <v>172</v>
      </c>
      <c r="M797" t="s">
        <v>43</v>
      </c>
      <c r="N797" s="15" t="s">
        <v>1155</v>
      </c>
      <c r="O797" s="3" t="s">
        <v>178</v>
      </c>
      <c r="P797" s="17" t="s">
        <v>46</v>
      </c>
      <c r="Q797" s="10" t="s">
        <v>79</v>
      </c>
      <c r="R797" s="11">
        <v>45891</v>
      </c>
      <c r="S797" s="11" t="s">
        <v>1884</v>
      </c>
      <c r="T797" s="3" t="str">
        <f>IF(AND(ProtocolosAF[[#This Row],[STATUS]]="APROVADO",ProtocolosAF[[#This Row],[BILHETE/EMD]]=""),"Y","")</f>
        <v/>
      </c>
      <c r="U797" t="s">
        <v>1886</v>
      </c>
      <c r="V797" s="16" t="str">
        <f>_xlfn.CONCAT(C797,U797)</f>
        <v>BNBHLNQUEIROZ DE AGUIAR/MARIA CHRISTINA</v>
      </c>
      <c r="W797">
        <v>761</v>
      </c>
    </row>
    <row r="798" spans="1:23" ht="15" hidden="1">
      <c r="A798" s="1">
        <v>45898</v>
      </c>
      <c r="B798" t="s">
        <v>16</v>
      </c>
      <c r="C798" t="s">
        <v>1887</v>
      </c>
      <c r="D798" s="23" t="s">
        <v>1887</v>
      </c>
      <c r="E798" t="s">
        <v>73</v>
      </c>
      <c r="F798" s="19">
        <v>57994602</v>
      </c>
      <c r="G798" s="53">
        <v>574216445910</v>
      </c>
      <c r="H798" s="52">
        <v>200.02</v>
      </c>
      <c r="I798" s="5" t="s">
        <v>74</v>
      </c>
      <c r="J798" s="89" cm="1">
        <f t="array" ref="J79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200.02</v>
      </c>
      <c r="K798" s="56" t="s">
        <v>1670</v>
      </c>
      <c r="L798" s="90" t="s">
        <v>172</v>
      </c>
      <c r="M798" t="s">
        <v>43</v>
      </c>
      <c r="N798" s="15" t="s">
        <v>177</v>
      </c>
      <c r="O798" s="3" t="s">
        <v>145</v>
      </c>
      <c r="P798" s="17" t="s">
        <v>46</v>
      </c>
      <c r="Q798" s="10" t="s">
        <v>396</v>
      </c>
      <c r="R798" s="11">
        <v>45925</v>
      </c>
      <c r="S798" s="11" t="s">
        <v>1888</v>
      </c>
      <c r="T798" s="3" t="str">
        <f>IF(AND(ProtocolosAF[[#This Row],[STATUS]]="APROVADO",ProtocolosAF[[#This Row],[BILHETE/EMD]]=""),"Y","")</f>
        <v/>
      </c>
      <c r="U798" t="s">
        <v>1889</v>
      </c>
      <c r="V798" s="16" t="str">
        <f>_xlfn.CONCAT(C798,U798)</f>
        <v>ALR7EYLIMA DA COSTA/JOSE ANTONIO MR</v>
      </c>
      <c r="W798">
        <v>762</v>
      </c>
    </row>
    <row r="799" spans="1:23" hidden="1">
      <c r="A799" s="1">
        <v>45901</v>
      </c>
      <c r="B799" t="s">
        <v>11</v>
      </c>
      <c r="C799" t="s">
        <v>1890</v>
      </c>
      <c r="D799" s="23" t="s">
        <v>1891</v>
      </c>
      <c r="E799" t="s">
        <v>73</v>
      </c>
      <c r="F799" s="19"/>
      <c r="G799" s="53"/>
      <c r="H799" s="52">
        <v>35</v>
      </c>
      <c r="I799" s="5" t="s">
        <v>74</v>
      </c>
      <c r="J799" s="89" t="str" cm="1">
        <f t="array" ref="J79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799" s="56" t="s">
        <v>834</v>
      </c>
      <c r="L799" s="90" t="s">
        <v>172</v>
      </c>
      <c r="M799" t="s">
        <v>217</v>
      </c>
      <c r="N799" s="15" t="s">
        <v>1458</v>
      </c>
      <c r="O799" s="3" t="s">
        <v>307</v>
      </c>
      <c r="P799" s="17" t="s">
        <v>146</v>
      </c>
      <c r="Q799" s="10"/>
      <c r="R799" s="11"/>
      <c r="S799" s="11"/>
      <c r="T799" s="3" t="str">
        <f>IF(AND(ProtocolosAF[[#This Row],[STATUS]]="APROVADO",ProtocolosAF[[#This Row],[BILHETE/EMD]]=""),"Y","")</f>
        <v/>
      </c>
      <c r="U799" t="s">
        <v>1892</v>
      </c>
      <c r="V799" s="16" t="str">
        <f>_xlfn.CONCAT(C799,U799)</f>
        <v>BGF8BCSANTOS/REUEL</v>
      </c>
      <c r="W799">
        <v>763</v>
      </c>
    </row>
    <row r="800" spans="1:23" hidden="1">
      <c r="A800" s="1">
        <v>45901</v>
      </c>
      <c r="B800" t="s">
        <v>11</v>
      </c>
      <c r="C800" t="s">
        <v>1890</v>
      </c>
      <c r="D800" s="23" t="s">
        <v>1891</v>
      </c>
      <c r="E800" t="s">
        <v>73</v>
      </c>
      <c r="F800" s="19">
        <v>57994602</v>
      </c>
      <c r="G800" s="53">
        <v>574216445912</v>
      </c>
      <c r="H800" s="52">
        <v>46</v>
      </c>
      <c r="I800" s="5" t="s">
        <v>74</v>
      </c>
      <c r="J800" s="89" cm="1">
        <f t="array" ref="J80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46</v>
      </c>
      <c r="K800" s="56" t="s">
        <v>834</v>
      </c>
      <c r="L800" s="90" t="s">
        <v>172</v>
      </c>
      <c r="M800" t="s">
        <v>43</v>
      </c>
      <c r="N800" s="15" t="s">
        <v>1458</v>
      </c>
      <c r="O800" s="3" t="s">
        <v>1893</v>
      </c>
      <c r="P800" s="17" t="s">
        <v>146</v>
      </c>
      <c r="Q800" s="10" t="s">
        <v>1894</v>
      </c>
      <c r="R800" s="11">
        <v>45904</v>
      </c>
      <c r="S800" s="11" t="s">
        <v>1895</v>
      </c>
      <c r="T800" s="3" t="str">
        <f>IF(AND(ProtocolosAF[[#This Row],[STATUS]]="APROVADO",ProtocolosAF[[#This Row],[BILHETE/EMD]]=""),"Y","")</f>
        <v/>
      </c>
      <c r="U800" t="s">
        <v>1892</v>
      </c>
      <c r="V800" s="16" t="str">
        <f>_xlfn.CONCAT(C800,U800)</f>
        <v>BGF8BCSANTOS/REUEL</v>
      </c>
      <c r="W800">
        <v>764</v>
      </c>
    </row>
    <row r="801" spans="1:23" hidden="1">
      <c r="A801" s="1">
        <v>45901</v>
      </c>
      <c r="B801" t="s">
        <v>11</v>
      </c>
      <c r="C801" t="s">
        <v>1896</v>
      </c>
      <c r="D801" s="23" t="s">
        <v>1897</v>
      </c>
      <c r="E801" t="s">
        <v>73</v>
      </c>
      <c r="F801" s="19">
        <v>57994602</v>
      </c>
      <c r="G801" s="53">
        <v>574216445913</v>
      </c>
      <c r="H801" s="52">
        <v>46</v>
      </c>
      <c r="I801" s="5" t="s">
        <v>74</v>
      </c>
      <c r="J801" s="89" cm="1">
        <f t="array" ref="J80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46</v>
      </c>
      <c r="K801" s="56" t="s">
        <v>834</v>
      </c>
      <c r="L801" s="90" t="s">
        <v>172</v>
      </c>
      <c r="M801" t="s">
        <v>43</v>
      </c>
      <c r="N801" s="15" t="s">
        <v>1458</v>
      </c>
      <c r="O801" s="3" t="s">
        <v>1898</v>
      </c>
      <c r="P801" s="17" t="s">
        <v>146</v>
      </c>
      <c r="Q801" s="10" t="s">
        <v>1894</v>
      </c>
      <c r="R801" s="11">
        <v>45904</v>
      </c>
      <c r="S801" s="11" t="s">
        <v>1895</v>
      </c>
      <c r="T801" s="3" t="str">
        <f>IF(AND(ProtocolosAF[[#This Row],[STATUS]]="APROVADO",ProtocolosAF[[#This Row],[BILHETE/EMD]]=""),"Y","")</f>
        <v/>
      </c>
      <c r="U801" t="s">
        <v>1899</v>
      </c>
      <c r="V801" s="16" t="str">
        <f>_xlfn.CONCAT(C801,U801)</f>
        <v>BGDNWJMAGALHAES/PRISCILA</v>
      </c>
      <c r="W801">
        <v>765</v>
      </c>
    </row>
    <row r="802" spans="1:23" ht="15" hidden="1">
      <c r="A802" s="1">
        <v>45902</v>
      </c>
      <c r="B802" t="s">
        <v>10</v>
      </c>
      <c r="C802" t="s">
        <v>1900</v>
      </c>
      <c r="D802" s="23" t="s">
        <v>1901</v>
      </c>
      <c r="E802" t="s">
        <v>1902</v>
      </c>
      <c r="F802" s="19">
        <v>57564931</v>
      </c>
      <c r="G802" s="92">
        <v>572872543608</v>
      </c>
      <c r="H802" s="89">
        <v>1284</v>
      </c>
      <c r="I802" s="3" t="s">
        <v>74</v>
      </c>
      <c r="J802" s="89" cm="1">
        <f t="array" ref="J80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1284</v>
      </c>
      <c r="K802" s="56" t="s">
        <v>1129</v>
      </c>
      <c r="L802" s="90" t="s">
        <v>172</v>
      </c>
      <c r="M802" t="s">
        <v>43</v>
      </c>
      <c r="N802" s="15" t="s">
        <v>1129</v>
      </c>
      <c r="O802" s="3" t="s">
        <v>1898</v>
      </c>
      <c r="P802" s="3" t="s">
        <v>69</v>
      </c>
      <c r="Q802" s="10" t="s">
        <v>222</v>
      </c>
      <c r="R802" s="11">
        <v>45903</v>
      </c>
      <c r="S802" s="10" t="s">
        <v>1903</v>
      </c>
      <c r="T802" s="3" t="str">
        <f>IF(AND(ProtocolosAF[[#This Row],[STATUS]]="APROVADO",ProtocolosAF[[#This Row],[BILHETE/EMD]]=""),"Y","")</f>
        <v/>
      </c>
      <c r="U802" t="s">
        <v>1904</v>
      </c>
      <c r="V802" s="16" t="str">
        <f>_xlfn.CONCAT(C802,U802)</f>
        <v>APXTBSSALIES/JOFFRE</v>
      </c>
      <c r="W802">
        <v>766</v>
      </c>
    </row>
    <row r="803" spans="1:23" ht="15" hidden="1">
      <c r="A803" s="1">
        <v>45904</v>
      </c>
      <c r="B803" t="s">
        <v>15</v>
      </c>
      <c r="C803" t="s">
        <v>1905</v>
      </c>
      <c r="D803" s="23" t="s">
        <v>1905</v>
      </c>
      <c r="E803" t="s">
        <v>512</v>
      </c>
      <c r="F803" s="19">
        <v>57564931</v>
      </c>
      <c r="G803" s="53">
        <v>572343517292</v>
      </c>
      <c r="H803" s="89">
        <v>171</v>
      </c>
      <c r="I803" s="3" t="s">
        <v>74</v>
      </c>
      <c r="J803" s="89" cm="1">
        <f t="array" ref="J80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171</v>
      </c>
      <c r="K803" s="56" t="s">
        <v>1906</v>
      </c>
      <c r="L803" s="90" t="s">
        <v>529</v>
      </c>
      <c r="M803" t="s">
        <v>43</v>
      </c>
      <c r="N803" s="15" t="s">
        <v>1155</v>
      </c>
      <c r="O803" s="3" t="s">
        <v>78</v>
      </c>
      <c r="P803" s="3" t="s">
        <v>146</v>
      </c>
      <c r="Q803" s="10" t="s">
        <v>79</v>
      </c>
      <c r="R803" s="11">
        <v>45905</v>
      </c>
      <c r="S803" s="11" t="s">
        <v>1907</v>
      </c>
      <c r="T803" s="3" t="str">
        <f>IF(AND(ProtocolosAF[[#This Row],[STATUS]]="APROVADO",ProtocolosAF[[#This Row],[BILHETE/EMD]]=""),"Y","")</f>
        <v/>
      </c>
      <c r="U803" t="s">
        <v>1908</v>
      </c>
      <c r="V803" s="16" t="str">
        <f>_xlfn.CONCAT(C803,U803)</f>
        <v>BE3VIULAJST/DIEGO</v>
      </c>
      <c r="W803">
        <v>766</v>
      </c>
    </row>
    <row r="804" spans="1:23" hidden="1">
      <c r="A804" s="1">
        <v>45911</v>
      </c>
      <c r="B804" t="s">
        <v>14</v>
      </c>
      <c r="C804" t="s">
        <v>1909</v>
      </c>
      <c r="D804" s="23" t="s">
        <v>1910</v>
      </c>
      <c r="E804" t="s">
        <v>73</v>
      </c>
      <c r="F804" s="19">
        <v>57994602</v>
      </c>
      <c r="G804" s="53">
        <v>574216445946</v>
      </c>
      <c r="H804" s="89">
        <v>300</v>
      </c>
      <c r="I804" s="3" t="s">
        <v>74</v>
      </c>
      <c r="J804" s="89" cm="1">
        <f t="array" ref="J80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300</v>
      </c>
      <c r="K804" s="56" t="s">
        <v>1911</v>
      </c>
      <c r="L804" s="90" t="s">
        <v>172</v>
      </c>
      <c r="M804" t="s">
        <v>43</v>
      </c>
      <c r="N804" s="15" t="s">
        <v>1279</v>
      </c>
      <c r="O804" s="3" t="s">
        <v>1912</v>
      </c>
      <c r="P804" s="3" t="s">
        <v>69</v>
      </c>
      <c r="Q804" s="10" t="s">
        <v>1913</v>
      </c>
      <c r="R804" s="11">
        <v>45911</v>
      </c>
      <c r="S804" s="11" t="s">
        <v>1914</v>
      </c>
      <c r="T804" s="3" t="str">
        <f>IF(AND(ProtocolosAF[[#This Row],[STATUS]]="APROVADO",ProtocolosAF[[#This Row],[BILHETE/EMD]]=""),"Y","")</f>
        <v/>
      </c>
      <c r="U804" t="s">
        <v>1915</v>
      </c>
      <c r="V804" s="16" t="str">
        <f>_xlfn.CONCAT(C804,U804)</f>
        <v>AW8W3NELEUTERIO/MARIA GRAZIELLA</v>
      </c>
      <c r="W804">
        <v>767</v>
      </c>
    </row>
    <row r="805" spans="1:23" hidden="1">
      <c r="A805" s="1">
        <v>45911</v>
      </c>
      <c r="B805" t="s">
        <v>14</v>
      </c>
      <c r="C805" t="s">
        <v>1909</v>
      </c>
      <c r="D805" s="23" t="s">
        <v>1910</v>
      </c>
      <c r="E805" t="s">
        <v>73</v>
      </c>
      <c r="F805" s="19">
        <v>57994602</v>
      </c>
      <c r="G805" s="53">
        <v>574216445946</v>
      </c>
      <c r="H805" s="89">
        <v>300</v>
      </c>
      <c r="I805" s="3" t="s">
        <v>74</v>
      </c>
      <c r="J805" s="89" cm="1">
        <f t="array" ref="J80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300</v>
      </c>
      <c r="K805" s="56" t="s">
        <v>1911</v>
      </c>
      <c r="L805" s="90" t="s">
        <v>172</v>
      </c>
      <c r="M805" t="s">
        <v>43</v>
      </c>
      <c r="N805" s="15" t="s">
        <v>1279</v>
      </c>
      <c r="O805" s="3" t="s">
        <v>1912</v>
      </c>
      <c r="P805" s="3" t="s">
        <v>69</v>
      </c>
      <c r="Q805" s="10" t="s">
        <v>1913</v>
      </c>
      <c r="R805" s="11">
        <v>45911</v>
      </c>
      <c r="S805" s="11" t="s">
        <v>1914</v>
      </c>
      <c r="T805" s="3" t="str">
        <f>IF(AND(ProtocolosAF[[#This Row],[STATUS]]="APROVADO",ProtocolosAF[[#This Row],[BILHETE/EMD]]=""),"Y","")</f>
        <v/>
      </c>
      <c r="U805" t="s">
        <v>1916</v>
      </c>
      <c r="V805" s="16" t="str">
        <f>_xlfn.CONCAT(C805,U805)</f>
        <v>AW8W3NELEUTERIO FILHO/SEBASTIAO</v>
      </c>
      <c r="W805">
        <v>767</v>
      </c>
    </row>
    <row r="806" spans="1:23" ht="15" hidden="1">
      <c r="A806" s="1">
        <v>45923</v>
      </c>
      <c r="B806" t="s">
        <v>15</v>
      </c>
      <c r="C806" t="s">
        <v>1917</v>
      </c>
      <c r="D806" s="23" t="s">
        <v>1917</v>
      </c>
      <c r="E806" t="s">
        <v>512</v>
      </c>
      <c r="F806" s="19"/>
      <c r="G806" s="53"/>
      <c r="H806" s="89">
        <v>257</v>
      </c>
      <c r="I806" s="3" t="s">
        <v>74</v>
      </c>
      <c r="J806" s="89" t="str" cm="1">
        <f t="array" ref="J80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06" s="56" t="s">
        <v>1918</v>
      </c>
      <c r="L806" s="90" t="s">
        <v>172</v>
      </c>
      <c r="M806" t="s">
        <v>100</v>
      </c>
      <c r="N806" s="15" t="s">
        <v>1155</v>
      </c>
      <c r="O806" s="3" t="s">
        <v>68</v>
      </c>
      <c r="P806" s="3" t="s">
        <v>146</v>
      </c>
      <c r="Q806" s="10"/>
      <c r="R806" s="11"/>
      <c r="S806" s="11"/>
      <c r="T806" s="3" t="str">
        <f>IF(AND(ProtocolosAF[[#This Row],[STATUS]]="APROVADO",ProtocolosAF[[#This Row],[BILHETE/EMD]]=""),"Y","")</f>
        <v/>
      </c>
      <c r="U806" t="s">
        <v>1919</v>
      </c>
      <c r="V806" s="16" t="str">
        <f>_xlfn.CONCAT(C806,U806)</f>
        <v>4C2ZW5AGUILANIU/HUGO MR</v>
      </c>
      <c r="W806">
        <v>768</v>
      </c>
    </row>
    <row r="807" spans="1:23" ht="15" hidden="1">
      <c r="A807" s="1">
        <v>45925</v>
      </c>
      <c r="B807" t="s">
        <v>10</v>
      </c>
      <c r="C807" t="s">
        <v>1920</v>
      </c>
      <c r="D807" s="23" t="s">
        <v>1921</v>
      </c>
      <c r="E807" t="s">
        <v>512</v>
      </c>
      <c r="F807" s="19">
        <v>57966204</v>
      </c>
      <c r="G807" s="53">
        <v>572344422660</v>
      </c>
      <c r="H807" s="89">
        <v>255</v>
      </c>
      <c r="I807" s="3" t="s">
        <v>74</v>
      </c>
      <c r="J807" s="89" cm="1">
        <f t="array" ref="J80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255</v>
      </c>
      <c r="K807" s="56" t="s">
        <v>105</v>
      </c>
      <c r="L807" s="90" t="s">
        <v>172</v>
      </c>
      <c r="M807" t="s">
        <v>43</v>
      </c>
      <c r="N807" s="15" t="s">
        <v>65</v>
      </c>
      <c r="O807" s="3" t="s">
        <v>1922</v>
      </c>
      <c r="P807" s="3" t="s">
        <v>69</v>
      </c>
      <c r="Q807" s="10" t="s">
        <v>1418</v>
      </c>
      <c r="R807" s="11">
        <v>45925</v>
      </c>
      <c r="S807" s="11" t="s">
        <v>1923</v>
      </c>
      <c r="T807" s="3" t="str">
        <f>IF(AND(ProtocolosAF[[#This Row],[STATUS]]="APROVADO",ProtocolosAF[[#This Row],[BILHETE/EMD]]=""),"Y","")</f>
        <v/>
      </c>
      <c r="U807" t="s">
        <v>1924</v>
      </c>
      <c r="V807" s="16" t="str">
        <f>_xlfn.CONCAT(C807,U807)</f>
        <v>BJZQDUPACHECO SILVA/KARINA</v>
      </c>
      <c r="W807">
        <v>769</v>
      </c>
    </row>
    <row r="808" spans="1:23" ht="15" hidden="1">
      <c r="A808" s="1">
        <v>45925</v>
      </c>
      <c r="B808" t="s">
        <v>10</v>
      </c>
      <c r="C808" t="s">
        <v>1920</v>
      </c>
      <c r="D808" s="23" t="s">
        <v>1921</v>
      </c>
      <c r="E808" t="s">
        <v>512</v>
      </c>
      <c r="F808" s="19">
        <v>57966204</v>
      </c>
      <c r="G808" s="53">
        <v>572344422661</v>
      </c>
      <c r="H808" s="89">
        <v>255</v>
      </c>
      <c r="I808" s="3" t="s">
        <v>74</v>
      </c>
      <c r="J808" s="89" cm="1">
        <f t="array" ref="J80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255</v>
      </c>
      <c r="K808" s="56" t="s">
        <v>105</v>
      </c>
      <c r="L808" s="90" t="s">
        <v>172</v>
      </c>
      <c r="M808" t="s">
        <v>43</v>
      </c>
      <c r="N808" s="15" t="s">
        <v>65</v>
      </c>
      <c r="O808" s="3" t="s">
        <v>1922</v>
      </c>
      <c r="P808" s="3" t="s">
        <v>69</v>
      </c>
      <c r="Q808" s="10" t="s">
        <v>1418</v>
      </c>
      <c r="R808" s="11">
        <v>45925</v>
      </c>
      <c r="S808" s="11" t="s">
        <v>1923</v>
      </c>
      <c r="T808" s="3" t="str">
        <f>IF(AND(ProtocolosAF[[#This Row],[STATUS]]="APROVADO",ProtocolosAF[[#This Row],[BILHETE/EMD]]=""),"Y","")</f>
        <v/>
      </c>
      <c r="U808" t="s">
        <v>1925</v>
      </c>
      <c r="V808" s="16" t="str">
        <f>_xlfn.CONCAT(C808,U808)</f>
        <v>BJZQDUSCHMIDT/WERNER</v>
      </c>
      <c r="W808">
        <v>769</v>
      </c>
    </row>
    <row r="809" spans="1:23" ht="15" hidden="1">
      <c r="A809" s="1">
        <v>45929</v>
      </c>
      <c r="B809" t="s">
        <v>10</v>
      </c>
      <c r="C809" t="s">
        <v>1926</v>
      </c>
      <c r="D809" s="23" t="s">
        <v>1927</v>
      </c>
      <c r="E809" t="s">
        <v>73</v>
      </c>
      <c r="F809" s="19">
        <v>57994602</v>
      </c>
      <c r="G809" s="53">
        <v>574216445990</v>
      </c>
      <c r="H809" s="89">
        <v>400</v>
      </c>
      <c r="I809" s="3" t="s">
        <v>74</v>
      </c>
      <c r="J809" s="89" cm="1">
        <f t="array" ref="J80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400</v>
      </c>
      <c r="K809" s="56" t="s">
        <v>189</v>
      </c>
      <c r="L809" s="90" t="s">
        <v>172</v>
      </c>
      <c r="M809" t="s">
        <v>43</v>
      </c>
      <c r="N809" s="15" t="s">
        <v>65</v>
      </c>
      <c r="O809" s="3" t="s">
        <v>307</v>
      </c>
      <c r="P809" s="3" t="s">
        <v>146</v>
      </c>
      <c r="Q809" s="10" t="s">
        <v>1345</v>
      </c>
      <c r="R809" s="11">
        <v>45931</v>
      </c>
      <c r="S809" s="11" t="s">
        <v>1928</v>
      </c>
      <c r="T809" s="3" t="str">
        <f>IF(AND(ProtocolosAF[[#This Row],[STATUS]]="APROVADO",ProtocolosAF[[#This Row],[BILHETE/EMD]]=""),"Y","")</f>
        <v/>
      </c>
      <c r="U809" t="s">
        <v>1929</v>
      </c>
      <c r="V809" s="16" t="str">
        <f>_xlfn.CONCAT(C809,U809)</f>
        <v xml:space="preserve"> C9QJWDVALLONE/CAMILA MRS</v>
      </c>
      <c r="W809">
        <v>770</v>
      </c>
    </row>
    <row r="810" spans="1:23" ht="15" hidden="1">
      <c r="A810" s="1">
        <v>45932</v>
      </c>
      <c r="B810" t="s">
        <v>16</v>
      </c>
      <c r="C810" t="s">
        <v>1930</v>
      </c>
      <c r="D810" s="23" t="s">
        <v>1930</v>
      </c>
      <c r="E810" t="s">
        <v>73</v>
      </c>
      <c r="F810" s="19">
        <v>57994602</v>
      </c>
      <c r="G810" s="53">
        <v>574216445996</v>
      </c>
      <c r="H810" s="89">
        <v>70</v>
      </c>
      <c r="I810" s="3" t="s">
        <v>74</v>
      </c>
      <c r="J810" s="89" cm="1">
        <f t="array" ref="J81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70</v>
      </c>
      <c r="K810" s="56" t="s">
        <v>1931</v>
      </c>
      <c r="L810" s="90" t="s">
        <v>172</v>
      </c>
      <c r="M810" t="s">
        <v>43</v>
      </c>
      <c r="N810" s="15" t="s">
        <v>177</v>
      </c>
      <c r="O810" s="3" t="s">
        <v>1932</v>
      </c>
      <c r="P810" s="3" t="s">
        <v>255</v>
      </c>
      <c r="Q810" s="10" t="s">
        <v>396</v>
      </c>
      <c r="R810" s="11">
        <v>45933</v>
      </c>
      <c r="S810" s="11" t="s">
        <v>1933</v>
      </c>
      <c r="T810" s="3" t="str">
        <f>IF(AND(ProtocolosAF[[#This Row],[STATUS]]="APROVADO",ProtocolosAF[[#This Row],[BILHETE/EMD]]=""),"Y","")</f>
        <v/>
      </c>
      <c r="U810" t="s">
        <v>1934</v>
      </c>
      <c r="V810" s="16" t="str">
        <f>_xlfn.CONCAT(C810,U810)</f>
        <v>AJX43LMESQUITA MARTINS H CAVALCANTI/DIANA</v>
      </c>
      <c r="W810">
        <v>772</v>
      </c>
    </row>
    <row r="811" spans="1:23" ht="15" hidden="1">
      <c r="A811" s="1">
        <v>45932</v>
      </c>
      <c r="B811" t="s">
        <v>16</v>
      </c>
      <c r="C811" t="s">
        <v>1930</v>
      </c>
      <c r="D811" s="23" t="s">
        <v>1930</v>
      </c>
      <c r="E811" t="s">
        <v>73</v>
      </c>
      <c r="F811" s="19">
        <v>57994602</v>
      </c>
      <c r="G811" s="53">
        <v>574216445997</v>
      </c>
      <c r="H811" s="89">
        <v>70</v>
      </c>
      <c r="I811" s="3" t="s">
        <v>74</v>
      </c>
      <c r="J811" s="89" cm="1">
        <f t="array" ref="J81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70</v>
      </c>
      <c r="K811" s="56" t="s">
        <v>1931</v>
      </c>
      <c r="L811" s="90" t="s">
        <v>172</v>
      </c>
      <c r="M811" t="s">
        <v>43</v>
      </c>
      <c r="N811" s="15" t="s">
        <v>177</v>
      </c>
      <c r="O811" s="3" t="s">
        <v>1932</v>
      </c>
      <c r="P811" s="3" t="s">
        <v>255</v>
      </c>
      <c r="Q811" s="10" t="s">
        <v>396</v>
      </c>
      <c r="R811" s="11">
        <v>45933</v>
      </c>
      <c r="S811" s="11" t="s">
        <v>1933</v>
      </c>
      <c r="T811" s="3" t="str">
        <f>IF(AND(ProtocolosAF[[#This Row],[STATUS]]="APROVADO",ProtocolosAF[[#This Row],[BILHETE/EMD]]=""),"Y","")</f>
        <v/>
      </c>
      <c r="U811" t="s">
        <v>1935</v>
      </c>
      <c r="V811" s="16" t="str">
        <f>_xlfn.CONCAT(C811,U811)</f>
        <v>AJX43LPEREIRA SANTOS/CRISTINA</v>
      </c>
      <c r="W811">
        <v>772</v>
      </c>
    </row>
    <row r="812" spans="1:23" ht="15" hidden="1">
      <c r="A812" s="1">
        <v>45932</v>
      </c>
      <c r="B812" t="s">
        <v>16</v>
      </c>
      <c r="C812" t="s">
        <v>1930</v>
      </c>
      <c r="D812" s="23" t="s">
        <v>1930</v>
      </c>
      <c r="E812" t="s">
        <v>73</v>
      </c>
      <c r="F812" s="19">
        <v>57994602</v>
      </c>
      <c r="G812" s="53">
        <v>574216445998</v>
      </c>
      <c r="H812" s="89">
        <v>70</v>
      </c>
      <c r="I812" s="3" t="s">
        <v>74</v>
      </c>
      <c r="J812" s="89" cm="1">
        <f t="array" ref="J81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70</v>
      </c>
      <c r="K812" s="56" t="s">
        <v>1931</v>
      </c>
      <c r="L812" s="90" t="s">
        <v>172</v>
      </c>
      <c r="M812" t="s">
        <v>43</v>
      </c>
      <c r="N812" s="15" t="s">
        <v>177</v>
      </c>
      <c r="O812" s="3" t="s">
        <v>1932</v>
      </c>
      <c r="P812" s="3" t="s">
        <v>255</v>
      </c>
      <c r="Q812" s="10" t="s">
        <v>396</v>
      </c>
      <c r="R812" s="11">
        <v>56890</v>
      </c>
      <c r="S812" s="11" t="s">
        <v>1933</v>
      </c>
      <c r="T812" s="3" t="str">
        <f>IF(AND(ProtocolosAF[[#This Row],[STATUS]]="APROVADO",ProtocolosAF[[#This Row],[BILHETE/EMD]]=""),"Y","")</f>
        <v/>
      </c>
      <c r="U812" t="s">
        <v>1936</v>
      </c>
      <c r="V812" s="16" t="str">
        <f>_xlfn.CONCAT(C812,U812)</f>
        <v>AJX43LWAILES DE HOLANDA CAVALCANTI/ALLAN</v>
      </c>
      <c r="W812">
        <v>772</v>
      </c>
    </row>
    <row r="813" spans="1:23" ht="15" hidden="1">
      <c r="A813" s="1">
        <v>45933</v>
      </c>
      <c r="B813" t="s">
        <v>10</v>
      </c>
      <c r="C813" t="s">
        <v>1937</v>
      </c>
      <c r="D813" s="23" t="s">
        <v>1938</v>
      </c>
      <c r="E813" t="s">
        <v>512</v>
      </c>
      <c r="F813" s="19">
        <v>57564931</v>
      </c>
      <c r="G813" s="53">
        <v>572953183053</v>
      </c>
      <c r="H813" s="89">
        <v>345</v>
      </c>
      <c r="I813" s="3" t="s">
        <v>74</v>
      </c>
      <c r="J813" s="89" cm="1">
        <f t="array" ref="J81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345</v>
      </c>
      <c r="K813" s="56" t="s">
        <v>1939</v>
      </c>
      <c r="L813" s="90" t="s">
        <v>76</v>
      </c>
      <c r="M813" t="s">
        <v>43</v>
      </c>
      <c r="N813" s="15" t="s">
        <v>65</v>
      </c>
      <c r="O813" s="3" t="s">
        <v>238</v>
      </c>
      <c r="P813" s="3" t="s">
        <v>146</v>
      </c>
      <c r="Q813" s="10" t="s">
        <v>1325</v>
      </c>
      <c r="R813" s="11">
        <v>45936</v>
      </c>
      <c r="S813" s="11" t="s">
        <v>1940</v>
      </c>
      <c r="T813" s="3" t="str">
        <f>IF(AND(ProtocolosAF[[#This Row],[STATUS]]="APROVADO",ProtocolosAF[[#This Row],[BILHETE/EMD]]=""),"Y","")</f>
        <v/>
      </c>
      <c r="U813" t="s">
        <v>1941</v>
      </c>
      <c r="V813" s="16" t="str">
        <f>_xlfn.CONCAT(C813,U813)</f>
        <v>LQGICNGOMES DA SILVA/JOAO VICTOR</v>
      </c>
      <c r="W813">
        <v>773</v>
      </c>
    </row>
    <row r="814" spans="1:23" hidden="1">
      <c r="A814" s="1">
        <v>45933</v>
      </c>
      <c r="B814" t="s">
        <v>10</v>
      </c>
      <c r="C814" t="s">
        <v>1942</v>
      </c>
      <c r="D814" s="23" t="s">
        <v>1943</v>
      </c>
      <c r="E814" t="s">
        <v>512</v>
      </c>
      <c r="F814" s="19">
        <v>57564931</v>
      </c>
      <c r="G814" s="53">
        <v>572953183079</v>
      </c>
      <c r="H814" s="89">
        <v>350</v>
      </c>
      <c r="I814" s="3" t="s">
        <v>74</v>
      </c>
      <c r="J814" s="89" cm="1">
        <f t="array" ref="J81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350</v>
      </c>
      <c r="K814" s="56" t="s">
        <v>1939</v>
      </c>
      <c r="L814" s="90" t="s">
        <v>76</v>
      </c>
      <c r="M814" t="s">
        <v>43</v>
      </c>
      <c r="N814" s="15" t="s">
        <v>65</v>
      </c>
      <c r="O814" s="3" t="s">
        <v>238</v>
      </c>
      <c r="P814" s="3" t="s">
        <v>146</v>
      </c>
      <c r="Q814" s="10" t="s">
        <v>1325</v>
      </c>
      <c r="R814" s="11">
        <v>45936</v>
      </c>
      <c r="S814" s="11" t="s">
        <v>1940</v>
      </c>
      <c r="T814" s="3" t="str">
        <f>IF(AND(ProtocolosAF[[#This Row],[STATUS]]="APROVADO",ProtocolosAF[[#This Row],[BILHETE/EMD]]=""),"Y","")</f>
        <v/>
      </c>
      <c r="U814" t="s">
        <v>1944</v>
      </c>
      <c r="V814" s="16" t="str">
        <f>_xlfn.CONCAT(C814,U814)</f>
        <v>JOSYLXTRINDADE DA COSTA NETO/ANDRE</v>
      </c>
      <c r="W814">
        <v>774</v>
      </c>
    </row>
    <row r="815" spans="1:23" hidden="1">
      <c r="A815" s="1">
        <v>45937</v>
      </c>
      <c r="B815" t="s">
        <v>10</v>
      </c>
      <c r="C815" t="s">
        <v>1945</v>
      </c>
      <c r="D815" s="23" t="s">
        <v>1945</v>
      </c>
      <c r="E815" t="s">
        <v>73</v>
      </c>
      <c r="F815" s="19"/>
      <c r="G815" s="53"/>
      <c r="H815" s="89">
        <v>20</v>
      </c>
      <c r="I815" s="3" t="s">
        <v>74</v>
      </c>
      <c r="J815" s="89" t="str" cm="1">
        <f t="array" ref="J81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15" s="56" t="s">
        <v>1789</v>
      </c>
      <c r="L815" s="90" t="s">
        <v>76</v>
      </c>
      <c r="M815" t="s">
        <v>100</v>
      </c>
      <c r="N815" s="15" t="s">
        <v>1129</v>
      </c>
      <c r="O815" s="3" t="s">
        <v>1946</v>
      </c>
      <c r="P815" s="3" t="s">
        <v>46</v>
      </c>
      <c r="Q815" s="10"/>
      <c r="R815" s="11"/>
      <c r="S815" s="11"/>
      <c r="T815" s="3" t="str">
        <f>IF(AND(ProtocolosAF[[#This Row],[STATUS]]="APROVADO",ProtocolosAF[[#This Row],[BILHETE/EMD]]=""),"Y","")</f>
        <v/>
      </c>
      <c r="U815" t="s">
        <v>1947</v>
      </c>
      <c r="V815" s="16" t="str">
        <f>_xlfn.CONCAT(C815,U815)</f>
        <v xml:space="preserve">CAOKP5MEDEIROS/MONICA </v>
      </c>
      <c r="W815">
        <v>775</v>
      </c>
    </row>
    <row r="816" spans="1:23" hidden="1">
      <c r="A816" s="1">
        <v>45937</v>
      </c>
      <c r="B816" t="s">
        <v>10</v>
      </c>
      <c r="C816" t="s">
        <v>1945</v>
      </c>
      <c r="D816" s="23" t="s">
        <v>1945</v>
      </c>
      <c r="E816" t="s">
        <v>73</v>
      </c>
      <c r="F816" s="19"/>
      <c r="G816" s="53"/>
      <c r="H816" s="89">
        <v>20</v>
      </c>
      <c r="I816" s="3" t="s">
        <v>74</v>
      </c>
      <c r="J816" s="89" t="str" cm="1">
        <f t="array" ref="J81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16" s="56" t="s">
        <v>1789</v>
      </c>
      <c r="L816" s="90" t="s">
        <v>76</v>
      </c>
      <c r="M816" t="s">
        <v>100</v>
      </c>
      <c r="N816" s="15" t="s">
        <v>1129</v>
      </c>
      <c r="O816" s="3" t="s">
        <v>1946</v>
      </c>
      <c r="P816" s="3" t="s">
        <v>46</v>
      </c>
      <c r="Q816" s="10"/>
      <c r="R816" s="11"/>
      <c r="S816" s="11"/>
      <c r="T816" s="3" t="str">
        <f>IF(AND(ProtocolosAF[[#This Row],[STATUS]]="APROVADO",ProtocolosAF[[#This Row],[BILHETE/EMD]]=""),"Y","")</f>
        <v/>
      </c>
      <c r="U816" t="s">
        <v>1948</v>
      </c>
      <c r="V816" s="16" t="str">
        <f>_xlfn.CONCAT(C816,U816)</f>
        <v>CAOKP5MEDEIROS FILHO/AGUINALDO</v>
      </c>
      <c r="W816">
        <v>775</v>
      </c>
    </row>
    <row r="817" spans="1:23" hidden="1">
      <c r="A817" s="1">
        <v>45937</v>
      </c>
      <c r="B817" t="s">
        <v>10</v>
      </c>
      <c r="C817" t="s">
        <v>1945</v>
      </c>
      <c r="D817" s="23" t="s">
        <v>1945</v>
      </c>
      <c r="E817" t="s">
        <v>73</v>
      </c>
      <c r="F817" s="19"/>
      <c r="G817" s="53"/>
      <c r="H817" s="89">
        <v>20</v>
      </c>
      <c r="I817" s="3" t="s">
        <v>74</v>
      </c>
      <c r="J817" s="89" t="str" cm="1">
        <f t="array" ref="J81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17" s="56" t="s">
        <v>1789</v>
      </c>
      <c r="L817" s="90" t="s">
        <v>76</v>
      </c>
      <c r="M817" t="s">
        <v>100</v>
      </c>
      <c r="N817" s="15" t="s">
        <v>1129</v>
      </c>
      <c r="O817" s="3" t="s">
        <v>1946</v>
      </c>
      <c r="P817" s="3" t="s">
        <v>46</v>
      </c>
      <c r="Q817" s="10"/>
      <c r="R817" s="11"/>
      <c r="S817" s="11"/>
      <c r="T817" s="3" t="str">
        <f>IF(AND(ProtocolosAF[[#This Row],[STATUS]]="APROVADO",ProtocolosAF[[#This Row],[BILHETE/EMD]]=""),"Y","")</f>
        <v/>
      </c>
      <c r="U817" t="s">
        <v>1949</v>
      </c>
      <c r="V817" s="16" t="str">
        <f>_xlfn.CONCAT(C817,U817)</f>
        <v>CAOKP5MEDEIROS SILVA/LAERCIO</v>
      </c>
      <c r="W817">
        <v>775</v>
      </c>
    </row>
    <row r="818" spans="1:23" hidden="1">
      <c r="A818" s="1">
        <v>45937</v>
      </c>
      <c r="B818" t="s">
        <v>10</v>
      </c>
      <c r="C818" t="s">
        <v>1945</v>
      </c>
      <c r="D818" s="23" t="s">
        <v>1945</v>
      </c>
      <c r="E818" t="s">
        <v>73</v>
      </c>
      <c r="F818" s="19"/>
      <c r="G818" s="53"/>
      <c r="H818" s="89">
        <v>20</v>
      </c>
      <c r="I818" s="3" t="s">
        <v>74</v>
      </c>
      <c r="J818" s="89" t="str" cm="1">
        <f t="array" ref="J81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18" s="56" t="s">
        <v>1789</v>
      </c>
      <c r="L818" s="90" t="s">
        <v>76</v>
      </c>
      <c r="M818" t="s">
        <v>100</v>
      </c>
      <c r="N818" s="15" t="s">
        <v>1129</v>
      </c>
      <c r="O818" s="3" t="s">
        <v>1946</v>
      </c>
      <c r="P818" s="3" t="s">
        <v>46</v>
      </c>
      <c r="Q818" s="10"/>
      <c r="R818" s="11"/>
      <c r="S818" s="11"/>
      <c r="T818" s="3" t="str">
        <f>IF(AND(ProtocolosAF[[#This Row],[STATUS]]="APROVADO",ProtocolosAF[[#This Row],[BILHETE/EMD]]=""),"Y","")</f>
        <v/>
      </c>
      <c r="U818" t="s">
        <v>1950</v>
      </c>
      <c r="V818" s="16" t="str">
        <f>_xlfn.CONCAT(C818,U818)</f>
        <v>CAOKP5SILVA/ALICE MRS</v>
      </c>
      <c r="W818">
        <v>775</v>
      </c>
    </row>
    <row r="819" spans="1:23" hidden="1">
      <c r="A819" s="1">
        <v>45937</v>
      </c>
      <c r="B819" t="s">
        <v>10</v>
      </c>
      <c r="C819" t="s">
        <v>1945</v>
      </c>
      <c r="D819" s="23" t="s">
        <v>1945</v>
      </c>
      <c r="E819" t="s">
        <v>73</v>
      </c>
      <c r="F819" s="19"/>
      <c r="G819" s="53"/>
      <c r="H819" s="89">
        <v>20</v>
      </c>
      <c r="I819" s="3" t="s">
        <v>74</v>
      </c>
      <c r="J819" s="89" t="str" cm="1">
        <f t="array" ref="J81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19" s="56" t="s">
        <v>1789</v>
      </c>
      <c r="L819" s="90" t="s">
        <v>76</v>
      </c>
      <c r="M819" t="s">
        <v>100</v>
      </c>
      <c r="N819" s="15" t="s">
        <v>1129</v>
      </c>
      <c r="O819" s="3" t="s">
        <v>1946</v>
      </c>
      <c r="P819" s="3" t="s">
        <v>46</v>
      </c>
      <c r="Q819" s="10"/>
      <c r="R819" s="11"/>
      <c r="S819" s="11"/>
      <c r="T819" s="3" t="str">
        <f>IF(AND(ProtocolosAF[[#This Row],[STATUS]]="APROVADO",ProtocolosAF[[#This Row],[BILHETE/EMD]]=""),"Y","")</f>
        <v/>
      </c>
      <c r="U819" t="s">
        <v>1951</v>
      </c>
      <c r="V819" s="16" t="str">
        <f>_xlfn.CONCAT(C819,U819)</f>
        <v>CAOKP5SILVA/LETICIA MRS</v>
      </c>
      <c r="W819">
        <v>775</v>
      </c>
    </row>
    <row r="820" spans="1:23" hidden="1">
      <c r="A820" s="1">
        <v>45937</v>
      </c>
      <c r="B820" t="s">
        <v>10</v>
      </c>
      <c r="C820" t="s">
        <v>1945</v>
      </c>
      <c r="D820" s="23" t="s">
        <v>1945</v>
      </c>
      <c r="E820" t="s">
        <v>73</v>
      </c>
      <c r="F820" s="19"/>
      <c r="G820" s="53"/>
      <c r="H820" s="89">
        <v>20</v>
      </c>
      <c r="I820" s="3" t="s">
        <v>74</v>
      </c>
      <c r="J820" s="89" t="str" cm="1">
        <f t="array" ref="J82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20" s="56" t="s">
        <v>1789</v>
      </c>
      <c r="L820" s="90" t="s">
        <v>76</v>
      </c>
      <c r="M820" t="s">
        <v>100</v>
      </c>
      <c r="N820" s="15" t="s">
        <v>1129</v>
      </c>
      <c r="O820" s="3" t="s">
        <v>1946</v>
      </c>
      <c r="P820" s="3"/>
      <c r="Q820" s="10"/>
      <c r="R820" s="11"/>
      <c r="S820" s="11"/>
      <c r="T820" s="3" t="str">
        <f>IF(AND(ProtocolosAF[[#This Row],[STATUS]]="APROVADO",ProtocolosAF[[#This Row],[BILHETE/EMD]]=""),"Y","")</f>
        <v/>
      </c>
      <c r="U820">
        <v>20</v>
      </c>
      <c r="V820" s="16" t="str">
        <f>_xlfn.CONCAT(C820,U820)</f>
        <v>CAOKP520</v>
      </c>
      <c r="W820">
        <v>775</v>
      </c>
    </row>
    <row r="821" spans="1:23" hidden="1">
      <c r="A821" s="1">
        <v>45937</v>
      </c>
      <c r="B821" t="s">
        <v>10</v>
      </c>
      <c r="C821" t="s">
        <v>1945</v>
      </c>
      <c r="D821" s="23" t="s">
        <v>1945</v>
      </c>
      <c r="E821" t="s">
        <v>73</v>
      </c>
      <c r="F821" s="19"/>
      <c r="G821" s="53"/>
      <c r="H821" s="89">
        <v>20</v>
      </c>
      <c r="I821" s="3" t="s">
        <v>74</v>
      </c>
      <c r="J821" s="89" t="str" cm="1">
        <f t="array" ref="J82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21" s="56" t="s">
        <v>1789</v>
      </c>
      <c r="L821" s="90" t="s">
        <v>76</v>
      </c>
      <c r="M821" t="s">
        <v>100</v>
      </c>
      <c r="N821" s="15" t="s">
        <v>1129</v>
      </c>
      <c r="O821" s="3" t="s">
        <v>1946</v>
      </c>
      <c r="P821" s="3" t="s">
        <v>46</v>
      </c>
      <c r="Q821" s="10"/>
      <c r="R821" s="11"/>
      <c r="S821" s="11"/>
      <c r="T821" s="3" t="str">
        <f>IF(AND(ProtocolosAF[[#This Row],[STATUS]]="APROVADO",ProtocolosAF[[#This Row],[BILHETE/EMD]]=""),"Y","")</f>
        <v/>
      </c>
      <c r="U821" t="s">
        <v>1952</v>
      </c>
      <c r="V821" s="16" t="str">
        <f>_xlfn.CONCAT(C821,U821)</f>
        <v>CAOKP5SILVA NETO/LAERCIO MR</v>
      </c>
      <c r="W821">
        <v>775</v>
      </c>
    </row>
    <row r="822" spans="1:23" ht="15" hidden="1">
      <c r="A822" s="1">
        <v>45937</v>
      </c>
      <c r="B822" t="s">
        <v>13</v>
      </c>
      <c r="C822" t="s">
        <v>1953</v>
      </c>
      <c r="D822" s="23" t="s">
        <v>1953</v>
      </c>
      <c r="E822" t="s">
        <v>207</v>
      </c>
      <c r="F822" s="19">
        <v>57994602</v>
      </c>
      <c r="G822" s="53">
        <v>574216446003</v>
      </c>
      <c r="H822" s="89">
        <v>187</v>
      </c>
      <c r="I822" s="3" t="s">
        <v>74</v>
      </c>
      <c r="J822" s="89" cm="1">
        <f t="array" ref="J82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187</v>
      </c>
      <c r="K822" s="56" t="s">
        <v>1089</v>
      </c>
      <c r="L822" s="90" t="s">
        <v>172</v>
      </c>
      <c r="M822" t="s">
        <v>43</v>
      </c>
      <c r="N822" s="15" t="s">
        <v>1089</v>
      </c>
      <c r="O822" s="3" t="s">
        <v>430</v>
      </c>
      <c r="P822" s="3" t="s">
        <v>146</v>
      </c>
      <c r="Q822" s="10" t="s">
        <v>1954</v>
      </c>
      <c r="R822" s="11">
        <v>45938</v>
      </c>
      <c r="S822" s="11" t="s">
        <v>1955</v>
      </c>
      <c r="T822" s="3" t="str">
        <f>IF(AND(ProtocolosAF[[#This Row],[STATUS]]="APROVADO",ProtocolosAF[[#This Row],[BILHETE/EMD]]=""),"Y","")</f>
        <v/>
      </c>
      <c r="U822" t="s">
        <v>1956</v>
      </c>
      <c r="V822" s="16" t="str">
        <f>_xlfn.CONCAT(C822,U822)</f>
        <v>B99I2UASFOUR/MAYADA</v>
      </c>
      <c r="W822">
        <v>778</v>
      </c>
    </row>
    <row r="823" spans="1:23" hidden="1">
      <c r="A823" s="1">
        <v>45937</v>
      </c>
      <c r="B823" t="s">
        <v>13</v>
      </c>
      <c r="C823" t="s">
        <v>1957</v>
      </c>
      <c r="D823" s="23" t="s">
        <v>1957</v>
      </c>
      <c r="E823" t="s">
        <v>207</v>
      </c>
      <c r="F823" s="19">
        <v>57994602</v>
      </c>
      <c r="G823" s="53">
        <v>574216446004</v>
      </c>
      <c r="H823" s="89">
        <v>187</v>
      </c>
      <c r="I823" s="3" t="s">
        <v>74</v>
      </c>
      <c r="J823" s="89" cm="1">
        <f t="array" ref="J82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187</v>
      </c>
      <c r="K823" s="56" t="s">
        <v>1089</v>
      </c>
      <c r="L823" s="90" t="s">
        <v>172</v>
      </c>
      <c r="M823" t="s">
        <v>43</v>
      </c>
      <c r="N823" s="15" t="s">
        <v>1089</v>
      </c>
      <c r="O823" s="3" t="s">
        <v>430</v>
      </c>
      <c r="P823" s="3" t="s">
        <v>146</v>
      </c>
      <c r="Q823" s="10" t="s">
        <v>1954</v>
      </c>
      <c r="R823" s="11">
        <v>45938</v>
      </c>
      <c r="S823" s="11" t="s">
        <v>1958</v>
      </c>
      <c r="T823" s="3" t="str">
        <f>IF(AND(ProtocolosAF[[#This Row],[STATUS]]="APROVADO",ProtocolosAF[[#This Row],[BILHETE/EMD]]=""),"Y","")</f>
        <v/>
      </c>
      <c r="U823" t="s">
        <v>1959</v>
      </c>
      <c r="V823" s="16" t="str">
        <f>_xlfn.CONCAT(C823,U823)</f>
        <v>B9BSEJHUSSEIN ASFOUR/ALI</v>
      </c>
      <c r="W823">
        <v>777</v>
      </c>
    </row>
    <row r="824" spans="1:23" hidden="1">
      <c r="A824" s="1">
        <v>45937</v>
      </c>
      <c r="B824" t="s">
        <v>13</v>
      </c>
      <c r="C824" t="s">
        <v>1957</v>
      </c>
      <c r="D824" s="23" t="s">
        <v>1957</v>
      </c>
      <c r="E824" t="s">
        <v>207</v>
      </c>
      <c r="F824" s="19">
        <v>57994602</v>
      </c>
      <c r="G824" s="53">
        <v>574216446005</v>
      </c>
      <c r="H824" s="89">
        <v>187</v>
      </c>
      <c r="I824" s="3" t="s">
        <v>74</v>
      </c>
      <c r="J824" s="89" cm="1">
        <f t="array" ref="J82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187</v>
      </c>
      <c r="K824" s="56" t="s">
        <v>1089</v>
      </c>
      <c r="L824" s="90" t="s">
        <v>172</v>
      </c>
      <c r="M824" t="s">
        <v>43</v>
      </c>
      <c r="N824" s="15" t="s">
        <v>1089</v>
      </c>
      <c r="O824" s="3" t="s">
        <v>430</v>
      </c>
      <c r="P824" s="3" t="s">
        <v>146</v>
      </c>
      <c r="Q824" s="10" t="s">
        <v>1954</v>
      </c>
      <c r="R824" s="11">
        <v>45938</v>
      </c>
      <c r="S824" s="11" t="s">
        <v>1958</v>
      </c>
      <c r="T824" s="3" t="str">
        <f>IF(AND(ProtocolosAF[[#This Row],[STATUS]]="APROVADO",ProtocolosAF[[#This Row],[BILHETE/EMD]]=""),"Y","")</f>
        <v/>
      </c>
      <c r="U824" t="s">
        <v>1960</v>
      </c>
      <c r="V824" s="16" t="str">
        <f>_xlfn.CONCAT(C824,U824)</f>
        <v>B9BSEJHUSSEIN ASFOUR/LAMAR</v>
      </c>
      <c r="W824">
        <v>777</v>
      </c>
    </row>
    <row r="825" spans="1:23" hidden="1">
      <c r="A825" s="1">
        <v>45937</v>
      </c>
      <c r="B825" t="s">
        <v>13</v>
      </c>
      <c r="C825" t="s">
        <v>1957</v>
      </c>
      <c r="D825" s="23" t="s">
        <v>1957</v>
      </c>
      <c r="E825" t="s">
        <v>207</v>
      </c>
      <c r="F825" s="19">
        <v>57994602</v>
      </c>
      <c r="G825" s="53">
        <v>574216446006</v>
      </c>
      <c r="H825" s="89">
        <v>187</v>
      </c>
      <c r="I825" s="3" t="s">
        <v>74</v>
      </c>
      <c r="J825" s="89" cm="1">
        <f t="array" ref="J82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187</v>
      </c>
      <c r="K825" s="56" t="s">
        <v>1089</v>
      </c>
      <c r="L825" s="90" t="s">
        <v>172</v>
      </c>
      <c r="M825" t="s">
        <v>43</v>
      </c>
      <c r="N825" s="15" t="s">
        <v>1089</v>
      </c>
      <c r="O825" s="3" t="s">
        <v>430</v>
      </c>
      <c r="P825" s="3" t="s">
        <v>146</v>
      </c>
      <c r="Q825" s="10" t="s">
        <v>1954</v>
      </c>
      <c r="R825" s="11">
        <v>45938</v>
      </c>
      <c r="S825" s="11" t="s">
        <v>1958</v>
      </c>
      <c r="T825" s="3" t="str">
        <f>IF(AND(ProtocolosAF[[#This Row],[STATUS]]="APROVADO",ProtocolosAF[[#This Row],[BILHETE/EMD]]=""),"Y","")</f>
        <v/>
      </c>
      <c r="U825" t="s">
        <v>1961</v>
      </c>
      <c r="V825" s="16" t="str">
        <f>_xlfn.CONCAT(C825,U825)</f>
        <v>B9BSEJHUSSEIN ASFOUR/ZEINAB</v>
      </c>
      <c r="W825">
        <v>777</v>
      </c>
    </row>
    <row r="826" spans="1:23" hidden="1">
      <c r="A826" s="1">
        <v>45937</v>
      </c>
      <c r="B826" t="s">
        <v>13</v>
      </c>
      <c r="C826" t="s">
        <v>1962</v>
      </c>
      <c r="D826" s="23" t="s">
        <v>1962</v>
      </c>
      <c r="E826" t="s">
        <v>207</v>
      </c>
      <c r="F826" s="19">
        <v>57994602</v>
      </c>
      <c r="G826" s="53">
        <v>574216446007</v>
      </c>
      <c r="H826" s="89">
        <v>187</v>
      </c>
      <c r="I826" s="3" t="s">
        <v>74</v>
      </c>
      <c r="J826" s="89" cm="1">
        <f t="array" ref="J82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187</v>
      </c>
      <c r="K826" s="56" t="s">
        <v>1089</v>
      </c>
      <c r="L826" s="90" t="s">
        <v>172</v>
      </c>
      <c r="M826" t="s">
        <v>43</v>
      </c>
      <c r="N826" s="15" t="s">
        <v>1089</v>
      </c>
      <c r="O826" s="3" t="s">
        <v>430</v>
      </c>
      <c r="P826" s="3" t="s">
        <v>146</v>
      </c>
      <c r="Q826" s="10" t="s">
        <v>1954</v>
      </c>
      <c r="R826" s="11">
        <v>45938</v>
      </c>
      <c r="S826" s="11" t="s">
        <v>1963</v>
      </c>
      <c r="T826" s="3" t="str">
        <f>IF(AND(ProtocolosAF[[#This Row],[STATUS]]="APROVADO",ProtocolosAF[[#This Row],[BILHETE/EMD]]=""),"Y","")</f>
        <v/>
      </c>
      <c r="U826" t="s">
        <v>1964</v>
      </c>
      <c r="V826" s="16" t="str">
        <f>_xlfn.CONCAT(C826,U826)</f>
        <v>B9C3FRALI ASFOUR/HUSSEIN</v>
      </c>
      <c r="W826">
        <v>776</v>
      </c>
    </row>
    <row r="827" spans="1:23" ht="15" hidden="1">
      <c r="A827" s="1">
        <v>45940</v>
      </c>
      <c r="B827" t="s">
        <v>13</v>
      </c>
      <c r="C827" t="s">
        <v>1965</v>
      </c>
      <c r="D827" s="23" t="s">
        <v>1966</v>
      </c>
      <c r="E827" t="s">
        <v>512</v>
      </c>
      <c r="F827" s="19">
        <v>57564931</v>
      </c>
      <c r="G827" s="53">
        <v>572338517254</v>
      </c>
      <c r="H827" s="89">
        <v>259</v>
      </c>
      <c r="I827" s="3" t="s">
        <v>74</v>
      </c>
      <c r="J827" s="89" cm="1">
        <f t="array" ref="J82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259</v>
      </c>
      <c r="K827" s="56" t="s">
        <v>1967</v>
      </c>
      <c r="L827" s="90" t="s">
        <v>1968</v>
      </c>
      <c r="M827" t="s">
        <v>43</v>
      </c>
      <c r="N827" s="15" t="s">
        <v>1552</v>
      </c>
      <c r="O827" s="3" t="s">
        <v>78</v>
      </c>
      <c r="P827" s="3" t="s">
        <v>69</v>
      </c>
      <c r="Q827" s="10" t="s">
        <v>1969</v>
      </c>
      <c r="R827" s="11">
        <v>45944</v>
      </c>
      <c r="S827" s="11" t="s">
        <v>1970</v>
      </c>
      <c r="T827" s="3" t="str">
        <f>IF(AND(ProtocolosAF[[#This Row],[STATUS]]="APROVADO",ProtocolosAF[[#This Row],[BILHETE/EMD]]=""),"Y","")</f>
        <v/>
      </c>
      <c r="U827" t="s">
        <v>1971</v>
      </c>
      <c r="V827" s="16" t="str">
        <f>_xlfn.CONCAT(C827,U827)</f>
        <v>IGFNGIOLIVEIRA DOS SANTOS/JEFERSON</v>
      </c>
      <c r="W827">
        <v>781</v>
      </c>
    </row>
    <row r="828" spans="1:23" hidden="1">
      <c r="A828" s="1">
        <v>45945</v>
      </c>
      <c r="B828" t="s">
        <v>10</v>
      </c>
      <c r="C828" t="s">
        <v>1972</v>
      </c>
      <c r="D828" s="23" t="s">
        <v>1972</v>
      </c>
      <c r="E828" t="s">
        <v>512</v>
      </c>
      <c r="F828" s="19">
        <v>57564931</v>
      </c>
      <c r="G828" s="53">
        <v>572681811521</v>
      </c>
      <c r="H828" s="89">
        <v>259</v>
      </c>
      <c r="I828" s="3" t="s">
        <v>74</v>
      </c>
      <c r="J828" s="89" cm="1">
        <f t="array" ref="J82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259</v>
      </c>
      <c r="K828" s="56" t="s">
        <v>1939</v>
      </c>
      <c r="L828" s="90" t="s">
        <v>76</v>
      </c>
      <c r="M828" t="s">
        <v>43</v>
      </c>
      <c r="N828" s="15" t="s">
        <v>1129</v>
      </c>
      <c r="O828" s="3" t="s">
        <v>78</v>
      </c>
      <c r="P828" s="3" t="s">
        <v>46</v>
      </c>
      <c r="Q828" s="10" t="s">
        <v>222</v>
      </c>
      <c r="R828" s="11">
        <v>45946</v>
      </c>
      <c r="S828" s="11" t="s">
        <v>1970</v>
      </c>
      <c r="T828" s="3" t="str">
        <f>IF(AND(ProtocolosAF[[#This Row],[STATUS]]="APROVADO",ProtocolosAF[[#This Row],[BILHETE/EMD]]=""),"Y","")</f>
        <v/>
      </c>
      <c r="U828" t="s">
        <v>1973</v>
      </c>
      <c r="V828" s="16" t="str">
        <f>_xlfn.CONCAT(C828,U828)</f>
        <v>A6SKAACIMADON/ELAINE APARECIDA</v>
      </c>
      <c r="W828">
        <v>782</v>
      </c>
    </row>
    <row r="829" spans="1:23" hidden="1">
      <c r="A829" s="1">
        <v>45945</v>
      </c>
      <c r="B829" t="s">
        <v>10</v>
      </c>
      <c r="C829" t="s">
        <v>1972</v>
      </c>
      <c r="D829" s="23" t="s">
        <v>1972</v>
      </c>
      <c r="E829" t="s">
        <v>512</v>
      </c>
      <c r="F829" s="19">
        <v>57564931</v>
      </c>
      <c r="G829" s="53">
        <v>572681811522</v>
      </c>
      <c r="H829" s="89">
        <v>259</v>
      </c>
      <c r="I829" s="3" t="s">
        <v>74</v>
      </c>
      <c r="J829" s="89" cm="1">
        <f t="array" ref="J82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259</v>
      </c>
      <c r="K829" s="56" t="s">
        <v>1939</v>
      </c>
      <c r="L829" s="90" t="s">
        <v>76</v>
      </c>
      <c r="M829" t="s">
        <v>43</v>
      </c>
      <c r="N829" s="15" t="s">
        <v>1129</v>
      </c>
      <c r="O829" s="3" t="s">
        <v>78</v>
      </c>
      <c r="P829" s="3" t="s">
        <v>46</v>
      </c>
      <c r="Q829" s="10" t="s">
        <v>222</v>
      </c>
      <c r="R829" s="11">
        <v>45946</v>
      </c>
      <c r="S829" s="11" t="s">
        <v>1970</v>
      </c>
      <c r="T829" s="3" t="str">
        <f>IF(AND(ProtocolosAF[[#This Row],[STATUS]]="APROVADO",ProtocolosAF[[#This Row],[BILHETE/EMD]]=""),"Y","")</f>
        <v/>
      </c>
      <c r="U829" t="s">
        <v>1974</v>
      </c>
      <c r="V829" s="16" t="str">
        <f>_xlfn.CONCAT(C829,U829)</f>
        <v>A6SKAASALLES/RODOLFO BENEDITO</v>
      </c>
      <c r="W829">
        <v>782</v>
      </c>
    </row>
    <row r="830" spans="1:23" hidden="1">
      <c r="A830" s="1">
        <v>45959</v>
      </c>
      <c r="B830" t="s">
        <v>10</v>
      </c>
      <c r="C830" t="s">
        <v>1975</v>
      </c>
      <c r="D830" s="23" t="s">
        <v>1976</v>
      </c>
      <c r="E830" t="s">
        <v>73</v>
      </c>
      <c r="F830" s="19"/>
      <c r="G830" s="53"/>
      <c r="H830" s="89">
        <v>40000</v>
      </c>
      <c r="I830" s="3" t="s">
        <v>74</v>
      </c>
      <c r="J830" s="89" t="str" cm="1">
        <f t="array" ref="J83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30" s="56" t="s">
        <v>345</v>
      </c>
      <c r="L830" s="90" t="s">
        <v>172</v>
      </c>
      <c r="M830" t="s">
        <v>217</v>
      </c>
      <c r="N830" s="15" t="s">
        <v>65</v>
      </c>
      <c r="O830" s="3" t="s">
        <v>973</v>
      </c>
      <c r="P830" s="3" t="s">
        <v>69</v>
      </c>
      <c r="Q830" s="10"/>
      <c r="R830" s="11"/>
      <c r="S830" s="11"/>
      <c r="T830" s="3" t="str">
        <f>IF(AND(ProtocolosAF[[#This Row],[STATUS]]="APROVADO",ProtocolosAF[[#This Row],[BILHETE/EMD]]=""),"Y","")</f>
        <v/>
      </c>
      <c r="U830" t="s">
        <v>1977</v>
      </c>
      <c r="V830" s="16" t="str">
        <f>_xlfn.CONCAT(C830,U830)</f>
        <v>LHVLMYMALAGUETA/ADIR ANTONIO</v>
      </c>
      <c r="W830">
        <v>784</v>
      </c>
    </row>
    <row r="831" spans="1:23" hidden="1">
      <c r="A831" s="1">
        <v>45959</v>
      </c>
      <c r="B831" t="s">
        <v>10</v>
      </c>
      <c r="C831" t="s">
        <v>1975</v>
      </c>
      <c r="D831" s="23" t="s">
        <v>1976</v>
      </c>
      <c r="E831" t="s">
        <v>73</v>
      </c>
      <c r="F831" s="19">
        <v>57994602</v>
      </c>
      <c r="G831" s="53">
        <v>574216446046</v>
      </c>
      <c r="H831" s="89">
        <v>400</v>
      </c>
      <c r="I831" s="3" t="s">
        <v>74</v>
      </c>
      <c r="J831" s="89" cm="1">
        <f t="array" ref="J83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400</v>
      </c>
      <c r="K831" s="56" t="s">
        <v>345</v>
      </c>
      <c r="L831" s="90" t="s">
        <v>172</v>
      </c>
      <c r="M831" t="s">
        <v>43</v>
      </c>
      <c r="N831" s="15" t="s">
        <v>65</v>
      </c>
      <c r="O831" s="3" t="s">
        <v>160</v>
      </c>
      <c r="P831" s="3" t="s">
        <v>69</v>
      </c>
      <c r="Q831" s="10" t="s">
        <v>670</v>
      </c>
      <c r="R831" s="11">
        <v>45961</v>
      </c>
      <c r="S831" s="11" t="s">
        <v>1978</v>
      </c>
      <c r="T831" s="3" t="str">
        <f>IF(AND(ProtocolosAF[[#This Row],[STATUS]]="APROVADO",ProtocolosAF[[#This Row],[BILHETE/EMD]]=""),"Y","")</f>
        <v/>
      </c>
      <c r="U831" t="s">
        <v>1977</v>
      </c>
      <c r="V831" s="16" t="str">
        <f>_xlfn.CONCAT(C831,U831)</f>
        <v>LHVLMYMALAGUETA/ADIR ANTONIO</v>
      </c>
      <c r="W831">
        <v>783</v>
      </c>
    </row>
    <row r="832" spans="1:23" ht="15" hidden="1">
      <c r="A832" s="1">
        <v>45965</v>
      </c>
      <c r="B832" t="s">
        <v>13</v>
      </c>
      <c r="C832" t="s">
        <v>1979</v>
      </c>
      <c r="D832" s="23" t="s">
        <v>1979</v>
      </c>
      <c r="E832" t="s">
        <v>512</v>
      </c>
      <c r="F832" s="19">
        <v>57966204</v>
      </c>
      <c r="G832" s="53">
        <v>572346922819</v>
      </c>
      <c r="H832" s="89">
        <v>1041</v>
      </c>
      <c r="I832" s="3" t="s">
        <v>74</v>
      </c>
      <c r="J832" s="89" cm="1">
        <f t="array" ref="J83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1041</v>
      </c>
      <c r="K832" s="56" t="s">
        <v>1089</v>
      </c>
      <c r="L832" s="90" t="s">
        <v>529</v>
      </c>
      <c r="M832" t="s">
        <v>43</v>
      </c>
      <c r="N832" s="15" t="s">
        <v>1089</v>
      </c>
      <c r="O832" s="3" t="s">
        <v>78</v>
      </c>
      <c r="P832" s="3" t="s">
        <v>503</v>
      </c>
      <c r="Q832" s="10" t="s">
        <v>1954</v>
      </c>
      <c r="R832" s="11">
        <v>45965</v>
      </c>
      <c r="S832" s="11" t="s">
        <v>1980</v>
      </c>
      <c r="T832" s="3" t="str">
        <f>IF(AND(ProtocolosAF[[#This Row],[STATUS]]="APROVADO",ProtocolosAF[[#This Row],[BILHETE/EMD]]=""),"Y","")</f>
        <v/>
      </c>
      <c r="U832" t="s">
        <v>1981</v>
      </c>
      <c r="V832" s="16" t="str">
        <f>_xlfn.CONCAT(C832,U832)</f>
        <v>ZJEOOLBARROS DE LIMA/THIAGO</v>
      </c>
      <c r="W832">
        <v>786</v>
      </c>
    </row>
    <row r="833" spans="1:23" ht="15" hidden="1">
      <c r="A833" s="1">
        <v>45965</v>
      </c>
      <c r="B833" t="s">
        <v>10</v>
      </c>
      <c r="C833" t="s">
        <v>1982</v>
      </c>
      <c r="D833" s="23" t="s">
        <v>1983</v>
      </c>
      <c r="E833" t="s">
        <v>512</v>
      </c>
      <c r="F833" s="19">
        <v>57564931</v>
      </c>
      <c r="G833" s="53">
        <v>575580555483</v>
      </c>
      <c r="H833" s="89">
        <v>259</v>
      </c>
      <c r="I833" s="3" t="s">
        <v>74</v>
      </c>
      <c r="J833" s="89" cm="1">
        <f t="array" ref="J83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259</v>
      </c>
      <c r="K833" s="56" t="s">
        <v>1939</v>
      </c>
      <c r="L833" s="90" t="s">
        <v>76</v>
      </c>
      <c r="M833" t="s">
        <v>43</v>
      </c>
      <c r="N833" s="15" t="s">
        <v>1129</v>
      </c>
      <c r="O833" s="3" t="s">
        <v>1715</v>
      </c>
      <c r="P833" s="3" t="s">
        <v>146</v>
      </c>
      <c r="Q833" s="10" t="s">
        <v>222</v>
      </c>
      <c r="R833" s="11">
        <v>45966</v>
      </c>
      <c r="S833" s="11" t="s">
        <v>1984</v>
      </c>
      <c r="T833" s="3" t="str">
        <f>IF(AND(ProtocolosAF[[#This Row],[STATUS]]="APROVADO",ProtocolosAF[[#This Row],[BILHETE/EMD]]=""),"Y","")</f>
        <v/>
      </c>
      <c r="U833" t="s">
        <v>1985</v>
      </c>
      <c r="V833" s="16" t="str">
        <f>_xlfn.CONCAT(C833,U833)</f>
        <v>YPLKEYABRAHAO NETO/LUIS</v>
      </c>
      <c r="W833">
        <v>787</v>
      </c>
    </row>
    <row r="834" spans="1:23" ht="15" hidden="1">
      <c r="A834" s="1">
        <v>45965</v>
      </c>
      <c r="B834" t="s">
        <v>13</v>
      </c>
      <c r="C834" t="s">
        <v>1986</v>
      </c>
      <c r="D834" s="23" t="s">
        <v>1986</v>
      </c>
      <c r="E834" t="s">
        <v>512</v>
      </c>
      <c r="F834" s="19">
        <v>57966204</v>
      </c>
      <c r="G834" s="53">
        <v>572346922835</v>
      </c>
      <c r="H834" s="89">
        <v>694</v>
      </c>
      <c r="I834" s="3" t="s">
        <v>74</v>
      </c>
      <c r="J834" s="89" cm="1">
        <f t="array" ref="J83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694</v>
      </c>
      <c r="K834" s="56" t="s">
        <v>1089</v>
      </c>
      <c r="L834" s="90" t="s">
        <v>529</v>
      </c>
      <c r="M834" t="s">
        <v>43</v>
      </c>
      <c r="N834" s="15" t="s">
        <v>1089</v>
      </c>
      <c r="O834" s="3" t="s">
        <v>78</v>
      </c>
      <c r="P834" s="3" t="s">
        <v>503</v>
      </c>
      <c r="Q834" s="10" t="s">
        <v>1954</v>
      </c>
      <c r="R834" s="11">
        <v>4</v>
      </c>
      <c r="S834" s="11" t="s">
        <v>1987</v>
      </c>
      <c r="T834" s="3" t="str">
        <f>IF(AND(ProtocolosAF[[#This Row],[STATUS]]="APROVADO",ProtocolosAF[[#This Row],[BILHETE/EMD]]=""),"Y","")</f>
        <v/>
      </c>
      <c r="U834" t="s">
        <v>1988</v>
      </c>
      <c r="V834" s="16" t="str">
        <f>_xlfn.CONCAT(C834,U834)</f>
        <v>AAJR4HMONTALTO GLIKMANAS/MARINA</v>
      </c>
      <c r="W834">
        <v>788</v>
      </c>
    </row>
    <row r="835" spans="1:23" ht="15" hidden="1">
      <c r="A835" s="1">
        <v>45966</v>
      </c>
      <c r="B835" t="s">
        <v>10</v>
      </c>
      <c r="C835" t="s">
        <v>1982</v>
      </c>
      <c r="D835" s="23" t="s">
        <v>1983</v>
      </c>
      <c r="E835" t="s">
        <v>73</v>
      </c>
      <c r="F835" s="19">
        <v>57564931</v>
      </c>
      <c r="G835" s="53">
        <v>574230984723</v>
      </c>
      <c r="H835" s="89">
        <v>402</v>
      </c>
      <c r="I835" s="3" t="s">
        <v>74</v>
      </c>
      <c r="J835" s="89" cm="1">
        <f t="array" ref="J83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402</v>
      </c>
      <c r="K835" s="56" t="s">
        <v>1771</v>
      </c>
      <c r="L835" s="90" t="s">
        <v>172</v>
      </c>
      <c r="M835" t="s">
        <v>43</v>
      </c>
      <c r="N835" s="15" t="s">
        <v>65</v>
      </c>
      <c r="O835" s="3" t="s">
        <v>1715</v>
      </c>
      <c r="P835" s="3" t="s">
        <v>146</v>
      </c>
      <c r="Q835" s="10" t="s">
        <v>670</v>
      </c>
      <c r="R835" s="11">
        <v>45967</v>
      </c>
      <c r="S835" s="11" t="s">
        <v>1989</v>
      </c>
      <c r="T835" s="3" t="str">
        <f>IF(AND(ProtocolosAF[[#This Row],[STATUS]]="APROVADO",ProtocolosAF[[#This Row],[BILHETE/EMD]]=""),"Y","")</f>
        <v/>
      </c>
      <c r="U835" t="s">
        <v>1985</v>
      </c>
      <c r="V835" s="16" t="str">
        <f>_xlfn.CONCAT(C835,U835)</f>
        <v>YPLKEYABRAHAO NETO/LUIS</v>
      </c>
      <c r="W835">
        <v>789</v>
      </c>
    </row>
    <row r="836" spans="1:23" ht="15" hidden="1">
      <c r="A836" s="1">
        <v>45974</v>
      </c>
      <c r="B836" t="s">
        <v>10</v>
      </c>
      <c r="C836" t="s">
        <v>1975</v>
      </c>
      <c r="D836" s="23" t="s">
        <v>1976</v>
      </c>
      <c r="E836" t="s">
        <v>512</v>
      </c>
      <c r="F836" s="19">
        <v>57564931</v>
      </c>
      <c r="G836" s="53">
        <v>575580604938</v>
      </c>
      <c r="H836" s="89">
        <v>260</v>
      </c>
      <c r="I836" s="3" t="s">
        <v>74</v>
      </c>
      <c r="J836" s="89" cm="1">
        <f t="array" ref="J83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260</v>
      </c>
      <c r="K836" s="56" t="s">
        <v>1939</v>
      </c>
      <c r="L836" s="90" t="s">
        <v>76</v>
      </c>
      <c r="M836" t="s">
        <v>43</v>
      </c>
      <c r="N836" s="15" t="s">
        <v>1129</v>
      </c>
      <c r="O836" s="3" t="s">
        <v>973</v>
      </c>
      <c r="P836" s="3" t="s">
        <v>146</v>
      </c>
      <c r="Q836" s="10" t="s">
        <v>222</v>
      </c>
      <c r="R836" s="11">
        <v>45975</v>
      </c>
      <c r="S836" s="11" t="s">
        <v>1990</v>
      </c>
      <c r="T836" s="3" t="str">
        <f>IF(AND(ProtocolosAF[[#This Row],[STATUS]]="APROVADO",ProtocolosAF[[#This Row],[BILHETE/EMD]]=""),"Y","")</f>
        <v/>
      </c>
      <c r="U836" t="s">
        <v>1977</v>
      </c>
      <c r="V836" s="16" t="str">
        <f>_xlfn.CONCAT(C836,U836)</f>
        <v>LHVLMYMALAGUETA/ADIR ANTONIO</v>
      </c>
      <c r="W836">
        <v>790</v>
      </c>
    </row>
    <row r="837" spans="1:23" ht="15" hidden="1">
      <c r="A837" s="1">
        <v>45979</v>
      </c>
      <c r="B837" t="s">
        <v>11</v>
      </c>
      <c r="C837" t="s">
        <v>1991</v>
      </c>
      <c r="D837" s="23" t="s">
        <v>1992</v>
      </c>
      <c r="E837" t="s">
        <v>73</v>
      </c>
      <c r="F837" s="19"/>
      <c r="G837" s="53"/>
      <c r="H837" s="89">
        <v>224</v>
      </c>
      <c r="I837" s="3" t="s">
        <v>74</v>
      </c>
      <c r="J837" s="89" t="str" cm="1">
        <f t="array" ref="J83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37" s="56" t="s">
        <v>1007</v>
      </c>
      <c r="L837" s="90" t="s">
        <v>172</v>
      </c>
      <c r="M837" t="s">
        <v>217</v>
      </c>
      <c r="N837" s="15" t="s">
        <v>1458</v>
      </c>
      <c r="O837" s="3" t="s">
        <v>1993</v>
      </c>
      <c r="P837" s="3" t="s">
        <v>146</v>
      </c>
      <c r="Q837" s="10"/>
      <c r="R837" s="11"/>
      <c r="S837" s="11"/>
      <c r="T837" s="3" t="str">
        <f>IF(AND(ProtocolosAF[[#This Row],[STATUS]]="APROVADO",ProtocolosAF[[#This Row],[BILHETE/EMD]]=""),"Y","")</f>
        <v/>
      </c>
      <c r="U837" t="s">
        <v>1994</v>
      </c>
      <c r="V837" s="16" t="str">
        <f>_xlfn.CONCAT(C837,U837)</f>
        <v>BU3VSJSANCHES FREITAS/RENAN</v>
      </c>
      <c r="W837">
        <v>791</v>
      </c>
    </row>
    <row r="838" spans="1:23" ht="15" hidden="1">
      <c r="A838" s="1">
        <v>45982</v>
      </c>
      <c r="B838" t="s">
        <v>12</v>
      </c>
      <c r="C838" t="s">
        <v>1995</v>
      </c>
      <c r="D838" s="23" t="s">
        <v>1995</v>
      </c>
      <c r="E838" t="s">
        <v>512</v>
      </c>
      <c r="F838" s="19"/>
      <c r="G838" s="53"/>
      <c r="H838" s="89">
        <v>175</v>
      </c>
      <c r="I838" s="3" t="s">
        <v>74</v>
      </c>
      <c r="J838" s="89" t="str" cm="1">
        <f t="array" ref="J83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38" s="56" t="s">
        <v>1996</v>
      </c>
      <c r="L838" s="90" t="s">
        <v>172</v>
      </c>
      <c r="M838" t="s">
        <v>100</v>
      </c>
      <c r="N838" s="15" t="s">
        <v>1096</v>
      </c>
      <c r="O838" s="3" t="s">
        <v>78</v>
      </c>
      <c r="P838" s="3" t="s">
        <v>69</v>
      </c>
      <c r="Q838" s="10"/>
      <c r="R838" s="11"/>
      <c r="S838" s="11"/>
      <c r="T838" s="3" t="str">
        <f>IF(AND(ProtocolosAF[[#This Row],[STATUS]]="APROVADO",ProtocolosAF[[#This Row],[BILHETE/EMD]]=""),"Y","")</f>
        <v/>
      </c>
      <c r="U838" t="s">
        <v>1997</v>
      </c>
      <c r="V838" s="16" t="str">
        <f>_xlfn.CONCAT(C838,U838)</f>
        <v>A4LA6HKOSIAK POITEVIN/MICHELLE</v>
      </c>
      <c r="W838">
        <v>794</v>
      </c>
    </row>
    <row r="839" spans="1:23" ht="15" hidden="1">
      <c r="A839" s="1">
        <v>45982</v>
      </c>
      <c r="B839" t="s">
        <v>12</v>
      </c>
      <c r="C839" t="s">
        <v>1995</v>
      </c>
      <c r="D839" s="23" t="s">
        <v>1995</v>
      </c>
      <c r="E839" t="s">
        <v>512</v>
      </c>
      <c r="F839" s="19"/>
      <c r="G839" s="53"/>
      <c r="H839" s="89">
        <v>175</v>
      </c>
      <c r="I839" s="3" t="s">
        <v>74</v>
      </c>
      <c r="J839" s="89" t="str" cm="1">
        <f t="array" ref="J83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39" s="56" t="s">
        <v>1996</v>
      </c>
      <c r="L839" s="90" t="s">
        <v>172</v>
      </c>
      <c r="M839" t="s">
        <v>100</v>
      </c>
      <c r="N839" s="15" t="s">
        <v>1096</v>
      </c>
      <c r="O839" s="3" t="s">
        <v>78</v>
      </c>
      <c r="P839" s="3" t="s">
        <v>69</v>
      </c>
      <c r="Q839" s="10"/>
      <c r="R839" s="11"/>
      <c r="S839" s="11"/>
      <c r="T839" s="3" t="str">
        <f>IF(AND(ProtocolosAF[[#This Row],[STATUS]]="APROVADO",ProtocolosAF[[#This Row],[BILHETE/EMD]]=""),"Y","")</f>
        <v/>
      </c>
      <c r="U839" t="s">
        <v>1998</v>
      </c>
      <c r="V839" s="16" t="str">
        <f>_xlfn.CONCAT(C839,U839)</f>
        <v>A4LA6HKOSIAK POITEVIN/SUELY DO ROCIO</v>
      </c>
      <c r="W839">
        <v>794</v>
      </c>
    </row>
    <row r="840" spans="1:23" ht="15" hidden="1">
      <c r="A840" s="1">
        <v>45986</v>
      </c>
      <c r="B840" t="s">
        <v>13</v>
      </c>
      <c r="C840" t="s">
        <v>1962</v>
      </c>
      <c r="D840" s="23" t="s">
        <v>1962</v>
      </c>
      <c r="E840" t="s">
        <v>207</v>
      </c>
      <c r="F840" s="19">
        <v>57994602</v>
      </c>
      <c r="G840" s="53">
        <v>574216446083</v>
      </c>
      <c r="H840" s="89">
        <v>200</v>
      </c>
      <c r="I840" s="3" t="s">
        <v>74</v>
      </c>
      <c r="J840" s="89" cm="1">
        <f t="array" ref="J84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200</v>
      </c>
      <c r="K840" s="56" t="s">
        <v>1089</v>
      </c>
      <c r="L840" s="90" t="s">
        <v>172</v>
      </c>
      <c r="M840" t="s">
        <v>43</v>
      </c>
      <c r="N840" s="15" t="s">
        <v>1089</v>
      </c>
      <c r="O840" s="3" t="s">
        <v>711</v>
      </c>
      <c r="P840" s="3" t="s">
        <v>46</v>
      </c>
      <c r="Q840" s="10" t="s">
        <v>1954</v>
      </c>
      <c r="R840" s="11">
        <v>45986</v>
      </c>
      <c r="S840" s="11" t="s">
        <v>1999</v>
      </c>
      <c r="T840" s="3" t="str">
        <f>IF(AND(ProtocolosAF[[#This Row],[STATUS]]="APROVADO",ProtocolosAF[[#This Row],[BILHETE/EMD]]=""),"Y","")</f>
        <v/>
      </c>
      <c r="U840" t="s">
        <v>1964</v>
      </c>
      <c r="V840" s="16" t="str">
        <f>_xlfn.CONCAT(C840,U840)</f>
        <v>B9C3FRALI ASFOUR/HUSSEIN</v>
      </c>
      <c r="W840">
        <v>795</v>
      </c>
    </row>
    <row r="841" spans="1:23" ht="15" hidden="1">
      <c r="A841" s="1">
        <v>45986</v>
      </c>
      <c r="B841" t="s">
        <v>11</v>
      </c>
      <c r="C841" t="s">
        <v>2000</v>
      </c>
      <c r="D841" s="23" t="s">
        <v>2001</v>
      </c>
      <c r="E841" t="s">
        <v>512</v>
      </c>
      <c r="F841" s="19">
        <v>57966204</v>
      </c>
      <c r="G841" s="53">
        <v>572348190402</v>
      </c>
      <c r="H841" s="89">
        <v>300</v>
      </c>
      <c r="I841" s="3" t="s">
        <v>74</v>
      </c>
      <c r="J841" s="89" cm="1">
        <f t="array" ref="J84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300</v>
      </c>
      <c r="K841" s="56" t="s">
        <v>2002</v>
      </c>
      <c r="L841" s="90" t="s">
        <v>529</v>
      </c>
      <c r="M841" t="s">
        <v>43</v>
      </c>
      <c r="N841" s="15" t="s">
        <v>1458</v>
      </c>
      <c r="O841" s="3" t="s">
        <v>78</v>
      </c>
      <c r="P841" s="3" t="s">
        <v>146</v>
      </c>
      <c r="Q841" s="10" t="s">
        <v>2003</v>
      </c>
      <c r="R841" s="11">
        <v>45987</v>
      </c>
      <c r="S841" s="11" t="s">
        <v>2004</v>
      </c>
      <c r="T841" s="3" t="str">
        <f>IF(AND(ProtocolosAF[[#This Row],[STATUS]]="APROVADO",ProtocolosAF[[#This Row],[BILHETE/EMD]]=""),"Y","")</f>
        <v/>
      </c>
      <c r="U841" t="s">
        <v>2005</v>
      </c>
      <c r="V841" s="16" t="str">
        <f>_xlfn.CONCAT(C841,U841)</f>
        <v>BC366YDINIZ AGOSTINHO/DOMINIQUE</v>
      </c>
      <c r="W841">
        <v>796</v>
      </c>
    </row>
    <row r="842" spans="1:23" ht="15" hidden="1">
      <c r="A842" s="1">
        <v>45996</v>
      </c>
      <c r="B842" t="s">
        <v>14</v>
      </c>
      <c r="C842" t="s">
        <v>2006</v>
      </c>
      <c r="D842" s="23" t="s">
        <v>2007</v>
      </c>
      <c r="E842" t="s">
        <v>73</v>
      </c>
      <c r="F842" s="19">
        <v>57994602</v>
      </c>
      <c r="G842" s="53">
        <v>574216446130</v>
      </c>
      <c r="H842" s="89">
        <v>151</v>
      </c>
      <c r="I842" s="3" t="s">
        <v>74</v>
      </c>
      <c r="J842" s="89" cm="1">
        <f t="array" ref="J84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151</v>
      </c>
      <c r="K842" s="56" t="s">
        <v>1279</v>
      </c>
      <c r="L842" s="90" t="s">
        <v>172</v>
      </c>
      <c r="M842" t="s">
        <v>43</v>
      </c>
      <c r="N842" s="15" t="s">
        <v>1279</v>
      </c>
      <c r="O842" s="3" t="s">
        <v>2008</v>
      </c>
      <c r="P842" s="3" t="s">
        <v>46</v>
      </c>
      <c r="Q842" s="10" t="s">
        <v>1913</v>
      </c>
      <c r="R842" s="11">
        <v>46002</v>
      </c>
      <c r="S842" s="11" t="s">
        <v>2009</v>
      </c>
      <c r="T842" s="3" t="str">
        <f>IF(AND(ProtocolosAF[[#This Row],[STATUS]]="APROVADO",ProtocolosAF[[#This Row],[BILHETE/EMD]]=""),"Y","")</f>
        <v/>
      </c>
      <c r="U842" t="s">
        <v>2010</v>
      </c>
      <c r="V842" s="16" t="str">
        <f>_xlfn.CONCAT(C842,U842)</f>
        <v>BWNO6MCUOGHI PACINI/EDUARDO</v>
      </c>
      <c r="W842">
        <v>797</v>
      </c>
    </row>
    <row r="843" spans="1:23" ht="15" hidden="1">
      <c r="A843" s="1">
        <v>45996</v>
      </c>
      <c r="B843" t="s">
        <v>14</v>
      </c>
      <c r="C843" t="s">
        <v>2006</v>
      </c>
      <c r="D843" s="23" t="s">
        <v>2007</v>
      </c>
      <c r="E843" t="s">
        <v>73</v>
      </c>
      <c r="F843" s="19">
        <v>57994602</v>
      </c>
      <c r="G843" s="53">
        <v>574216446131</v>
      </c>
      <c r="H843" s="89">
        <v>151</v>
      </c>
      <c r="I843" s="3" t="s">
        <v>74</v>
      </c>
      <c r="J843" s="89" cm="1">
        <f t="array" ref="J84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151</v>
      </c>
      <c r="K843" s="56" t="s">
        <v>1279</v>
      </c>
      <c r="L843" s="90" t="s">
        <v>172</v>
      </c>
      <c r="M843" t="s">
        <v>43</v>
      </c>
      <c r="N843" s="15" t="s">
        <v>1279</v>
      </c>
      <c r="O843" s="3" t="s">
        <v>2008</v>
      </c>
      <c r="P843" s="3" t="s">
        <v>46</v>
      </c>
      <c r="Q843" s="10" t="s">
        <v>1913</v>
      </c>
      <c r="R843" s="11">
        <v>46002</v>
      </c>
      <c r="S843" s="11" t="s">
        <v>2009</v>
      </c>
      <c r="T843" s="3" t="str">
        <f>IF(AND(ProtocolosAF[[#This Row],[STATUS]]="APROVADO",ProtocolosAF[[#This Row],[BILHETE/EMD]]=""),"Y","")</f>
        <v/>
      </c>
      <c r="U843" t="s">
        <v>2011</v>
      </c>
      <c r="V843" s="16" t="str">
        <f>_xlfn.CONCAT(C843,U843)</f>
        <v>BWNO6MCUOGHI PRIETO/CYBELLE</v>
      </c>
      <c r="W843">
        <v>797</v>
      </c>
    </row>
    <row r="844" spans="1:23" ht="15" hidden="1">
      <c r="A844" s="1">
        <v>46034</v>
      </c>
      <c r="B844" t="s">
        <v>10</v>
      </c>
      <c r="C844" t="s">
        <v>2012</v>
      </c>
      <c r="D844" s="23" t="s">
        <v>2012</v>
      </c>
      <c r="E844" t="s">
        <v>512</v>
      </c>
      <c r="F844" s="19"/>
      <c r="G844" s="53"/>
      <c r="H844" s="89">
        <v>129</v>
      </c>
      <c r="I844" s="3" t="s">
        <v>74</v>
      </c>
      <c r="J844" s="89" t="str" cm="1">
        <f t="array" ref="J84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44" s="56" t="s">
        <v>1939</v>
      </c>
      <c r="L844" s="90" t="s">
        <v>76</v>
      </c>
      <c r="M844" t="s">
        <v>217</v>
      </c>
      <c r="N844" s="15" t="s">
        <v>1129</v>
      </c>
      <c r="O844" s="3" t="s">
        <v>78</v>
      </c>
      <c r="P844" s="3" t="s">
        <v>146</v>
      </c>
      <c r="Q844" s="10"/>
      <c r="R844" s="11"/>
      <c r="S844" s="11"/>
      <c r="T844" s="3" t="str">
        <f>IF(AND(ProtocolosAF[[#This Row],[STATUS]]="APROVADO",ProtocolosAF[[#This Row],[BILHETE/EMD]]=""),"Y","")</f>
        <v/>
      </c>
      <c r="U844" t="s">
        <v>2013</v>
      </c>
      <c r="V844" s="16" t="str">
        <f>_xlfn.CONCAT(C844,U844)</f>
        <v>B97XPKPASSOS SILVA/ANDREA ALICE</v>
      </c>
      <c r="W844">
        <v>798</v>
      </c>
    </row>
    <row r="845" spans="1:23" ht="15" hidden="1">
      <c r="A845" s="1">
        <v>46034</v>
      </c>
      <c r="B845" t="s">
        <v>10</v>
      </c>
      <c r="C845" t="s">
        <v>2014</v>
      </c>
      <c r="D845" s="23" t="s">
        <v>2015</v>
      </c>
      <c r="E845" t="s">
        <v>512</v>
      </c>
      <c r="F845" s="19"/>
      <c r="G845" s="53"/>
      <c r="H845" s="89">
        <v>215</v>
      </c>
      <c r="I845" s="3" t="s">
        <v>74</v>
      </c>
      <c r="J845" s="89" t="str" cm="1">
        <f t="array" ref="J84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45" s="56" t="s">
        <v>1789</v>
      </c>
      <c r="L845" s="90" t="s">
        <v>529</v>
      </c>
      <c r="M845" t="s">
        <v>100</v>
      </c>
      <c r="N845" s="15" t="s">
        <v>65</v>
      </c>
      <c r="O845" s="3" t="s">
        <v>2016</v>
      </c>
      <c r="P845" s="3" t="s">
        <v>46</v>
      </c>
      <c r="Q845" s="10"/>
      <c r="R845" s="11"/>
      <c r="S845" s="11"/>
      <c r="T845" s="3" t="str">
        <f>IF(AND(ProtocolosAF[[#This Row],[STATUS]]="APROVADO",ProtocolosAF[[#This Row],[BILHETE/EMD]]=""),"Y","")</f>
        <v/>
      </c>
      <c r="U845" t="s">
        <v>2017</v>
      </c>
      <c r="V845" s="16" t="str">
        <f>_xlfn.CONCAT(C845,U845)</f>
        <v>IBJUBIRAMOS FREDDI/MARIA RITA</v>
      </c>
      <c r="W845">
        <v>799</v>
      </c>
    </row>
    <row r="846" spans="1:23" ht="15" hidden="1">
      <c r="A846" s="1">
        <v>46034</v>
      </c>
      <c r="B846" t="s">
        <v>10</v>
      </c>
      <c r="C846" t="s">
        <v>2014</v>
      </c>
      <c r="D846" s="23" t="s">
        <v>2015</v>
      </c>
      <c r="E846" t="s">
        <v>512</v>
      </c>
      <c r="F846" s="19"/>
      <c r="G846" s="53"/>
      <c r="H846" s="89">
        <v>215</v>
      </c>
      <c r="I846" s="3" t="s">
        <v>74</v>
      </c>
      <c r="J846" s="89" t="str" cm="1">
        <f t="array" ref="J84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46" s="56" t="s">
        <v>1789</v>
      </c>
      <c r="L846" s="90" t="s">
        <v>529</v>
      </c>
      <c r="M846" t="s">
        <v>100</v>
      </c>
      <c r="N846" s="15" t="s">
        <v>65</v>
      </c>
      <c r="O846" s="3" t="s">
        <v>2016</v>
      </c>
      <c r="P846" s="3" t="s">
        <v>46</v>
      </c>
      <c r="Q846" s="10"/>
      <c r="R846" s="11"/>
      <c r="S846" s="11"/>
      <c r="T846" s="3" t="str">
        <f>IF(AND(ProtocolosAF[[#This Row],[STATUS]]="APROVADO",ProtocolosAF[[#This Row],[BILHETE/EMD]]=""),"Y","")</f>
        <v/>
      </c>
      <c r="U846" t="s">
        <v>2018</v>
      </c>
      <c r="V846" s="16" t="str">
        <f>_xlfn.CONCAT(C846,U846)</f>
        <v>IBJUBIRAMOS/MARIA JOSE</v>
      </c>
      <c r="W846">
        <v>799</v>
      </c>
    </row>
    <row r="847" spans="1:23" ht="15" hidden="1">
      <c r="A847" s="1">
        <v>46042</v>
      </c>
      <c r="B847" t="s">
        <v>10</v>
      </c>
      <c r="C847" t="s">
        <v>2019</v>
      </c>
      <c r="D847" s="23" t="s">
        <v>2019</v>
      </c>
      <c r="E847" t="s">
        <v>73</v>
      </c>
      <c r="F847" s="19"/>
      <c r="G847" s="53"/>
      <c r="H847" s="89">
        <v>400</v>
      </c>
      <c r="I847" s="3" t="s">
        <v>74</v>
      </c>
      <c r="J847" s="89" t="str" cm="1">
        <f t="array" ref="J84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47" s="56" t="s">
        <v>1789</v>
      </c>
      <c r="L847" s="90" t="s">
        <v>172</v>
      </c>
      <c r="M847" t="s">
        <v>100</v>
      </c>
      <c r="N847" s="15" t="s">
        <v>65</v>
      </c>
      <c r="O847" s="3" t="s">
        <v>769</v>
      </c>
      <c r="P847" s="3" t="s">
        <v>69</v>
      </c>
      <c r="Q847" s="10"/>
      <c r="R847" s="11"/>
      <c r="S847" s="11"/>
      <c r="T847" s="3" t="str">
        <f>IF(AND(ProtocolosAF[[#This Row],[STATUS]]="APROVADO",ProtocolosAF[[#This Row],[BILHETE/EMD]]=""),"Y","")</f>
        <v/>
      </c>
      <c r="U847" t="s">
        <v>2020</v>
      </c>
      <c r="V847" s="16" t="str">
        <f>_xlfn.CONCAT(C847,U847)</f>
        <v>AQ3PA9BURLAMAQUI LYRA/RAPHAELLA</v>
      </c>
      <c r="W847">
        <v>800</v>
      </c>
    </row>
    <row r="848" spans="1:23" ht="15" hidden="1">
      <c r="A848" s="1">
        <v>46042</v>
      </c>
      <c r="B848" t="s">
        <v>10</v>
      </c>
      <c r="C848" t="s">
        <v>2019</v>
      </c>
      <c r="D848" s="23" t="s">
        <v>2019</v>
      </c>
      <c r="E848" t="s">
        <v>73</v>
      </c>
      <c r="F848" s="19"/>
      <c r="G848" s="53"/>
      <c r="H848" s="89">
        <v>400</v>
      </c>
      <c r="I848" s="3" t="s">
        <v>74</v>
      </c>
      <c r="J848" s="89" t="str" cm="1">
        <f t="array" ref="J84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48" s="56" t="s">
        <v>1789</v>
      </c>
      <c r="L848" s="90" t="s">
        <v>172</v>
      </c>
      <c r="M848" t="s">
        <v>100</v>
      </c>
      <c r="N848" s="15" t="s">
        <v>65</v>
      </c>
      <c r="O848" s="3" t="s">
        <v>769</v>
      </c>
      <c r="P848" s="3" t="s">
        <v>69</v>
      </c>
      <c r="Q848" s="10"/>
      <c r="R848" s="11"/>
      <c r="S848" s="11"/>
      <c r="T848" s="3" t="str">
        <f>IF(AND(ProtocolosAF[[#This Row],[STATUS]]="APROVADO",ProtocolosAF[[#This Row],[BILHETE/EMD]]=""),"Y","")</f>
        <v/>
      </c>
      <c r="U848" t="s">
        <v>2021</v>
      </c>
      <c r="V848" s="16" t="str">
        <f>_xlfn.CONCAT(C848,U848)</f>
        <v>AQ3PA9DE OLIVEIRA LYRA FILHO/MILTON</v>
      </c>
      <c r="W848">
        <v>800</v>
      </c>
    </row>
    <row r="849" spans="1:23" ht="15" hidden="1">
      <c r="A849" s="1">
        <v>46042</v>
      </c>
      <c r="B849" t="s">
        <v>10</v>
      </c>
      <c r="C849" t="s">
        <v>2019</v>
      </c>
      <c r="D849" s="23" t="s">
        <v>2019</v>
      </c>
      <c r="E849" t="s">
        <v>73</v>
      </c>
      <c r="F849" s="19"/>
      <c r="G849" s="53"/>
      <c r="H849" s="89">
        <v>400</v>
      </c>
      <c r="I849" s="3" t="s">
        <v>74</v>
      </c>
      <c r="J849" s="89" t="str" cm="1">
        <f t="array" ref="J84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49" s="56" t="s">
        <v>1789</v>
      </c>
      <c r="L849" s="90" t="s">
        <v>172</v>
      </c>
      <c r="M849" t="s">
        <v>100</v>
      </c>
      <c r="N849" s="15" t="s">
        <v>65</v>
      </c>
      <c r="O849" s="3" t="s">
        <v>769</v>
      </c>
      <c r="P849" s="3" t="s">
        <v>69</v>
      </c>
      <c r="Q849" s="10"/>
      <c r="R849" s="11"/>
      <c r="S849" s="11"/>
      <c r="T849" s="3" t="str">
        <f>IF(AND(ProtocolosAF[[#This Row],[STATUS]]="APROVADO",ProtocolosAF[[#This Row],[BILHETE/EMD]]=""),"Y","")</f>
        <v/>
      </c>
      <c r="U849" t="s">
        <v>2022</v>
      </c>
      <c r="V849" s="16" t="str">
        <f>_xlfn.CONCAT(C849,U849)</f>
        <v>AQ3PA9MIRANDA LYRA/DANIELA</v>
      </c>
      <c r="W849">
        <v>800</v>
      </c>
    </row>
    <row r="850" spans="1:23" ht="15" hidden="1">
      <c r="A850" s="1">
        <v>46071</v>
      </c>
      <c r="B850" t="s">
        <v>13</v>
      </c>
      <c r="C850" t="s">
        <v>2023</v>
      </c>
      <c r="D850" s="23" t="s">
        <v>2023</v>
      </c>
      <c r="E850" t="s">
        <v>73</v>
      </c>
      <c r="F850" s="19"/>
      <c r="G850" s="53"/>
      <c r="H850" s="89">
        <v>400</v>
      </c>
      <c r="I850" s="3" t="s">
        <v>74</v>
      </c>
      <c r="J850" s="89" t="str" cm="1">
        <f t="array" ref="J85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50" s="56" t="s">
        <v>2024</v>
      </c>
      <c r="L850" s="90" t="s">
        <v>76</v>
      </c>
      <c r="M850" t="s">
        <v>100</v>
      </c>
      <c r="N850" s="15" t="s">
        <v>1089</v>
      </c>
      <c r="O850" s="3" t="s">
        <v>1337</v>
      </c>
      <c r="P850" s="3" t="s">
        <v>46</v>
      </c>
      <c r="Q850" s="10"/>
      <c r="R850" s="11"/>
      <c r="S850" s="11"/>
      <c r="T850" s="3" t="str">
        <f>IF(AND(ProtocolosAF[[#This Row],[STATUS]]="APROVADO",ProtocolosAF[[#This Row],[BILHETE/EMD]]=""),"Y","")</f>
        <v/>
      </c>
      <c r="U850" t="s">
        <v>2025</v>
      </c>
      <c r="V850" s="16" t="str">
        <f>_xlfn.CONCAT(C850,U850)</f>
        <v>AXHJTMGOTHARD/ROBERTO CARLOS</v>
      </c>
      <c r="W850">
        <v>801</v>
      </c>
    </row>
    <row r="851" spans="1:23" ht="15" hidden="1">
      <c r="A851" s="1">
        <v>46071</v>
      </c>
      <c r="B851" t="s">
        <v>13</v>
      </c>
      <c r="C851" t="s">
        <v>2023</v>
      </c>
      <c r="D851" s="23" t="s">
        <v>2023</v>
      </c>
      <c r="E851" t="s">
        <v>73</v>
      </c>
      <c r="F851" s="19"/>
      <c r="G851" s="53"/>
      <c r="H851" s="89">
        <v>400</v>
      </c>
      <c r="I851" s="3" t="s">
        <v>74</v>
      </c>
      <c r="J851" s="89" t="str" cm="1">
        <f t="array" ref="J85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51" s="56" t="s">
        <v>2024</v>
      </c>
      <c r="L851" s="90" t="s">
        <v>76</v>
      </c>
      <c r="M851" t="s">
        <v>100</v>
      </c>
      <c r="N851" s="15" t="s">
        <v>1089</v>
      </c>
      <c r="O851" s="3" t="s">
        <v>1337</v>
      </c>
      <c r="P851" s="3" t="s">
        <v>46</v>
      </c>
      <c r="Q851" s="10"/>
      <c r="R851" s="11"/>
      <c r="S851" s="11"/>
      <c r="T851" s="3" t="str">
        <f>IF(AND(ProtocolosAF[[#This Row],[STATUS]]="APROVADO",ProtocolosAF[[#This Row],[BILHETE/EMD]]=""),"Y","")</f>
        <v/>
      </c>
      <c r="U851" t="s">
        <v>2026</v>
      </c>
      <c r="V851" s="16" t="str">
        <f>_xlfn.CONCAT(C851,U851)</f>
        <v>AXHJTMGOTHARD/SONIA</v>
      </c>
      <c r="W851">
        <v>801</v>
      </c>
    </row>
    <row r="852" spans="1:23" ht="15" hidden="1">
      <c r="A852" s="1">
        <v>46090</v>
      </c>
      <c r="B852" t="s">
        <v>14</v>
      </c>
      <c r="C852" t="s">
        <v>2027</v>
      </c>
      <c r="D852" s="23" t="s">
        <v>2027</v>
      </c>
      <c r="E852" t="s">
        <v>512</v>
      </c>
      <c r="F852" s="19">
        <v>57564931</v>
      </c>
      <c r="G852" s="53">
        <v>575010639899</v>
      </c>
      <c r="H852" s="89">
        <v>259</v>
      </c>
      <c r="I852" s="3" t="s">
        <v>74</v>
      </c>
      <c r="J852" s="89" cm="1">
        <f t="array" ref="J85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259</v>
      </c>
      <c r="K852" s="56" t="s">
        <v>2028</v>
      </c>
      <c r="L852" s="90" t="s">
        <v>529</v>
      </c>
      <c r="M852" t="s">
        <v>43</v>
      </c>
      <c r="N852" s="15" t="s">
        <v>1096</v>
      </c>
      <c r="O852" s="3" t="s">
        <v>78</v>
      </c>
      <c r="P852" s="3" t="s">
        <v>146</v>
      </c>
      <c r="Q852" s="10" t="s">
        <v>2029</v>
      </c>
      <c r="R852" s="11">
        <v>46098</v>
      </c>
      <c r="S852" s="11" t="s">
        <v>2030</v>
      </c>
      <c r="T852" s="3" t="str">
        <f>IF(AND(ProtocolosAF[[#This Row],[STATUS]]="APROVADO",ProtocolosAF[[#This Row],[BILHETE/EMD]]=""),"Y","")</f>
        <v/>
      </c>
      <c r="U852" t="s">
        <v>2031</v>
      </c>
      <c r="V852" s="16" t="str">
        <f>_xlfn.CONCAT(C852,U852)</f>
        <v>B2AUCMDIAS VIDAL BONORA/ADRIANA</v>
      </c>
      <c r="W852">
        <v>802</v>
      </c>
    </row>
    <row r="853" spans="1:23" ht="15" hidden="1">
      <c r="A853" s="1">
        <v>46094</v>
      </c>
      <c r="B853" t="s">
        <v>10</v>
      </c>
      <c r="C853" t="s">
        <v>2032</v>
      </c>
      <c r="D853" s="23" t="s">
        <v>2033</v>
      </c>
      <c r="E853" t="s">
        <v>512</v>
      </c>
      <c r="F853" s="19">
        <v>57564931</v>
      </c>
      <c r="G853" s="53">
        <v>579552293581</v>
      </c>
      <c r="H853" s="89">
        <v>216</v>
      </c>
      <c r="I853" s="3" t="s">
        <v>74</v>
      </c>
      <c r="J853" s="89" cm="1">
        <f t="array" ref="J85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216</v>
      </c>
      <c r="K853" s="56" t="s">
        <v>345</v>
      </c>
      <c r="L853" s="90" t="s">
        <v>529</v>
      </c>
      <c r="M853" t="s">
        <v>43</v>
      </c>
      <c r="N853" s="15" t="s">
        <v>1129</v>
      </c>
      <c r="O853" s="3" t="s">
        <v>307</v>
      </c>
      <c r="P853" s="3" t="s">
        <v>69</v>
      </c>
      <c r="Q853" s="10" t="s">
        <v>222</v>
      </c>
      <c r="R853" s="11">
        <v>46097</v>
      </c>
      <c r="S853" s="11" t="s">
        <v>2034</v>
      </c>
      <c r="T853" s="3" t="str">
        <f>IF(AND(ProtocolosAF[[#This Row],[STATUS]]="APROVADO",ProtocolosAF[[#This Row],[BILHETE/EMD]]=""),"Y","")</f>
        <v/>
      </c>
      <c r="U853" t="s">
        <v>2035</v>
      </c>
      <c r="V853" s="16" t="str">
        <f>_xlfn.CONCAT(C853,U853)</f>
        <v>YMTPBEDE ANGELI/RODRIGO</v>
      </c>
      <c r="W853">
        <v>805</v>
      </c>
    </row>
    <row r="854" spans="1:23" ht="15" hidden="1">
      <c r="A854" s="1">
        <v>46099</v>
      </c>
      <c r="B854" t="s">
        <v>13</v>
      </c>
      <c r="C854" t="s">
        <v>2036</v>
      </c>
      <c r="D854" s="23" t="s">
        <v>2037</v>
      </c>
      <c r="E854" t="s">
        <v>41</v>
      </c>
      <c r="F854" s="19"/>
      <c r="G854" s="92"/>
      <c r="H854" s="89">
        <v>4598</v>
      </c>
      <c r="I854" s="93">
        <v>0.08</v>
      </c>
      <c r="J854" s="89" t="str" cm="1">
        <f t="array" ref="J85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54" t="s">
        <v>1355</v>
      </c>
      <c r="L854" s="90" t="s">
        <v>76</v>
      </c>
      <c r="M854" t="s">
        <v>217</v>
      </c>
      <c r="N854" t="s">
        <v>1089</v>
      </c>
      <c r="O854" s="3" t="s">
        <v>68</v>
      </c>
      <c r="P854" s="3" t="s">
        <v>46</v>
      </c>
      <c r="Q854" s="10"/>
      <c r="R854" s="11"/>
      <c r="S854" s="10"/>
      <c r="T854" s="3"/>
      <c r="V854" s="16" t="str">
        <f>_xlfn.CONCAT(C854,U854)</f>
        <v>JPLZSS</v>
      </c>
    </row>
    <row r="855" spans="1:23" ht="15" hidden="1">
      <c r="A855" s="1">
        <v>46100</v>
      </c>
      <c r="B855" t="s">
        <v>14</v>
      </c>
      <c r="C855" t="s">
        <v>2038</v>
      </c>
      <c r="D855" s="23" t="s">
        <v>2039</v>
      </c>
      <c r="E855" t="s">
        <v>512</v>
      </c>
      <c r="F855" s="19">
        <v>57966204</v>
      </c>
      <c r="G855" s="92">
        <v>572354581822</v>
      </c>
      <c r="H855" s="89">
        <v>131</v>
      </c>
      <c r="I855" s="93" t="s">
        <v>74</v>
      </c>
      <c r="J855" s="89" cm="1">
        <f t="array" ref="J85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131</v>
      </c>
      <c r="K855" t="s">
        <v>2028</v>
      </c>
      <c r="L855" s="90" t="s">
        <v>172</v>
      </c>
      <c r="M855" t="s">
        <v>43</v>
      </c>
      <c r="N855" t="s">
        <v>1279</v>
      </c>
      <c r="O855" s="3" t="s">
        <v>78</v>
      </c>
      <c r="P855" s="3" t="s">
        <v>46</v>
      </c>
      <c r="Q855" s="10" t="s">
        <v>1630</v>
      </c>
      <c r="R855" s="11">
        <v>46104</v>
      </c>
      <c r="S855" s="11" t="s">
        <v>2040</v>
      </c>
      <c r="T855" s="3" t="str">
        <f>IF(AND(ProtocolosAF[[#This Row],[STATUS]]="APROVADO",ProtocolosAF[[#This Row],[BILHETE/EMD]]=""),"Y","")</f>
        <v/>
      </c>
      <c r="U855" t="s">
        <v>2041</v>
      </c>
      <c r="V855" s="16" t="str">
        <f>_xlfn.CONCAT(C855,U855)</f>
        <v>A8KH3WPISSINATTI DE ARRUDA/PRISCILA</v>
      </c>
      <c r="W855">
        <v>807</v>
      </c>
    </row>
    <row r="856" spans="1:23" ht="15" hidden="1">
      <c r="A856" s="1">
        <v>46100</v>
      </c>
      <c r="B856" t="s">
        <v>14</v>
      </c>
      <c r="C856" t="s">
        <v>2038</v>
      </c>
      <c r="D856" s="23" t="s">
        <v>2039</v>
      </c>
      <c r="E856" t="s">
        <v>512</v>
      </c>
      <c r="F856" s="19">
        <v>57966204</v>
      </c>
      <c r="G856" s="92">
        <v>572354581823</v>
      </c>
      <c r="H856" s="89">
        <v>131</v>
      </c>
      <c r="I856" s="93" t="s">
        <v>74</v>
      </c>
      <c r="J856" s="89" cm="1">
        <f t="array" ref="J85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131</v>
      </c>
      <c r="K856" t="s">
        <v>2028</v>
      </c>
      <c r="L856" s="90" t="s">
        <v>172</v>
      </c>
      <c r="M856" t="s">
        <v>43</v>
      </c>
      <c r="N856" t="s">
        <v>1279</v>
      </c>
      <c r="O856" s="3" t="s">
        <v>78</v>
      </c>
      <c r="P856" s="3" t="s">
        <v>46</v>
      </c>
      <c r="Q856" s="10" t="s">
        <v>1630</v>
      </c>
      <c r="R856" s="11">
        <v>46104</v>
      </c>
      <c r="S856" s="11" t="s">
        <v>2040</v>
      </c>
      <c r="T856" s="3" t="str">
        <f>IF(AND(ProtocolosAF[[#This Row],[STATUS]]="APROVADO",ProtocolosAF[[#This Row],[BILHETE/EMD]]=""),"Y","")</f>
        <v/>
      </c>
      <c r="U856" t="s">
        <v>2042</v>
      </c>
      <c r="V856" s="16" t="str">
        <f>_xlfn.CONCAT(C856,U856)</f>
        <v>A8KH3WPISSINATTI DE ARRUDA/RAFAELA</v>
      </c>
      <c r="W856">
        <v>807</v>
      </c>
    </row>
    <row r="857" spans="1:23" ht="15" hidden="1">
      <c r="A857" s="1">
        <v>46101</v>
      </c>
      <c r="B857" t="s">
        <v>11</v>
      </c>
      <c r="C857" t="s">
        <v>2043</v>
      </c>
      <c r="D857" s="23" t="s">
        <v>2043</v>
      </c>
      <c r="E857" t="s">
        <v>73</v>
      </c>
      <c r="F857" s="19">
        <v>57994602</v>
      </c>
      <c r="G857" s="92">
        <v>574216446234</v>
      </c>
      <c r="H857" s="89">
        <v>400</v>
      </c>
      <c r="I857" s="93" t="s">
        <v>74</v>
      </c>
      <c r="J857" s="89" cm="1">
        <f t="array" ref="J85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400</v>
      </c>
      <c r="K857" t="s">
        <v>1710</v>
      </c>
      <c r="L857" s="90" t="s">
        <v>172</v>
      </c>
      <c r="M857" t="s">
        <v>43</v>
      </c>
      <c r="N857" t="s">
        <v>1458</v>
      </c>
      <c r="O857" s="3" t="s">
        <v>178</v>
      </c>
      <c r="P857" s="3" t="s">
        <v>69</v>
      </c>
      <c r="Q857" s="83" t="s">
        <v>1711</v>
      </c>
      <c r="R857" s="11">
        <v>46104</v>
      </c>
      <c r="S857" s="11" t="s">
        <v>2044</v>
      </c>
      <c r="T857" s="3" t="str">
        <f>IF(AND(ProtocolosAF[[#This Row],[STATUS]]="APROVADO",ProtocolosAF[[#This Row],[BILHETE/EMD]]=""),"Y","")</f>
        <v/>
      </c>
      <c r="U857" t="s">
        <v>2045</v>
      </c>
      <c r="V857" s="16" t="str">
        <f>_xlfn.CONCAT(C857,U857)</f>
        <v>CQJNAIBENETTI TISSOT/MAFALDA</v>
      </c>
      <c r="W857">
        <v>808</v>
      </c>
    </row>
    <row r="858" spans="1:23" ht="15" hidden="1">
      <c r="A858" s="1">
        <v>46106</v>
      </c>
      <c r="B858" t="s">
        <v>10</v>
      </c>
      <c r="C858" t="s">
        <v>2046</v>
      </c>
      <c r="D858" s="23" t="s">
        <v>2046</v>
      </c>
      <c r="E858" t="s">
        <v>512</v>
      </c>
      <c r="F858" s="19">
        <v>57564931</v>
      </c>
      <c r="G858" s="92">
        <v>575010709572</v>
      </c>
      <c r="H858" s="89">
        <v>130</v>
      </c>
      <c r="I858" s="93" t="s">
        <v>74</v>
      </c>
      <c r="J858" s="89" cm="1">
        <f t="array" ref="J85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130</v>
      </c>
      <c r="K858" t="s">
        <v>189</v>
      </c>
      <c r="L858" s="90" t="s">
        <v>172</v>
      </c>
      <c r="M858" t="s">
        <v>43</v>
      </c>
      <c r="N858" t="s">
        <v>65</v>
      </c>
      <c r="O858" s="3" t="s">
        <v>234</v>
      </c>
      <c r="P858" s="3" t="s">
        <v>146</v>
      </c>
      <c r="Q858" s="83" t="s">
        <v>1345</v>
      </c>
      <c r="R858" s="11">
        <v>46106</v>
      </c>
      <c r="S858" s="11" t="s">
        <v>2047</v>
      </c>
      <c r="T858" s="3" t="str">
        <f>IF(AND(ProtocolosAF[[#This Row],[STATUS]]="APROVADO",ProtocolosAF[[#This Row],[BILHETE/EMD]]=""),"Y","")</f>
        <v/>
      </c>
      <c r="U858" t="s">
        <v>2048</v>
      </c>
      <c r="V858" s="16" t="str">
        <f>_xlfn.CONCAT(C858,U858)</f>
        <v>BLPBEJSANTOS/MURILO MR</v>
      </c>
      <c r="W858">
        <v>809</v>
      </c>
    </row>
    <row r="859" spans="1:23" ht="15" hidden="1">
      <c r="A859" s="1">
        <v>46111</v>
      </c>
      <c r="B859" t="s">
        <v>15</v>
      </c>
      <c r="C859" t="s">
        <v>2049</v>
      </c>
      <c r="D859" s="23" t="s">
        <v>2049</v>
      </c>
      <c r="E859" t="s">
        <v>512</v>
      </c>
      <c r="F859" s="19">
        <v>57564931</v>
      </c>
      <c r="G859" s="92">
        <v>575010760777</v>
      </c>
      <c r="H859" s="89">
        <v>174</v>
      </c>
      <c r="I859" s="93" t="s">
        <v>74</v>
      </c>
      <c r="J859" s="89" cm="1">
        <f t="array" ref="J85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174</v>
      </c>
      <c r="K859" s="56" t="s">
        <v>1918</v>
      </c>
      <c r="L859" s="90" t="s">
        <v>172</v>
      </c>
      <c r="M859" t="s">
        <v>43</v>
      </c>
      <c r="N859" s="56" t="s">
        <v>1155</v>
      </c>
      <c r="O859" s="3" t="s">
        <v>2050</v>
      </c>
      <c r="P859" s="3" t="s">
        <v>69</v>
      </c>
      <c r="Q859" s="83" t="s">
        <v>2051</v>
      </c>
      <c r="R859" s="11">
        <v>46113</v>
      </c>
      <c r="S859" s="11" t="s">
        <v>2052</v>
      </c>
      <c r="T859" s="3" t="str">
        <f>IF(AND(ProtocolosAF[[#This Row],[STATUS]]="APROVADO",ProtocolosAF[[#This Row],[BILHETE/EMD]]=""),"Y","")</f>
        <v/>
      </c>
      <c r="U859" t="s">
        <v>2053</v>
      </c>
      <c r="V859" s="16" t="str">
        <f>_xlfn.CONCAT(C859,U859)</f>
        <v>CWYFNHLOPES SOARES/MATEUS MR</v>
      </c>
      <c r="W859">
        <v>810</v>
      </c>
    </row>
    <row r="860" spans="1:23" ht="15" hidden="1">
      <c r="A860" s="1">
        <v>46119</v>
      </c>
      <c r="B860" t="s">
        <v>10</v>
      </c>
      <c r="C860" t="s">
        <v>2054</v>
      </c>
      <c r="D860" s="23" t="s">
        <v>2055</v>
      </c>
      <c r="E860" t="s">
        <v>73</v>
      </c>
      <c r="F860" s="19"/>
      <c r="G860" s="92"/>
      <c r="H860" s="89">
        <v>201</v>
      </c>
      <c r="I860" s="93" t="s">
        <v>74</v>
      </c>
      <c r="J860" s="89" t="str" cm="1">
        <f t="array" ref="J86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60" s="56" t="s">
        <v>345</v>
      </c>
      <c r="L860" s="90" t="s">
        <v>76</v>
      </c>
      <c r="M860" t="s">
        <v>100</v>
      </c>
      <c r="N860" s="56" t="s">
        <v>1129</v>
      </c>
      <c r="O860" s="3" t="s">
        <v>78</v>
      </c>
      <c r="P860" s="3" t="s">
        <v>46</v>
      </c>
      <c r="Q860" s="83"/>
      <c r="R860" s="11"/>
      <c r="S860" s="11"/>
      <c r="T860" s="3" t="str">
        <f>IF(AND(ProtocolosAF[[#This Row],[STATUS]]="APROVADO",ProtocolosAF[[#This Row],[BILHETE/EMD]]=""),"Y","")</f>
        <v/>
      </c>
      <c r="U860" t="s">
        <v>2056</v>
      </c>
      <c r="V860" s="16" t="str">
        <f>_xlfn.CONCAT(C860,U860)</f>
        <v>ORSZWOROCHA/CARLOS EDUARDO</v>
      </c>
      <c r="W860">
        <v>813</v>
      </c>
    </row>
    <row r="861" spans="1:23" ht="15" hidden="1">
      <c r="A861" s="1">
        <v>46119</v>
      </c>
      <c r="B861" t="s">
        <v>10</v>
      </c>
      <c r="C861" t="s">
        <v>2054</v>
      </c>
      <c r="D861" s="23" t="s">
        <v>2055</v>
      </c>
      <c r="E861" t="s">
        <v>73</v>
      </c>
      <c r="F861" s="19"/>
      <c r="G861" s="92"/>
      <c r="H861" s="89">
        <v>201</v>
      </c>
      <c r="I861" s="93" t="s">
        <v>74</v>
      </c>
      <c r="J861" s="89" t="str" cm="1">
        <f t="array" ref="J86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61" s="56" t="s">
        <v>345</v>
      </c>
      <c r="L861" s="90" t="s">
        <v>76</v>
      </c>
      <c r="M861" t="s">
        <v>100</v>
      </c>
      <c r="N861" s="56" t="s">
        <v>1129</v>
      </c>
      <c r="O861" s="3" t="s">
        <v>78</v>
      </c>
      <c r="P861" s="3" t="s">
        <v>46</v>
      </c>
      <c r="Q861" s="83"/>
      <c r="R861" s="11"/>
      <c r="S861" s="11"/>
      <c r="T861" s="3" t="str">
        <f>IF(AND(ProtocolosAF[[#This Row],[STATUS]]="APROVADO",ProtocolosAF[[#This Row],[BILHETE/EMD]]=""),"Y","")</f>
        <v/>
      </c>
      <c r="U861" t="s">
        <v>2057</v>
      </c>
      <c r="V861" s="16" t="str">
        <f>_xlfn.CONCAT(C861,U861)</f>
        <v>ORSZWOVELLOSO AGUAS/ANA PAULA</v>
      </c>
      <c r="W861">
        <v>813</v>
      </c>
    </row>
    <row r="862" spans="1:23" ht="15" hidden="1">
      <c r="A862" s="1">
        <v>46119</v>
      </c>
      <c r="B862" t="s">
        <v>10</v>
      </c>
      <c r="C862" t="s">
        <v>2058</v>
      </c>
      <c r="D862" s="23" t="s">
        <v>2059</v>
      </c>
      <c r="E862" t="s">
        <v>41</v>
      </c>
      <c r="F862" s="19"/>
      <c r="G862" s="92"/>
      <c r="H862" s="89">
        <v>5485</v>
      </c>
      <c r="I862" s="93">
        <v>0.08</v>
      </c>
      <c r="J862" s="89" t="str" cm="1">
        <f t="array" ref="J86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62" s="56" t="s">
        <v>189</v>
      </c>
      <c r="L862" s="90" t="s">
        <v>66</v>
      </c>
      <c r="M862" t="s">
        <v>100</v>
      </c>
      <c r="N862" s="56" t="s">
        <v>1129</v>
      </c>
      <c r="O862" s="3" t="s">
        <v>190</v>
      </c>
      <c r="P862" s="3" t="s">
        <v>146</v>
      </c>
      <c r="Q862" s="83"/>
      <c r="R862" s="11"/>
      <c r="S862" s="11"/>
      <c r="T862" s="3" t="str">
        <f>IF(AND(ProtocolosAF[[#This Row],[STATUS]]="APROVADO",ProtocolosAF[[#This Row],[BILHETE/EMD]]=""),"Y","")</f>
        <v/>
      </c>
      <c r="U862" t="s">
        <v>2060</v>
      </c>
      <c r="V862" s="16" t="str">
        <f>_xlfn.CONCAT(C862,U862)</f>
        <v>EOBHDSSALAZAR SAUT/CESAR LUIZ</v>
      </c>
      <c r="W862">
        <v>814</v>
      </c>
    </row>
    <row r="863" spans="1:23" ht="15" hidden="1">
      <c r="A863" s="1">
        <v>46119</v>
      </c>
      <c r="B863" t="s">
        <v>10</v>
      </c>
      <c r="C863" t="s">
        <v>2058</v>
      </c>
      <c r="D863" s="23" t="s">
        <v>2059</v>
      </c>
      <c r="E863" t="s">
        <v>41</v>
      </c>
      <c r="F863" s="19"/>
      <c r="G863" s="92"/>
      <c r="H863" s="89">
        <v>5485</v>
      </c>
      <c r="I863" s="93">
        <v>0.08</v>
      </c>
      <c r="J863" s="89" t="str" cm="1">
        <f t="array" ref="J86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63" s="56" t="s">
        <v>189</v>
      </c>
      <c r="L863" s="90" t="s">
        <v>66</v>
      </c>
      <c r="M863" t="s">
        <v>100</v>
      </c>
      <c r="N863" s="56" t="s">
        <v>1129</v>
      </c>
      <c r="O863" s="3" t="s">
        <v>190</v>
      </c>
      <c r="P863" s="3" t="s">
        <v>146</v>
      </c>
      <c r="Q863" s="83"/>
      <c r="R863" s="11"/>
      <c r="S863" s="11"/>
      <c r="T863" s="3" t="str">
        <f>IF(AND(ProtocolosAF[[#This Row],[STATUS]]="APROVADO",ProtocolosAF[[#This Row],[BILHETE/EMD]]=""),"Y","")</f>
        <v/>
      </c>
      <c r="U863" t="s">
        <v>2061</v>
      </c>
      <c r="V863" s="16" t="str">
        <f>_xlfn.CONCAT(C863,U863)</f>
        <v>EOBHDSOLIVEIRA FRAGA SAUT/LEILA</v>
      </c>
      <c r="W863">
        <v>814</v>
      </c>
    </row>
    <row r="864" spans="1:23" ht="15" hidden="1">
      <c r="A864" s="1">
        <v>46129</v>
      </c>
      <c r="B864" t="s">
        <v>12</v>
      </c>
      <c r="C864" t="s">
        <v>2062</v>
      </c>
      <c r="D864" s="23" t="s">
        <v>2063</v>
      </c>
      <c r="E864" t="s">
        <v>73</v>
      </c>
      <c r="F864" s="19">
        <v>57564931</v>
      </c>
      <c r="G864" s="92">
        <v>1</v>
      </c>
      <c r="H864" s="89">
        <v>221</v>
      </c>
      <c r="I864" s="93" t="s">
        <v>74</v>
      </c>
      <c r="J864" s="89" cm="1">
        <f t="array" ref="J86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221</v>
      </c>
      <c r="K864" s="56" t="s">
        <v>289</v>
      </c>
      <c r="L864" s="90" t="s">
        <v>172</v>
      </c>
      <c r="M864" t="s">
        <v>43</v>
      </c>
      <c r="N864" s="56" t="s">
        <v>1096</v>
      </c>
      <c r="O864" s="3" t="s">
        <v>68</v>
      </c>
      <c r="P864" s="3" t="s">
        <v>46</v>
      </c>
      <c r="Q864" s="83" t="s">
        <v>291</v>
      </c>
      <c r="R864" s="11">
        <v>46132</v>
      </c>
      <c r="S864" s="11" t="s">
        <v>2064</v>
      </c>
      <c r="T864" s="3" t="str">
        <f>IF(AND(ProtocolosAF[[#This Row],[STATUS]]="APROVADO",ProtocolosAF[[#This Row],[BILHETE/EMD]]=""),"Y","")</f>
        <v/>
      </c>
      <c r="U864" t="s">
        <v>2065</v>
      </c>
      <c r="V864" s="16" t="str">
        <f>_xlfn.CONCAT(C864,U864)</f>
        <v>CVFSVQFARIAS DA SILVEIRA/GILSOMAR</v>
      </c>
      <c r="W864">
        <v>816</v>
      </c>
    </row>
    <row r="865" spans="1:23" ht="15" hidden="1">
      <c r="A865" s="1">
        <v>46129</v>
      </c>
      <c r="B865" t="s">
        <v>12</v>
      </c>
      <c r="C865" t="s">
        <v>2066</v>
      </c>
      <c r="D865" s="23" t="s">
        <v>2067</v>
      </c>
      <c r="E865" t="s">
        <v>73</v>
      </c>
      <c r="F865" s="19">
        <v>57564931</v>
      </c>
      <c r="G865" s="92">
        <v>2</v>
      </c>
      <c r="H865" s="89">
        <v>221</v>
      </c>
      <c r="I865" s="93" t="s">
        <v>74</v>
      </c>
      <c r="J865" s="89" cm="1">
        <f t="array" ref="J86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221</v>
      </c>
      <c r="K865" s="56" t="s">
        <v>289</v>
      </c>
      <c r="L865" s="90" t="s">
        <v>172</v>
      </c>
      <c r="M865" t="s">
        <v>43</v>
      </c>
      <c r="N865" s="56" t="s">
        <v>1096</v>
      </c>
      <c r="O865" s="3" t="s">
        <v>68</v>
      </c>
      <c r="P865" s="3" t="s">
        <v>46</v>
      </c>
      <c r="Q865" s="83" t="s">
        <v>291</v>
      </c>
      <c r="R865" s="11">
        <v>46132</v>
      </c>
      <c r="S865" s="11" t="s">
        <v>2068</v>
      </c>
      <c r="T865" s="3" t="str">
        <f>IF(AND(ProtocolosAF[[#This Row],[STATUS]]="APROVADO",ProtocolosAF[[#This Row],[BILHETE/EMD]]=""),"Y","")</f>
        <v/>
      </c>
      <c r="U865" t="s">
        <v>2069</v>
      </c>
      <c r="V865" s="16" t="str">
        <f>_xlfn.CONCAT(C865,U865)</f>
        <v>CXTR3WBORGO/GILBERTO</v>
      </c>
      <c r="W865">
        <v>817</v>
      </c>
    </row>
    <row r="866" spans="1:23" ht="15" hidden="1">
      <c r="A866" s="1">
        <v>46134</v>
      </c>
      <c r="B866" t="s">
        <v>14</v>
      </c>
      <c r="C866" t="s">
        <v>2070</v>
      </c>
      <c r="D866" s="23" t="s">
        <v>2070</v>
      </c>
      <c r="E866" t="s">
        <v>512</v>
      </c>
      <c r="F866" s="19">
        <v>57564931</v>
      </c>
      <c r="G866" s="92">
        <v>575010916310</v>
      </c>
      <c r="H866" s="89">
        <v>213</v>
      </c>
      <c r="I866" s="93" t="s">
        <v>74</v>
      </c>
      <c r="J866" s="89" cm="1">
        <f t="array" ref="J86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213</v>
      </c>
      <c r="K866" s="56" t="s">
        <v>2028</v>
      </c>
      <c r="L866" s="90" t="s">
        <v>529</v>
      </c>
      <c r="M866" t="s">
        <v>43</v>
      </c>
      <c r="N866" s="56" t="s">
        <v>1096</v>
      </c>
      <c r="O866" s="3" t="s">
        <v>1546</v>
      </c>
      <c r="P866" s="3" t="s">
        <v>46</v>
      </c>
      <c r="Q866" s="83" t="s">
        <v>2029</v>
      </c>
      <c r="R866" s="11">
        <v>46135</v>
      </c>
      <c r="S866" s="11" t="s">
        <v>720</v>
      </c>
      <c r="T866" s="3" t="str">
        <f>IF(AND(ProtocolosAF[[#This Row],[STATUS]]="APROVADO",ProtocolosAF[[#This Row],[BILHETE/EMD]]=""),"Y","")</f>
        <v/>
      </c>
      <c r="U866" t="s">
        <v>2071</v>
      </c>
      <c r="V866" s="16" t="str">
        <f>_xlfn.CONCAT(C866,U866)</f>
        <v>BNMHZ2MISCHIATTI BETHLEM/GABRIELA</v>
      </c>
      <c r="W866">
        <v>818</v>
      </c>
    </row>
    <row r="867" spans="1:23" ht="15" hidden="1">
      <c r="A867" s="1">
        <v>46134</v>
      </c>
      <c r="B867" t="s">
        <v>14</v>
      </c>
      <c r="C867" t="s">
        <v>2072</v>
      </c>
      <c r="D867" s="23" t="s">
        <v>2072</v>
      </c>
      <c r="E867" t="s">
        <v>512</v>
      </c>
      <c r="F867" s="19">
        <v>57564931</v>
      </c>
      <c r="G867" s="92">
        <v>575010916312</v>
      </c>
      <c r="H867" s="89">
        <v>213</v>
      </c>
      <c r="I867" s="93" t="s">
        <v>74</v>
      </c>
      <c r="J867" s="89" cm="1">
        <f t="array" ref="J86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213</v>
      </c>
      <c r="K867" s="56" t="s">
        <v>2028</v>
      </c>
      <c r="L867" s="90" t="s">
        <v>529</v>
      </c>
      <c r="M867" t="s">
        <v>43</v>
      </c>
      <c r="N867" s="56" t="s">
        <v>1096</v>
      </c>
      <c r="O867" s="3" t="s">
        <v>1546</v>
      </c>
      <c r="P867" s="3" t="s">
        <v>46</v>
      </c>
      <c r="Q867" s="83" t="s">
        <v>2029</v>
      </c>
      <c r="R867" s="11">
        <v>46135</v>
      </c>
      <c r="S867" s="11" t="s">
        <v>720</v>
      </c>
      <c r="T867" s="3" t="str">
        <f>IF(AND(ProtocolosAF[[#This Row],[STATUS]]="APROVADO",ProtocolosAF[[#This Row],[BILHETE/EMD]]=""),"Y","")</f>
        <v/>
      </c>
      <c r="U867" t="s">
        <v>2073</v>
      </c>
      <c r="V867" s="16" t="str">
        <f>_xlfn.CONCAT(C867,U867)</f>
        <v>C8B7BIJORDAO BETHLEM JUNIOR/HUGO ANTONIO</v>
      </c>
      <c r="W867">
        <v>819</v>
      </c>
    </row>
    <row r="868" spans="1:23" ht="15" hidden="1">
      <c r="A868" s="1">
        <v>46135</v>
      </c>
      <c r="B868" t="s">
        <v>10</v>
      </c>
      <c r="C868" t="s">
        <v>2074</v>
      </c>
      <c r="D868" s="23" t="s">
        <v>2075</v>
      </c>
      <c r="E868" t="s">
        <v>512</v>
      </c>
      <c r="F868" s="19">
        <v>57564931</v>
      </c>
      <c r="G868" s="92">
        <v>572615221778</v>
      </c>
      <c r="H868" s="89">
        <v>300</v>
      </c>
      <c r="I868" s="93" t="s">
        <v>74</v>
      </c>
      <c r="J868" s="89" cm="1">
        <f t="array" ref="J86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300</v>
      </c>
      <c r="K868" s="56" t="s">
        <v>1365</v>
      </c>
      <c r="L868" s="90" t="s">
        <v>172</v>
      </c>
      <c r="M868" t="s">
        <v>43</v>
      </c>
      <c r="N868" s="56" t="s">
        <v>65</v>
      </c>
      <c r="O868" s="3" t="s">
        <v>1192</v>
      </c>
      <c r="P868" s="3" t="s">
        <v>69</v>
      </c>
      <c r="Q868" s="83" t="s">
        <v>1366</v>
      </c>
      <c r="R868" s="11">
        <v>46135</v>
      </c>
      <c r="S868" s="11" t="s">
        <v>2076</v>
      </c>
      <c r="T868" s="3" t="str">
        <f>IF(AND(ProtocolosAF[[#This Row],[STATUS]]="APROVADO",ProtocolosAF[[#This Row],[BILHETE/EMD]]=""),"Y","")</f>
        <v/>
      </c>
      <c r="U868" t="s">
        <v>2077</v>
      </c>
      <c r="V868" s="16" t="str">
        <f>_xlfn.CONCAT(C868,U868)</f>
        <v>HFGSMTANDRADE/ELIANE</v>
      </c>
      <c r="W868">
        <v>820</v>
      </c>
    </row>
    <row r="869" spans="1:23" ht="15" hidden="1">
      <c r="A869" s="1">
        <v>46147</v>
      </c>
      <c r="B869" t="s">
        <v>10</v>
      </c>
      <c r="C869" t="s">
        <v>2078</v>
      </c>
      <c r="D869" s="23" t="s">
        <v>2079</v>
      </c>
      <c r="E869" t="s">
        <v>73</v>
      </c>
      <c r="F869" s="19">
        <v>57564931</v>
      </c>
      <c r="G869" s="92">
        <v>574238087912</v>
      </c>
      <c r="H869" s="89">
        <v>151</v>
      </c>
      <c r="I869" s="93" t="s">
        <v>74</v>
      </c>
      <c r="J869" s="89" cm="1">
        <f t="array" ref="J86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151</v>
      </c>
      <c r="K869" s="56" t="s">
        <v>345</v>
      </c>
      <c r="L869" s="90" t="s">
        <v>172</v>
      </c>
      <c r="M869" t="s">
        <v>43</v>
      </c>
      <c r="N869" s="56" t="s">
        <v>65</v>
      </c>
      <c r="O869" s="3" t="s">
        <v>190</v>
      </c>
      <c r="P869" s="3" t="s">
        <v>69</v>
      </c>
      <c r="Q869" s="83" t="s">
        <v>1701</v>
      </c>
      <c r="R869" s="11">
        <v>46149</v>
      </c>
      <c r="S869" s="11" t="s">
        <v>2080</v>
      </c>
      <c r="T869" s="3" t="str">
        <f>IF(AND(ProtocolosAF[[#This Row],[STATUS]]="APROVADO",ProtocolosAF[[#This Row],[BILHETE/EMD]]=""),"Y","")</f>
        <v/>
      </c>
      <c r="U869" t="s">
        <v>2081</v>
      </c>
      <c r="V869" s="16" t="str">
        <f>_xlfn.CONCAT(C869,U869)</f>
        <v>AF2NE6PELEGRINA/ANNEY CAROLINE</v>
      </c>
      <c r="W869">
        <v>821</v>
      </c>
    </row>
    <row r="870" spans="1:23" ht="15" hidden="1">
      <c r="A870" s="1">
        <v>46147</v>
      </c>
      <c r="B870" t="s">
        <v>10</v>
      </c>
      <c r="C870" t="s">
        <v>2078</v>
      </c>
      <c r="D870" s="23" t="s">
        <v>2079</v>
      </c>
      <c r="E870" t="s">
        <v>73</v>
      </c>
      <c r="F870" s="19">
        <v>57564931</v>
      </c>
      <c r="G870" s="92">
        <v>574238087913</v>
      </c>
      <c r="H870" s="89">
        <v>151</v>
      </c>
      <c r="I870" s="93" t="s">
        <v>74</v>
      </c>
      <c r="J870" s="89" cm="1">
        <f t="array" ref="J87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151</v>
      </c>
      <c r="K870" s="56" t="s">
        <v>345</v>
      </c>
      <c r="L870" s="90" t="s">
        <v>172</v>
      </c>
      <c r="M870" t="s">
        <v>43</v>
      </c>
      <c r="N870" s="56" t="s">
        <v>65</v>
      </c>
      <c r="O870" s="3" t="s">
        <v>190</v>
      </c>
      <c r="P870" s="3" t="s">
        <v>69</v>
      </c>
      <c r="Q870" s="83" t="s">
        <v>1701</v>
      </c>
      <c r="R870" s="11">
        <v>46149</v>
      </c>
      <c r="S870" s="11" t="s">
        <v>2080</v>
      </c>
      <c r="T870" s="3" t="str">
        <f>IF(AND(ProtocolosAF[[#This Row],[STATUS]]="APROVADO",ProtocolosAF[[#This Row],[BILHETE/EMD]]=""),"Y","")</f>
        <v/>
      </c>
      <c r="U870" t="s">
        <v>2082</v>
      </c>
      <c r="V870" s="16" t="str">
        <f>_xlfn.CONCAT(C870,U870)</f>
        <v>AF2NE6PELEGRINA/ANTONIO CARLOS</v>
      </c>
      <c r="W870">
        <v>821</v>
      </c>
    </row>
    <row r="871" spans="1:23" ht="15" hidden="1">
      <c r="A871" s="1">
        <v>46148</v>
      </c>
      <c r="B871" t="s">
        <v>10</v>
      </c>
      <c r="C871" t="s">
        <v>2083</v>
      </c>
      <c r="D871" s="23" t="s">
        <v>2084</v>
      </c>
      <c r="E871" t="s">
        <v>73</v>
      </c>
      <c r="F871" s="19">
        <v>57564931</v>
      </c>
      <c r="G871" s="92">
        <v>574238087914</v>
      </c>
      <c r="H871" s="89">
        <v>151</v>
      </c>
      <c r="I871" s="93" t="s">
        <v>74</v>
      </c>
      <c r="J871" s="89" cm="1">
        <f t="array" ref="J87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151</v>
      </c>
      <c r="K871" s="56" t="s">
        <v>345</v>
      </c>
      <c r="L871" s="90" t="s">
        <v>172</v>
      </c>
      <c r="M871" t="s">
        <v>43</v>
      </c>
      <c r="N871" s="56" t="s">
        <v>65</v>
      </c>
      <c r="O871" s="3" t="s">
        <v>78</v>
      </c>
      <c r="P871" s="3" t="s">
        <v>69</v>
      </c>
      <c r="Q871" s="83" t="s">
        <v>1701</v>
      </c>
      <c r="R871" s="11">
        <v>46149</v>
      </c>
      <c r="S871" s="11" t="s">
        <v>2085</v>
      </c>
      <c r="T871" s="3" t="str">
        <f>IF(AND(ProtocolosAF[[#This Row],[STATUS]]="APROVADO",ProtocolosAF[[#This Row],[BILHETE/EMD]]=""),"Y","")</f>
        <v/>
      </c>
      <c r="U871" t="s">
        <v>2086</v>
      </c>
      <c r="V871" s="16" t="str">
        <f>_xlfn.CONCAT(C871,U871)</f>
        <v>AEOWCKKHALIL/JORGE</v>
      </c>
      <c r="W871">
        <v>822</v>
      </c>
    </row>
    <row r="872" spans="1:23" ht="15" hidden="1">
      <c r="A872" s="1">
        <v>46148</v>
      </c>
      <c r="B872" t="s">
        <v>10</v>
      </c>
      <c r="C872" t="s">
        <v>2083</v>
      </c>
      <c r="D872" s="23" t="s">
        <v>2084</v>
      </c>
      <c r="E872" t="s">
        <v>73</v>
      </c>
      <c r="F872" s="19">
        <v>57564931</v>
      </c>
      <c r="G872" s="92">
        <v>574238087915</v>
      </c>
      <c r="H872" s="89">
        <v>151</v>
      </c>
      <c r="I872" s="93" t="s">
        <v>74</v>
      </c>
      <c r="J872" s="89" cm="1">
        <f t="array" ref="J87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151</v>
      </c>
      <c r="K872" s="56" t="s">
        <v>345</v>
      </c>
      <c r="L872" s="90" t="s">
        <v>172</v>
      </c>
      <c r="M872" t="s">
        <v>43</v>
      </c>
      <c r="N872" s="56" t="s">
        <v>65</v>
      </c>
      <c r="O872" s="3" t="s">
        <v>78</v>
      </c>
      <c r="P872" s="3" t="s">
        <v>69</v>
      </c>
      <c r="Q872" s="83" t="s">
        <v>1701</v>
      </c>
      <c r="R872" s="11">
        <v>46149</v>
      </c>
      <c r="S872" s="11" t="s">
        <v>2085</v>
      </c>
      <c r="T872" s="3" t="str">
        <f>IF(AND(ProtocolosAF[[#This Row],[STATUS]]="APROVADO",ProtocolosAF[[#This Row],[BILHETE/EMD]]=""),"Y","")</f>
        <v/>
      </c>
      <c r="U872" t="s">
        <v>2087</v>
      </c>
      <c r="V872" s="16" t="str">
        <f>_xlfn.CONCAT(C872,U872)</f>
        <v>AEOWCKKHLAIL/SELMA</v>
      </c>
      <c r="W872">
        <v>822</v>
      </c>
    </row>
    <row r="873" spans="1:23" ht="15" hidden="1">
      <c r="A873" s="1">
        <v>46157</v>
      </c>
      <c r="B873" t="s">
        <v>13</v>
      </c>
      <c r="C873" t="s">
        <v>2088</v>
      </c>
      <c r="D873" s="23" t="s">
        <v>2089</v>
      </c>
      <c r="E873" t="s">
        <v>512</v>
      </c>
      <c r="F873" s="19">
        <v>57564931</v>
      </c>
      <c r="G873" s="92">
        <v>749293345197</v>
      </c>
      <c r="H873" s="89">
        <v>260</v>
      </c>
      <c r="I873" s="93" t="s">
        <v>74</v>
      </c>
      <c r="J873" s="89" cm="1">
        <f t="array" ref="J87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260</v>
      </c>
      <c r="K873" s="56" t="s">
        <v>2090</v>
      </c>
      <c r="L873" s="90" t="s">
        <v>172</v>
      </c>
      <c r="M873" t="s">
        <v>43</v>
      </c>
      <c r="N873" s="56" t="s">
        <v>1089</v>
      </c>
      <c r="O873" s="3" t="s">
        <v>78</v>
      </c>
      <c r="P873" s="3" t="s">
        <v>255</v>
      </c>
      <c r="Q873" s="83" t="s">
        <v>229</v>
      </c>
      <c r="R873" s="11">
        <v>46161</v>
      </c>
      <c r="S873" s="11" t="s">
        <v>2091</v>
      </c>
      <c r="T873" s="3" t="str">
        <f>IF(AND(ProtocolosAF[[#This Row],[STATUS]]="APROVADO",ProtocolosAF[[#This Row],[BILHETE/EMD]]=""),"Y","")</f>
        <v/>
      </c>
      <c r="U873" t="s">
        <v>2092</v>
      </c>
      <c r="V873" s="16" t="str">
        <f>_xlfn.CONCAT(C873,U873)</f>
        <v>AXUYAEFERREIRA/JANAINA</v>
      </c>
      <c r="W873">
        <v>824</v>
      </c>
    </row>
    <row r="874" spans="1:23" ht="15" hidden="1">
      <c r="A874" s="1">
        <v>46163</v>
      </c>
      <c r="B874" t="s">
        <v>11</v>
      </c>
      <c r="C874" t="s">
        <v>2093</v>
      </c>
      <c r="D874" s="23" t="s">
        <v>2094</v>
      </c>
      <c r="E874" t="s">
        <v>512</v>
      </c>
      <c r="F874" s="19"/>
      <c r="G874" s="92"/>
      <c r="H874" s="89">
        <v>150</v>
      </c>
      <c r="I874" s="93" t="s">
        <v>74</v>
      </c>
      <c r="J874" s="89" t="str" cm="1">
        <f t="array" ref="J87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74" s="56" t="s">
        <v>1007</v>
      </c>
      <c r="L874" s="90" t="s">
        <v>172</v>
      </c>
      <c r="M874" t="s">
        <v>100</v>
      </c>
      <c r="N874" s="56" t="s">
        <v>1458</v>
      </c>
      <c r="O874" s="3" t="s">
        <v>1192</v>
      </c>
      <c r="P874" s="3" t="s">
        <v>146</v>
      </c>
      <c r="Q874" s="83"/>
      <c r="R874" s="11"/>
      <c r="S874" s="11"/>
      <c r="T874" s="3" t="str">
        <f>IF(AND(ProtocolosAF[[#This Row],[STATUS]]="APROVADO",ProtocolosAF[[#This Row],[BILHETE/EMD]]=""),"Y","")</f>
        <v/>
      </c>
      <c r="U874" t="s">
        <v>2095</v>
      </c>
      <c r="V874" s="16" t="str">
        <f>_xlfn.CONCAT(C874,U874)</f>
        <v>CZE8WDDE OLIVEIRA VEIGA/MARIA RAQUEL</v>
      </c>
      <c r="W874">
        <v>825</v>
      </c>
    </row>
    <row r="875" spans="1:23" ht="15" hidden="1">
      <c r="A875" s="1">
        <v>46168</v>
      </c>
      <c r="B875" t="s">
        <v>10</v>
      </c>
      <c r="C875" t="s">
        <v>2096</v>
      </c>
      <c r="D875" s="23" t="s">
        <v>2097</v>
      </c>
      <c r="E875" t="s">
        <v>73</v>
      </c>
      <c r="F875" s="19"/>
      <c r="G875" s="92"/>
      <c r="H875" s="89">
        <v>251</v>
      </c>
      <c r="I875" s="93" t="s">
        <v>74</v>
      </c>
      <c r="J875" s="89" t="str" cm="1">
        <f t="array" ref="J87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75" s="56" t="s">
        <v>189</v>
      </c>
      <c r="L875" s="90" t="s">
        <v>488</v>
      </c>
      <c r="M875" t="s">
        <v>100</v>
      </c>
      <c r="N875" s="56" t="s">
        <v>1129</v>
      </c>
      <c r="O875" s="3" t="s">
        <v>2098</v>
      </c>
      <c r="P875" s="3" t="s">
        <v>146</v>
      </c>
      <c r="Q875" s="83"/>
      <c r="R875" s="11"/>
      <c r="S875" s="11"/>
      <c r="T875" s="3" t="str">
        <f>IF(AND(ProtocolosAF[[#This Row],[STATUS]]="APROVADO",ProtocolosAF[[#This Row],[BILHETE/EMD]]=""),"Y","")</f>
        <v/>
      </c>
      <c r="U875" t="s">
        <v>2099</v>
      </c>
      <c r="V875" s="16" t="str">
        <f>_xlfn.CONCAT(C875,U875)</f>
        <v>DNVTPPTIRABOSCHI/DANIEL</v>
      </c>
      <c r="W875">
        <v>826</v>
      </c>
    </row>
    <row r="876" spans="1:23" ht="15" hidden="1">
      <c r="A876" s="1">
        <v>46168</v>
      </c>
      <c r="B876" t="s">
        <v>10</v>
      </c>
      <c r="C876" t="s">
        <v>2096</v>
      </c>
      <c r="D876" s="23" t="s">
        <v>2097</v>
      </c>
      <c r="E876" t="s">
        <v>73</v>
      </c>
      <c r="F876" s="19"/>
      <c r="G876" s="92"/>
      <c r="H876" s="89">
        <v>251</v>
      </c>
      <c r="I876" s="93" t="s">
        <v>74</v>
      </c>
      <c r="J876" s="89" t="str" cm="1">
        <f t="array" ref="J87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76" s="56" t="s">
        <v>189</v>
      </c>
      <c r="L876" s="90" t="s">
        <v>488</v>
      </c>
      <c r="M876" t="s">
        <v>100</v>
      </c>
      <c r="N876" s="56" t="s">
        <v>1129</v>
      </c>
      <c r="O876" s="3" t="s">
        <v>2098</v>
      </c>
      <c r="P876" s="3" t="s">
        <v>146</v>
      </c>
      <c r="Q876" s="83"/>
      <c r="R876" s="11"/>
      <c r="S876" s="11"/>
      <c r="T876" s="3" t="str">
        <f>IF(AND(ProtocolosAF[[#This Row],[STATUS]]="APROVADO",ProtocolosAF[[#This Row],[BILHETE/EMD]]=""),"Y","")</f>
        <v/>
      </c>
      <c r="U876" t="s">
        <v>2099</v>
      </c>
      <c r="V876" s="16" t="str">
        <f>_xlfn.CONCAT(C876,U876)</f>
        <v>DNVTPPTIRABOSCHI/DANIEL</v>
      </c>
      <c r="W876">
        <v>826</v>
      </c>
    </row>
    <row r="877" spans="1:23" ht="15" hidden="1">
      <c r="A877" s="1">
        <v>46170</v>
      </c>
      <c r="B877" t="s">
        <v>11</v>
      </c>
      <c r="C877" t="s">
        <v>2100</v>
      </c>
      <c r="D877" s="23" t="s">
        <v>2100</v>
      </c>
      <c r="E877" t="s">
        <v>512</v>
      </c>
      <c r="F877" s="19">
        <v>57564931</v>
      </c>
      <c r="G877" s="92">
        <v>579293439158</v>
      </c>
      <c r="H877" s="89">
        <v>129</v>
      </c>
      <c r="I877" s="93" t="s">
        <v>74</v>
      </c>
      <c r="J877" s="89" cm="1">
        <f t="array" ref="J87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129</v>
      </c>
      <c r="K877" s="56" t="s">
        <v>2002</v>
      </c>
      <c r="L877" s="90" t="s">
        <v>172</v>
      </c>
      <c r="M877" t="s">
        <v>43</v>
      </c>
      <c r="N877" s="56" t="s">
        <v>1458</v>
      </c>
      <c r="O877" s="3" t="s">
        <v>68</v>
      </c>
      <c r="P877" s="3" t="s">
        <v>146</v>
      </c>
      <c r="Q877" s="83" t="s">
        <v>1473</v>
      </c>
      <c r="R877" s="11">
        <v>46174</v>
      </c>
      <c r="S877" s="11" t="s">
        <v>2101</v>
      </c>
      <c r="T877" s="3" t="str">
        <f>IF(AND(ProtocolosAF[[#This Row],[STATUS]]="APROVADO",ProtocolosAF[[#This Row],[BILHETE/EMD]]=""),"Y","")</f>
        <v/>
      </c>
      <c r="U877" t="s">
        <v>2102</v>
      </c>
      <c r="V877" s="16" t="str">
        <f>_xlfn.CONCAT(C877,U877)</f>
        <v>CK6WOUALMEIDA PERIN/ALTAMIR APARECIDO</v>
      </c>
      <c r="W877">
        <v>827</v>
      </c>
    </row>
    <row r="878" spans="1:23" ht="15" hidden="1">
      <c r="A878" s="1">
        <v>46174</v>
      </c>
      <c r="B878" t="s">
        <v>11</v>
      </c>
      <c r="C878" t="s">
        <v>2103</v>
      </c>
      <c r="D878" s="23" t="s">
        <v>2103</v>
      </c>
      <c r="E878" t="s">
        <v>512</v>
      </c>
      <c r="F878" s="19"/>
      <c r="G878" s="92"/>
      <c r="H878" s="89">
        <v>70</v>
      </c>
      <c r="I878" s="93" t="s">
        <v>74</v>
      </c>
      <c r="J878" s="89" t="str" cm="1">
        <f t="array" ref="J87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78" s="56" t="s">
        <v>1007</v>
      </c>
      <c r="L878" s="90" t="s">
        <v>172</v>
      </c>
      <c r="M878" t="s">
        <v>100</v>
      </c>
      <c r="N878" s="56" t="s">
        <v>1129</v>
      </c>
      <c r="O878" s="3" t="s">
        <v>2104</v>
      </c>
      <c r="P878" s="3" t="s">
        <v>146</v>
      </c>
      <c r="Q878" s="83"/>
      <c r="R878" s="11"/>
      <c r="S878" s="11"/>
      <c r="T878" s="3" t="str">
        <f>IF(AND(ProtocolosAF[[#This Row],[STATUS]]="APROVADO",ProtocolosAF[[#This Row],[BILHETE/EMD]]=""),"Y","")</f>
        <v/>
      </c>
      <c r="U878" t="s">
        <v>2105</v>
      </c>
      <c r="V878" s="16" t="str">
        <f>_xlfn.CONCAT(C878,U878)</f>
        <v>AISBXGNOGUEIRA SEILER/LILIAN MARQUES</v>
      </c>
      <c r="W878">
        <v>828</v>
      </c>
    </row>
    <row r="879" spans="1:23" ht="15" hidden="1">
      <c r="A879" s="1">
        <v>46175</v>
      </c>
      <c r="B879" t="s">
        <v>12</v>
      </c>
      <c r="C879" t="s">
        <v>2106</v>
      </c>
      <c r="D879" s="23" t="s">
        <v>2107</v>
      </c>
      <c r="E879" t="s">
        <v>73</v>
      </c>
      <c r="F879" s="19">
        <v>57564931</v>
      </c>
      <c r="G879" s="92">
        <v>572358894645</v>
      </c>
      <c r="H879" s="89">
        <v>220</v>
      </c>
      <c r="I879" s="93" t="s">
        <v>74</v>
      </c>
      <c r="J879" s="89" cm="1">
        <f t="array" ref="J87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220</v>
      </c>
      <c r="K879" s="56" t="s">
        <v>289</v>
      </c>
      <c r="L879" s="90" t="s">
        <v>172</v>
      </c>
      <c r="M879" t="s">
        <v>43</v>
      </c>
      <c r="N879" s="56" t="s">
        <v>1096</v>
      </c>
      <c r="O879" s="3" t="s">
        <v>68</v>
      </c>
      <c r="P879" s="3" t="s">
        <v>69</v>
      </c>
      <c r="Q879" s="83" t="s">
        <v>291</v>
      </c>
      <c r="R879" s="11">
        <v>46176</v>
      </c>
      <c r="S879" s="11" t="s">
        <v>2108</v>
      </c>
      <c r="T879" s="3" t="str">
        <f>IF(AND(ProtocolosAF[[#This Row],[STATUS]]="APROVADO",ProtocolosAF[[#This Row],[BILHETE/EMD]]=""),"Y","")</f>
        <v/>
      </c>
      <c r="U879" t="s">
        <v>2109</v>
      </c>
      <c r="V879" s="16" t="str">
        <f>_xlfn.CONCAT(C879,U879)</f>
        <v>C9CQTPVARGAS/ROBERTO RIBEIRO</v>
      </c>
      <c r="W879">
        <v>829</v>
      </c>
    </row>
    <row r="880" spans="1:23" ht="15" hidden="1">
      <c r="A880" s="1">
        <v>46182</v>
      </c>
      <c r="B880" t="s">
        <v>11</v>
      </c>
      <c r="C880" t="s">
        <v>2110</v>
      </c>
      <c r="D880" s="23" t="s">
        <v>2110</v>
      </c>
      <c r="E880" t="s">
        <v>73</v>
      </c>
      <c r="F880" s="19">
        <v>57994602</v>
      </c>
      <c r="G880" s="92">
        <v>574238087967</v>
      </c>
      <c r="H880" s="89">
        <v>90</v>
      </c>
      <c r="I880" s="93" t="s">
        <v>74</v>
      </c>
      <c r="J880" s="89" cm="1">
        <f t="array" ref="J88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90</v>
      </c>
      <c r="K880" s="56" t="s">
        <v>1710</v>
      </c>
      <c r="L880" s="90" t="s">
        <v>172</v>
      </c>
      <c r="M880" t="s">
        <v>43</v>
      </c>
      <c r="N880" s="56" t="s">
        <v>1458</v>
      </c>
      <c r="O880" s="3" t="s">
        <v>68</v>
      </c>
      <c r="P880" s="3" t="s">
        <v>69</v>
      </c>
      <c r="Q880" s="83" t="s">
        <v>1473</v>
      </c>
      <c r="R880" s="11">
        <v>46184</v>
      </c>
      <c r="S880" s="11" t="s">
        <v>2111</v>
      </c>
      <c r="T880" s="3" t="str">
        <f>IF(AND(ProtocolosAF[[#This Row],[STATUS]]="APROVADO",ProtocolosAF[[#This Row],[BILHETE/EMD]]=""),"Y","")</f>
        <v/>
      </c>
      <c r="U880" t="s">
        <v>2112</v>
      </c>
      <c r="V880" s="16" t="str">
        <f>_xlfn.CONCAT(C880,U880)</f>
        <v xml:space="preserve">BPLZ7FAMORIM CARVALHO/MARIA NEIDE </v>
      </c>
      <c r="W880">
        <v>830</v>
      </c>
    </row>
    <row r="881" spans="1:23" ht="15" hidden="1">
      <c r="A881" s="1">
        <v>46183</v>
      </c>
      <c r="B881" t="s">
        <v>10</v>
      </c>
      <c r="C881" t="s">
        <v>2113</v>
      </c>
      <c r="D881" s="23" t="s">
        <v>2113</v>
      </c>
      <c r="E881" t="s">
        <v>512</v>
      </c>
      <c r="F881" s="19">
        <v>57564931</v>
      </c>
      <c r="G881" s="92">
        <v>579293530281</v>
      </c>
      <c r="H881" s="89">
        <v>261</v>
      </c>
      <c r="I881" s="93" t="s">
        <v>74</v>
      </c>
      <c r="J881" s="89" cm="1">
        <f t="array" ref="J88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261</v>
      </c>
      <c r="K881" s="56" t="s">
        <v>2114</v>
      </c>
      <c r="L881" s="90" t="s">
        <v>172</v>
      </c>
      <c r="M881" t="s">
        <v>43</v>
      </c>
      <c r="N881" s="56" t="s">
        <v>65</v>
      </c>
      <c r="O881" s="3" t="s">
        <v>78</v>
      </c>
      <c r="P881" s="3" t="s">
        <v>146</v>
      </c>
      <c r="Q881" s="83" t="s">
        <v>2115</v>
      </c>
      <c r="R881" s="11">
        <v>46183</v>
      </c>
      <c r="S881" s="11" t="s">
        <v>2116</v>
      </c>
      <c r="T881" s="3" t="str">
        <f>IF(AND(ProtocolosAF[[#This Row],[STATUS]]="APROVADO",ProtocolosAF[[#This Row],[BILHETE/EMD]]=""),"Y","")</f>
        <v/>
      </c>
      <c r="U881" t="s">
        <v>2117</v>
      </c>
      <c r="V881" s="16" t="str">
        <f>_xlfn.CONCAT(C881,U881)</f>
        <v>AP4ITRABREU PENTEADO/DELMAS</v>
      </c>
      <c r="W881">
        <v>831</v>
      </c>
    </row>
    <row r="882" spans="1:23" ht="15" hidden="1">
      <c r="A882" s="1">
        <v>46183</v>
      </c>
      <c r="B882" t="s">
        <v>10</v>
      </c>
      <c r="C882" t="s">
        <v>2113</v>
      </c>
      <c r="D882" s="23" t="s">
        <v>2113</v>
      </c>
      <c r="E882" t="s">
        <v>512</v>
      </c>
      <c r="F882" s="19">
        <v>57564931</v>
      </c>
      <c r="G882" s="92">
        <v>579293530280</v>
      </c>
      <c r="H882" s="89">
        <v>261</v>
      </c>
      <c r="I882" s="93" t="s">
        <v>74</v>
      </c>
      <c r="J882" s="89" cm="1">
        <f t="array" ref="J88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261</v>
      </c>
      <c r="K882" s="56" t="s">
        <v>2114</v>
      </c>
      <c r="L882" s="90" t="s">
        <v>172</v>
      </c>
      <c r="M882" t="s">
        <v>43</v>
      </c>
      <c r="N882" s="56" t="s">
        <v>65</v>
      </c>
      <c r="O882" s="3" t="s">
        <v>78</v>
      </c>
      <c r="P882" s="3" t="s">
        <v>146</v>
      </c>
      <c r="Q882" s="83" t="s">
        <v>2118</v>
      </c>
      <c r="R882" s="11">
        <v>46183</v>
      </c>
      <c r="S882" s="11" t="s">
        <v>2116</v>
      </c>
      <c r="T882" s="3" t="str">
        <f>IF(AND(ProtocolosAF[[#This Row],[STATUS]]="APROVADO",ProtocolosAF[[#This Row],[BILHETE/EMD]]=""),"Y","")</f>
        <v/>
      </c>
      <c r="U882" t="s">
        <v>2119</v>
      </c>
      <c r="V882" s="16" t="str">
        <f>_xlfn.CONCAT(C882,U882)</f>
        <v>AP4ITRCORSO PENTEADO/ALICE MARIA</v>
      </c>
      <c r="W882">
        <v>831</v>
      </c>
    </row>
    <row r="883" spans="1:23" ht="15" hidden="1">
      <c r="A883" s="1">
        <v>46191</v>
      </c>
      <c r="B883" t="s">
        <v>11</v>
      </c>
      <c r="C883" t="s">
        <v>2120</v>
      </c>
      <c r="D883" s="23" t="s">
        <v>623</v>
      </c>
      <c r="E883" t="s">
        <v>512</v>
      </c>
      <c r="F883" s="19">
        <v>57991102</v>
      </c>
      <c r="G883" s="92">
        <v>574226709481</v>
      </c>
      <c r="H883" s="89">
        <v>130</v>
      </c>
      <c r="I883" s="93" t="s">
        <v>74</v>
      </c>
      <c r="J883" s="89" cm="1">
        <f t="array" ref="J88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130</v>
      </c>
      <c r="K883" s="56" t="s">
        <v>2002</v>
      </c>
      <c r="L883" s="90" t="s">
        <v>172</v>
      </c>
      <c r="M883" t="s">
        <v>43</v>
      </c>
      <c r="N883" s="56" t="s">
        <v>1458</v>
      </c>
      <c r="O883" s="3" t="s">
        <v>68</v>
      </c>
      <c r="P883" s="3" t="s">
        <v>146</v>
      </c>
      <c r="Q883" s="83" t="s">
        <v>222</v>
      </c>
      <c r="R883" s="11">
        <v>46191</v>
      </c>
      <c r="S883" s="11" t="s">
        <v>2121</v>
      </c>
      <c r="T883" s="3" t="str">
        <f>IF(AND(ProtocolosAF[[#This Row],[STATUS]]="APROVADO",ProtocolosAF[[#This Row],[BILHETE/EMD]]=""),"Y","")</f>
        <v/>
      </c>
      <c r="U883" t="s">
        <v>2122</v>
      </c>
      <c r="V883" s="16" t="str">
        <f>_xlfn.CONCAT(C883,U883)</f>
        <v>ACZYZVPALIZOTO/FABIO ROGERIO</v>
      </c>
      <c r="W883">
        <v>835</v>
      </c>
    </row>
    <row r="884" spans="1:23" ht="15" hidden="1">
      <c r="A884" s="1">
        <v>46195</v>
      </c>
      <c r="B884" t="s">
        <v>10</v>
      </c>
      <c r="C884" t="s">
        <v>2123</v>
      </c>
      <c r="D884" s="23" t="s">
        <v>2123</v>
      </c>
      <c r="E884" t="s">
        <v>512</v>
      </c>
      <c r="F884" s="19">
        <v>57524401</v>
      </c>
      <c r="G884" s="92">
        <v>579293596289</v>
      </c>
      <c r="H884" s="89">
        <v>131</v>
      </c>
      <c r="I884" s="93" t="s">
        <v>74</v>
      </c>
      <c r="J884" s="89" cm="1">
        <f t="array" ref="J88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131</v>
      </c>
      <c r="K884" s="56" t="s">
        <v>1939</v>
      </c>
      <c r="L884" s="90" t="s">
        <v>76</v>
      </c>
      <c r="M884" t="s">
        <v>43</v>
      </c>
      <c r="N884" s="56" t="s">
        <v>65</v>
      </c>
      <c r="O884" s="3" t="s">
        <v>2124</v>
      </c>
      <c r="P884" s="3" t="s">
        <v>46</v>
      </c>
      <c r="Q884" s="83" t="s">
        <v>1325</v>
      </c>
      <c r="R884" s="11">
        <v>46195</v>
      </c>
      <c r="S884" s="11" t="s">
        <v>2125</v>
      </c>
      <c r="T884" s="3" t="str">
        <f>IF(AND(ProtocolosAF[[#This Row],[STATUS]]="APROVADO",ProtocolosAF[[#This Row],[BILHETE/EMD]]=""),"Y","")</f>
        <v/>
      </c>
      <c r="U884" t="s">
        <v>2126</v>
      </c>
      <c r="V884" s="16" t="str">
        <f>_xlfn.CONCAT(C884,U884)</f>
        <v>BEDFM2GONCALVES REBOUCAS GUIMARAES/KAUE</v>
      </c>
      <c r="W884">
        <v>836</v>
      </c>
    </row>
    <row r="885" spans="1:23" ht="15" hidden="1">
      <c r="A885" s="1">
        <v>46203</v>
      </c>
      <c r="B885" t="s">
        <v>14</v>
      </c>
      <c r="C885" t="s">
        <v>2127</v>
      </c>
      <c r="D885" s="23" t="s">
        <v>623</v>
      </c>
      <c r="E885" t="s">
        <v>1902</v>
      </c>
      <c r="F885" s="19"/>
      <c r="G885" s="92"/>
      <c r="H885" s="89">
        <v>1224</v>
      </c>
      <c r="I885" s="93" t="s">
        <v>74</v>
      </c>
      <c r="J885" s="89" t="str" cm="1">
        <f t="array" ref="J88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85" s="56" t="s">
        <v>1279</v>
      </c>
      <c r="L885" s="90" t="s">
        <v>172</v>
      </c>
      <c r="M885" t="s">
        <v>217</v>
      </c>
      <c r="N885" s="56" t="s">
        <v>1155</v>
      </c>
      <c r="O885" s="3" t="s">
        <v>915</v>
      </c>
      <c r="P885" s="3" t="s">
        <v>255</v>
      </c>
      <c r="Q885" s="83"/>
      <c r="R885" s="11"/>
      <c r="S885" s="11"/>
      <c r="T885" s="3" t="str">
        <f>IF(AND(ProtocolosAF[[#This Row],[STATUS]]="APROVADO",ProtocolosAF[[#This Row],[BILHETE/EMD]]=""),"Y","")</f>
        <v/>
      </c>
      <c r="U885" t="s">
        <v>2128</v>
      </c>
      <c r="V885" s="16" t="str">
        <f>_xlfn.CONCAT(C885,U885)</f>
        <v>BG9D3FBAPTISTA/JEFFERSON</v>
      </c>
      <c r="W885">
        <v>838</v>
      </c>
    </row>
    <row r="886" spans="1:23" ht="15" hidden="1">
      <c r="A886" s="1">
        <v>46203</v>
      </c>
      <c r="B886" t="s">
        <v>14</v>
      </c>
      <c r="C886" t="s">
        <v>2127</v>
      </c>
      <c r="D886" s="23" t="s">
        <v>2127</v>
      </c>
      <c r="E886" t="s">
        <v>1902</v>
      </c>
      <c r="F886" s="19">
        <v>57564931</v>
      </c>
      <c r="G886" s="92">
        <v>575010767325</v>
      </c>
      <c r="H886" s="89">
        <v>1224</v>
      </c>
      <c r="I886" s="93" t="s">
        <v>74</v>
      </c>
      <c r="J886" s="89" cm="1">
        <f t="array" ref="J88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1224</v>
      </c>
      <c r="K886" s="56" t="s">
        <v>1279</v>
      </c>
      <c r="L886" s="90" t="s">
        <v>172</v>
      </c>
      <c r="M886" t="s">
        <v>43</v>
      </c>
      <c r="N886" s="56" t="s">
        <v>1096</v>
      </c>
      <c r="O886" s="3" t="s">
        <v>915</v>
      </c>
      <c r="P886" s="3" t="s">
        <v>255</v>
      </c>
      <c r="Q886" s="83" t="s">
        <v>2129</v>
      </c>
      <c r="R886" s="11">
        <v>46206</v>
      </c>
      <c r="S886" s="11" t="s">
        <v>2130</v>
      </c>
      <c r="T886" s="3" t="str">
        <f>IF(AND(ProtocolosAF[[#This Row],[STATUS]]="APROVADO",ProtocolosAF[[#This Row],[BILHETE/EMD]]=""),"Y","")</f>
        <v/>
      </c>
      <c r="U886" t="s">
        <v>2128</v>
      </c>
      <c r="V886" s="16" t="str">
        <f>_xlfn.CONCAT(C886,U886)</f>
        <v>BG9D3FBAPTISTA/JEFFERSON</v>
      </c>
      <c r="W886">
        <v>839</v>
      </c>
    </row>
    <row r="887" spans="1:23" ht="15" hidden="1">
      <c r="A887" s="1">
        <v>46217</v>
      </c>
      <c r="B887" t="s">
        <v>15</v>
      </c>
      <c r="C887" t="s">
        <v>2131</v>
      </c>
      <c r="D887" s="23" t="s">
        <v>2132</v>
      </c>
      <c r="E887" t="s">
        <v>512</v>
      </c>
      <c r="F887" s="19">
        <v>57966204</v>
      </c>
      <c r="G887" s="92">
        <v>572361324148</v>
      </c>
      <c r="H887" s="89">
        <v>219</v>
      </c>
      <c r="I887" s="93" t="s">
        <v>74</v>
      </c>
      <c r="J887" s="89" cm="1">
        <f t="array" ref="J88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219</v>
      </c>
      <c r="K887" s="56" t="s">
        <v>1883</v>
      </c>
      <c r="L887" s="90" t="s">
        <v>2133</v>
      </c>
      <c r="M887" t="s">
        <v>43</v>
      </c>
      <c r="N887" s="56" t="s">
        <v>177</v>
      </c>
      <c r="O887" s="3" t="s">
        <v>78</v>
      </c>
      <c r="P887" s="3" t="s">
        <v>146</v>
      </c>
      <c r="Q887" s="83" t="s">
        <v>396</v>
      </c>
      <c r="R887" s="11">
        <v>46218</v>
      </c>
      <c r="S887" s="11" t="s">
        <v>2134</v>
      </c>
      <c r="T887" s="3" t="str">
        <f>IF(AND(ProtocolosAF[[#This Row],[STATUS]]="APROVADO",ProtocolosAF[[#This Row],[BILHETE/EMD]]=""),"Y","")</f>
        <v/>
      </c>
      <c r="U887" t="s">
        <v>2135</v>
      </c>
      <c r="V887" s="16" t="str">
        <f>_xlfn.CONCAT(C887,U887)</f>
        <v>AHRSNNRIBEIRO/ANA PAULA</v>
      </c>
      <c r="W887">
        <v>840</v>
      </c>
    </row>
    <row r="888" spans="1:23" ht="15" hidden="1">
      <c r="A888" s="1">
        <v>46223</v>
      </c>
      <c r="B888" t="s">
        <v>10</v>
      </c>
      <c r="C888" t="s">
        <v>2136</v>
      </c>
      <c r="D888" s="23" t="s">
        <v>2137</v>
      </c>
      <c r="E888" t="s">
        <v>41</v>
      </c>
      <c r="F888" s="19"/>
      <c r="G888" s="92"/>
      <c r="H888" s="89">
        <v>4746</v>
      </c>
      <c r="I888" s="93">
        <v>0.1</v>
      </c>
      <c r="J888" s="89" t="str" cm="1">
        <f t="array" ref="J88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88" s="56" t="s">
        <v>189</v>
      </c>
      <c r="L888" s="90" t="s">
        <v>76</v>
      </c>
      <c r="M888" t="s">
        <v>100</v>
      </c>
      <c r="N888" s="56" t="s">
        <v>65</v>
      </c>
      <c r="O888" s="3" t="s">
        <v>134</v>
      </c>
      <c r="P888" s="3" t="s">
        <v>146</v>
      </c>
      <c r="Q888" s="83"/>
      <c r="R888" s="11"/>
      <c r="S888" s="11"/>
      <c r="T888" s="3" t="str">
        <f>IF(AND(ProtocolosAF[[#This Row],[STATUS]]="APROVADO",ProtocolosAF[[#This Row],[BILHETE/EMD]]=""),"Y","")</f>
        <v/>
      </c>
      <c r="U888" t="s">
        <v>2138</v>
      </c>
      <c r="V888" s="16" t="str">
        <f>_xlfn.CONCAT(C888,U888)</f>
        <v>SWWNKDNEIVA/JULIANA MRS</v>
      </c>
      <c r="W888">
        <v>841</v>
      </c>
    </row>
    <row r="889" spans="1:23" ht="15" hidden="1">
      <c r="A889" s="1">
        <v>46230</v>
      </c>
      <c r="B889" t="s">
        <v>10</v>
      </c>
      <c r="C889" t="s">
        <v>2139</v>
      </c>
      <c r="D889" s="23" t="s">
        <v>2139</v>
      </c>
      <c r="E889" t="s">
        <v>41</v>
      </c>
      <c r="F889" s="19"/>
      <c r="G889" s="92"/>
      <c r="H889" s="89">
        <v>4602</v>
      </c>
      <c r="I889" s="93">
        <v>0.1</v>
      </c>
      <c r="J889" s="89" t="str" cm="1">
        <f t="array" ref="J88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89" s="56" t="s">
        <v>189</v>
      </c>
      <c r="L889" s="90" t="s">
        <v>76</v>
      </c>
      <c r="M889" t="s">
        <v>100</v>
      </c>
      <c r="N889" s="56" t="s">
        <v>65</v>
      </c>
      <c r="O889" s="3" t="s">
        <v>346</v>
      </c>
      <c r="P889" s="3" t="s">
        <v>146</v>
      </c>
      <c r="Q889" s="83"/>
      <c r="R889" s="11"/>
      <c r="S889" s="11"/>
      <c r="T889" s="3" t="str">
        <f>IF(AND(ProtocolosAF[[#This Row],[STATUS]]="APROVADO",ProtocolosAF[[#This Row],[BILHETE/EMD]]=""),"Y","")</f>
        <v/>
      </c>
      <c r="U889" t="s">
        <v>2140</v>
      </c>
      <c r="V889" s="16" t="str">
        <f>_xlfn.CONCAT(C889,U889)</f>
        <v>AJD6UTRIVA VAN LIESHOUT/GABRIELA</v>
      </c>
      <c r="W889">
        <v>842</v>
      </c>
    </row>
    <row r="890" spans="1:23" ht="15" hidden="1">
      <c r="A890" s="1">
        <v>46230</v>
      </c>
      <c r="B890" t="s">
        <v>10</v>
      </c>
      <c r="C890" t="s">
        <v>2139</v>
      </c>
      <c r="D890" s="23" t="s">
        <v>2139</v>
      </c>
      <c r="E890" t="s">
        <v>41</v>
      </c>
      <c r="F890" s="19"/>
      <c r="G890" s="92"/>
      <c r="H890" s="89">
        <v>4602</v>
      </c>
      <c r="I890" s="93">
        <v>0.1</v>
      </c>
      <c r="J890" s="89" t="str" cm="1">
        <f t="array" ref="J89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90" s="56" t="s">
        <v>189</v>
      </c>
      <c r="L890" s="90" t="s">
        <v>76</v>
      </c>
      <c r="M890" t="s">
        <v>100</v>
      </c>
      <c r="N890" s="56" t="s">
        <v>65</v>
      </c>
      <c r="O890" s="3" t="s">
        <v>346</v>
      </c>
      <c r="P890" s="3" t="s">
        <v>146</v>
      </c>
      <c r="Q890" s="83"/>
      <c r="R890" s="11"/>
      <c r="S890" s="11"/>
      <c r="T890" s="3" t="str">
        <f>IF(AND(ProtocolosAF[[#This Row],[STATUS]]="APROVADO",ProtocolosAF[[#This Row],[BILHETE/EMD]]=""),"Y","")</f>
        <v/>
      </c>
      <c r="U890" t="s">
        <v>2141</v>
      </c>
      <c r="V890" s="16" t="str">
        <f>_xlfn.CONCAT(C890,U890)</f>
        <v>AJD6UTTEIXEIRA CHAVES/FERNANDO</v>
      </c>
      <c r="W890">
        <v>842</v>
      </c>
    </row>
    <row r="891" spans="1:23" ht="15" hidden="1">
      <c r="A891" s="1">
        <v>46230</v>
      </c>
      <c r="B891" t="s">
        <v>11</v>
      </c>
      <c r="C891" t="s">
        <v>2142</v>
      </c>
      <c r="D891" s="23" t="s">
        <v>2142</v>
      </c>
      <c r="E891" t="s">
        <v>41</v>
      </c>
      <c r="F891" s="19">
        <v>57564931</v>
      </c>
      <c r="G891" s="92">
        <v>579293846430</v>
      </c>
      <c r="H891" s="89">
        <v>7722</v>
      </c>
      <c r="I891" s="93">
        <v>0.1</v>
      </c>
      <c r="J891" s="89" cm="1">
        <f t="array" ref="J89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773</v>
      </c>
      <c r="K891" s="56" t="s">
        <v>1260</v>
      </c>
      <c r="L891" s="90" t="s">
        <v>66</v>
      </c>
      <c r="M891" t="s">
        <v>43</v>
      </c>
      <c r="N891" s="56" t="s">
        <v>1129</v>
      </c>
      <c r="O891" s="3" t="s">
        <v>391</v>
      </c>
      <c r="P891" s="3" t="s">
        <v>69</v>
      </c>
      <c r="Q891" s="83" t="s">
        <v>222</v>
      </c>
      <c r="R891" s="11">
        <v>46233</v>
      </c>
      <c r="S891" s="11" t="s">
        <v>2143</v>
      </c>
      <c r="T891" s="3" t="str">
        <f>IF(AND(ProtocolosAF[[#This Row],[STATUS]]="APROVADO",ProtocolosAF[[#This Row],[BILHETE/EMD]]=""),"Y","")</f>
        <v/>
      </c>
      <c r="U891" t="s">
        <v>2144</v>
      </c>
      <c r="V891" s="16" t="str">
        <f>_xlfn.CONCAT(C891,U891)</f>
        <v>AZ9CGK.MATTOS/CLAUDIA</v>
      </c>
      <c r="W891">
        <v>843</v>
      </c>
    </row>
    <row r="892" spans="1:23" ht="15" hidden="1">
      <c r="A892" s="1">
        <v>46230</v>
      </c>
      <c r="B892" t="s">
        <v>11</v>
      </c>
      <c r="C892" t="s">
        <v>2142</v>
      </c>
      <c r="D892" s="23" t="s">
        <v>2142</v>
      </c>
      <c r="E892" t="s">
        <v>41</v>
      </c>
      <c r="F892" s="19">
        <v>57564931</v>
      </c>
      <c r="G892" s="92">
        <v>579293846471</v>
      </c>
      <c r="H892" s="89">
        <v>7722</v>
      </c>
      <c r="I892" s="93">
        <v>0.1</v>
      </c>
      <c r="J892" s="89" cm="1">
        <f t="array" ref="J89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773</v>
      </c>
      <c r="K892" s="56" t="s">
        <v>1260</v>
      </c>
      <c r="L892" s="90" t="s">
        <v>66</v>
      </c>
      <c r="M892" t="s">
        <v>43</v>
      </c>
      <c r="N892" s="56" t="s">
        <v>1129</v>
      </c>
      <c r="O892" s="3" t="s">
        <v>391</v>
      </c>
      <c r="P892" s="3" t="s">
        <v>69</v>
      </c>
      <c r="Q892" s="83" t="s">
        <v>222</v>
      </c>
      <c r="R892" s="11">
        <v>46233</v>
      </c>
      <c r="S892" s="11" t="s">
        <v>2143</v>
      </c>
      <c r="T892" s="3" t="str">
        <f>IF(AND(ProtocolosAF[[#This Row],[STATUS]]="APROVADO",ProtocolosAF[[#This Row],[BILHETE/EMD]]=""),"Y","")</f>
        <v/>
      </c>
      <c r="U892" t="s">
        <v>2145</v>
      </c>
      <c r="V892" s="16" t="str">
        <f>_xlfn.CONCAT(C892,U892)</f>
        <v>AZ9CGKSILVA/LUIZ</v>
      </c>
      <c r="W892">
        <v>843</v>
      </c>
    </row>
    <row r="893" spans="1:23" ht="15" hidden="1">
      <c r="A893" s="1">
        <v>46237</v>
      </c>
      <c r="B893" t="s">
        <v>13</v>
      </c>
      <c r="C893" t="s">
        <v>2146</v>
      </c>
      <c r="D893" s="23" t="s">
        <v>2146</v>
      </c>
      <c r="E893" t="s">
        <v>73</v>
      </c>
      <c r="F893" s="19">
        <v>57994602</v>
      </c>
      <c r="G893" s="92" t="s">
        <v>2147</v>
      </c>
      <c r="H893" s="89">
        <v>800</v>
      </c>
      <c r="I893" s="93" t="s">
        <v>74</v>
      </c>
      <c r="J893" s="89" cm="1">
        <f t="array" ref="J89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800</v>
      </c>
      <c r="K893" s="56" t="s">
        <v>1089</v>
      </c>
      <c r="L893" s="90" t="s">
        <v>172</v>
      </c>
      <c r="M893" t="s">
        <v>43</v>
      </c>
      <c r="N893" s="56" t="s">
        <v>1089</v>
      </c>
      <c r="O893" s="3" t="s">
        <v>101</v>
      </c>
      <c r="P893" s="3" t="s">
        <v>46</v>
      </c>
      <c r="Q893" s="83" t="s">
        <v>229</v>
      </c>
      <c r="R893" s="11">
        <v>46240</v>
      </c>
      <c r="S893" s="11" t="s">
        <v>2148</v>
      </c>
      <c r="T893" s="3" t="str">
        <f>IF(AND(ProtocolosAF[[#This Row],[STATUS]]="APROVADO",ProtocolosAF[[#This Row],[BILHETE/EMD]]=""),"Y","")</f>
        <v/>
      </c>
      <c r="U893" t="s">
        <v>2149</v>
      </c>
      <c r="V893" s="16" t="str">
        <f>_xlfn.CONCAT(C893,U893)</f>
        <v>CJOG75GRYNBAUM INGBERMAN/ELISABETH SILVIA</v>
      </c>
      <c r="W893">
        <v>844</v>
      </c>
    </row>
    <row r="894" spans="1:23" ht="15" hidden="1">
      <c r="A894" s="1">
        <v>46237</v>
      </c>
      <c r="B894" t="s">
        <v>13</v>
      </c>
      <c r="C894" t="s">
        <v>2146</v>
      </c>
      <c r="D894" s="23" t="s">
        <v>2146</v>
      </c>
      <c r="E894" t="s">
        <v>73</v>
      </c>
      <c r="F894" s="19">
        <v>57994602</v>
      </c>
      <c r="G894" s="92" t="s">
        <v>2150</v>
      </c>
      <c r="H894" s="89">
        <v>800</v>
      </c>
      <c r="I894" s="93" t="s">
        <v>74</v>
      </c>
      <c r="J894" s="89" cm="1">
        <f t="array" ref="J89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800</v>
      </c>
      <c r="K894" s="56" t="s">
        <v>1089</v>
      </c>
      <c r="L894" s="90" t="s">
        <v>172</v>
      </c>
      <c r="M894" t="s">
        <v>43</v>
      </c>
      <c r="N894" s="56" t="s">
        <v>1089</v>
      </c>
      <c r="O894" s="3" t="s">
        <v>101</v>
      </c>
      <c r="P894" s="3" t="s">
        <v>46</v>
      </c>
      <c r="Q894" s="83" t="s">
        <v>229</v>
      </c>
      <c r="R894" s="11">
        <v>46240</v>
      </c>
      <c r="S894" s="11" t="s">
        <v>2148</v>
      </c>
      <c r="T894" s="3" t="str">
        <f>IF(AND(ProtocolosAF[[#This Row],[STATUS]]="APROVADO",ProtocolosAF[[#This Row],[BILHETE/EMD]]=""),"Y","")</f>
        <v/>
      </c>
      <c r="U894" t="s">
        <v>2151</v>
      </c>
      <c r="V894" s="16" t="str">
        <f>_xlfn.CONCAT(C894,U894)</f>
        <v>CJOG75KUIGSNER INGBERMAN/JAIME RUBEN</v>
      </c>
      <c r="W894">
        <v>844</v>
      </c>
    </row>
    <row r="895" spans="1:23" ht="15" hidden="1">
      <c r="A895" s="1">
        <v>46237</v>
      </c>
      <c r="B895" t="s">
        <v>11</v>
      </c>
      <c r="C895" t="s">
        <v>2152</v>
      </c>
      <c r="D895" s="23" t="s">
        <v>2152</v>
      </c>
      <c r="E895" t="s">
        <v>41</v>
      </c>
      <c r="F895" s="19"/>
      <c r="G895" s="92"/>
      <c r="H895" s="89">
        <v>1407</v>
      </c>
      <c r="I895" s="93">
        <v>0.1</v>
      </c>
      <c r="J895" s="89" t="str" cm="1">
        <f t="array" ref="J89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95" s="56" t="s">
        <v>1710</v>
      </c>
      <c r="L895" s="90" t="s">
        <v>66</v>
      </c>
      <c r="M895" t="s">
        <v>100</v>
      </c>
      <c r="N895" s="56" t="s">
        <v>2153</v>
      </c>
      <c r="O895" s="3" t="s">
        <v>2154</v>
      </c>
      <c r="P895" s="3" t="s">
        <v>255</v>
      </c>
      <c r="Q895" s="83"/>
      <c r="R895" s="11"/>
      <c r="S895" s="11"/>
      <c r="T895" s="3" t="str">
        <f>IF(AND(ProtocolosAF[[#This Row],[STATUS]]="APROVADO",ProtocolosAF[[#This Row],[BILHETE/EMD]]=""),"Y","")</f>
        <v/>
      </c>
      <c r="U895" t="s">
        <v>2155</v>
      </c>
      <c r="V895" s="16" t="str">
        <f>_xlfn.CONCAT(C895,U895)</f>
        <v>B5HTYFBORGES BERKOWITZ/FRANCESCA</v>
      </c>
      <c r="W895">
        <v>845</v>
      </c>
    </row>
    <row r="896" spans="1:23" ht="15" hidden="1">
      <c r="A896" s="1">
        <v>46237</v>
      </c>
      <c r="B896" t="s">
        <v>11</v>
      </c>
      <c r="C896" t="s">
        <v>2152</v>
      </c>
      <c r="D896" s="23" t="s">
        <v>2152</v>
      </c>
      <c r="E896" t="s">
        <v>41</v>
      </c>
      <c r="F896" s="19"/>
      <c r="G896" s="92"/>
      <c r="H896" s="89">
        <v>1407</v>
      </c>
      <c r="I896" s="93">
        <v>0.1</v>
      </c>
      <c r="J896" s="89" t="str" cm="1">
        <f t="array" ref="J89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96" s="56" t="s">
        <v>1710</v>
      </c>
      <c r="L896" s="90" t="s">
        <v>66</v>
      </c>
      <c r="M896" t="s">
        <v>100</v>
      </c>
      <c r="N896" s="56" t="s">
        <v>2153</v>
      </c>
      <c r="O896" s="3" t="s">
        <v>2154</v>
      </c>
      <c r="P896" s="3" t="s">
        <v>255</v>
      </c>
      <c r="Q896" s="83"/>
      <c r="R896" s="11"/>
      <c r="S896" s="11"/>
      <c r="T896" s="3" t="str">
        <f>IF(AND(ProtocolosAF[[#This Row],[STATUS]]="APROVADO",ProtocolosAF[[#This Row],[BILHETE/EMD]]=""),"Y","")</f>
        <v/>
      </c>
      <c r="U896" t="s">
        <v>2156</v>
      </c>
      <c r="V896" s="16" t="str">
        <f>_xlfn.CONCAT(C896,U896)</f>
        <v>B5HTYFBORGES BERKOWITZ/GUSTAVO MR</v>
      </c>
      <c r="W896">
        <v>845</v>
      </c>
    </row>
    <row r="897" spans="1:23" ht="15" hidden="1">
      <c r="A897" s="1">
        <v>46237</v>
      </c>
      <c r="B897" t="s">
        <v>11</v>
      </c>
      <c r="C897" t="s">
        <v>2152</v>
      </c>
      <c r="D897" s="23" t="s">
        <v>2152</v>
      </c>
      <c r="E897" t="s">
        <v>41</v>
      </c>
      <c r="F897" s="19"/>
      <c r="G897" s="92"/>
      <c r="H897" s="89">
        <v>1407</v>
      </c>
      <c r="I897" s="93">
        <v>0.1</v>
      </c>
      <c r="J897" s="89" t="str" cm="1">
        <f t="array" ref="J89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897" s="56" t="s">
        <v>1710</v>
      </c>
      <c r="L897" s="90" t="s">
        <v>66</v>
      </c>
      <c r="M897" t="s">
        <v>100</v>
      </c>
      <c r="N897" s="56" t="s">
        <v>2153</v>
      </c>
      <c r="O897" s="3" t="s">
        <v>2154</v>
      </c>
      <c r="P897" s="3" t="s">
        <v>255</v>
      </c>
      <c r="Q897" s="83"/>
      <c r="R897" s="11"/>
      <c r="S897" s="11"/>
      <c r="T897" s="3" t="str">
        <f>IF(AND(ProtocolosAF[[#This Row],[STATUS]]="APROVADO",ProtocolosAF[[#This Row],[BILHETE/EMD]]=""),"Y","")</f>
        <v/>
      </c>
      <c r="U897" t="s">
        <v>2157</v>
      </c>
      <c r="V897" s="16" t="str">
        <f>_xlfn.CONCAT(C897,U897)</f>
        <v>B5HTYFLAFACE BORGES BERKOWITZ/DANIELLA</v>
      </c>
      <c r="W897">
        <v>845</v>
      </c>
    </row>
    <row r="898" spans="1:23" ht="15" hidden="1">
      <c r="A898" s="1">
        <v>46252</v>
      </c>
      <c r="B898" t="s">
        <v>10</v>
      </c>
      <c r="C898" t="s">
        <v>2158</v>
      </c>
      <c r="D898" s="23" t="s">
        <v>2158</v>
      </c>
      <c r="E898" t="s">
        <v>73</v>
      </c>
      <c r="F898" s="19">
        <v>57493450</v>
      </c>
      <c r="G898" s="92">
        <v>744135889422</v>
      </c>
      <c r="H898" s="89">
        <v>180</v>
      </c>
      <c r="I898" s="93" t="s">
        <v>74</v>
      </c>
      <c r="J898" s="89" cm="1">
        <f t="array" ref="J89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180</v>
      </c>
      <c r="K898" s="56" t="s">
        <v>1771</v>
      </c>
      <c r="L898" s="90" t="s">
        <v>172</v>
      </c>
      <c r="M898" t="s">
        <v>43</v>
      </c>
      <c r="N898" s="56" t="s">
        <v>1129</v>
      </c>
      <c r="O898" s="3" t="s">
        <v>140</v>
      </c>
      <c r="P898" s="3" t="s">
        <v>69</v>
      </c>
      <c r="Q898" s="83" t="s">
        <v>2159</v>
      </c>
      <c r="R898" s="11">
        <v>46252</v>
      </c>
      <c r="S898" s="11" t="s">
        <v>2160</v>
      </c>
      <c r="T898" s="3" t="str">
        <f>IF(AND(ProtocolosAF[[#This Row],[STATUS]]="APROVADO",ProtocolosAF[[#This Row],[BILHETE/EMD]]=""),"Y","")</f>
        <v/>
      </c>
      <c r="U898" t="s">
        <v>2161</v>
      </c>
      <c r="V898" s="16" t="str">
        <f>_xlfn.CONCAT(C898,U898)</f>
        <v>B9BSKGALLEMAND LEITAO/MARCELO</v>
      </c>
      <c r="W898">
        <v>847</v>
      </c>
    </row>
    <row r="899" spans="1:23" ht="15" hidden="1">
      <c r="A899" s="1">
        <v>46253</v>
      </c>
      <c r="B899" t="s">
        <v>11</v>
      </c>
      <c r="C899" t="s">
        <v>2162</v>
      </c>
      <c r="D899" s="23" t="s">
        <v>2162</v>
      </c>
      <c r="E899" t="s">
        <v>512</v>
      </c>
      <c r="F899" s="19">
        <v>57564931</v>
      </c>
      <c r="G899" s="92">
        <v>574894335015</v>
      </c>
      <c r="H899" s="89">
        <v>130</v>
      </c>
      <c r="I899" s="93" t="s">
        <v>74</v>
      </c>
      <c r="J899" s="89" cm="1">
        <f t="array" ref="J89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130</v>
      </c>
      <c r="K899" s="56" t="s">
        <v>834</v>
      </c>
      <c r="L899" s="90" t="s">
        <v>2163</v>
      </c>
      <c r="M899" t="s">
        <v>43</v>
      </c>
      <c r="N899" s="56" t="s">
        <v>1458</v>
      </c>
      <c r="O899" s="3" t="s">
        <v>111</v>
      </c>
      <c r="P899" s="3" t="s">
        <v>146</v>
      </c>
      <c r="Q899" s="83" t="s">
        <v>2159</v>
      </c>
      <c r="R899" s="11">
        <v>46253</v>
      </c>
      <c r="S899" s="11" t="s">
        <v>2164</v>
      </c>
      <c r="T899" s="3" t="str">
        <f>IF(AND(ProtocolosAF[[#This Row],[STATUS]]="APROVADO",ProtocolosAF[[#This Row],[BILHETE/EMD]]=""),"Y","")</f>
        <v/>
      </c>
      <c r="U899" t="s">
        <v>2165</v>
      </c>
      <c r="V899" s="16" t="str">
        <f>_xlfn.CONCAT(C899,U899)</f>
        <v>B952I5DO VALLE/VAGNER VIDAL</v>
      </c>
      <c r="W899">
        <v>848</v>
      </c>
    </row>
    <row r="900" spans="1:23" ht="15" hidden="1">
      <c r="A900" s="1">
        <v>46253</v>
      </c>
      <c r="B900" t="s">
        <v>11</v>
      </c>
      <c r="C900" t="s">
        <v>2166</v>
      </c>
      <c r="D900" s="23" t="s">
        <v>2166</v>
      </c>
      <c r="E900" t="s">
        <v>512</v>
      </c>
      <c r="F900" s="19">
        <v>57564931</v>
      </c>
      <c r="G900" s="92">
        <v>574894336551</v>
      </c>
      <c r="H900" s="89">
        <v>130</v>
      </c>
      <c r="I900" s="93" t="s">
        <v>74</v>
      </c>
      <c r="J900" s="89" cm="1">
        <f t="array" ref="J90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130</v>
      </c>
      <c r="K900" s="56" t="s">
        <v>1710</v>
      </c>
      <c r="L900" s="90" t="s">
        <v>172</v>
      </c>
      <c r="M900" t="s">
        <v>43</v>
      </c>
      <c r="N900" s="56" t="s">
        <v>1458</v>
      </c>
      <c r="O900" s="3" t="s">
        <v>68</v>
      </c>
      <c r="P900" s="3" t="s">
        <v>146</v>
      </c>
      <c r="Q900" s="83" t="s">
        <v>2159</v>
      </c>
      <c r="R900" s="11">
        <v>46253</v>
      </c>
      <c r="S900" s="11" t="s">
        <v>2167</v>
      </c>
      <c r="T900" s="3" t="str">
        <f>IF(AND(ProtocolosAF[[#This Row],[STATUS]]="APROVADO",ProtocolosAF[[#This Row],[BILHETE/EMD]]=""),"Y","")</f>
        <v/>
      </c>
      <c r="U900" t="s">
        <v>2168</v>
      </c>
      <c r="V900" s="16" t="str">
        <f>_xlfn.CONCAT(C900,U900)</f>
        <v>AD362KPIRES VIEIRA/RODRIGO APARECIDO</v>
      </c>
      <c r="W900">
        <v>849</v>
      </c>
    </row>
    <row r="901" spans="1:23" ht="15" hidden="1">
      <c r="A901" s="1">
        <v>46254</v>
      </c>
      <c r="B901" t="s">
        <v>11</v>
      </c>
      <c r="C901" t="s">
        <v>2169</v>
      </c>
      <c r="D901" s="23" t="s">
        <v>2169</v>
      </c>
      <c r="E901" t="s">
        <v>512</v>
      </c>
      <c r="F901" s="19">
        <v>57564931</v>
      </c>
      <c r="G901" s="92">
        <v>574894346234</v>
      </c>
      <c r="H901" s="89">
        <v>130</v>
      </c>
      <c r="I901" s="93" t="s">
        <v>74</v>
      </c>
      <c r="J901" s="89" cm="1">
        <f t="array" ref="J90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130</v>
      </c>
      <c r="K901" s="56" t="s">
        <v>1710</v>
      </c>
      <c r="L901" s="90" t="s">
        <v>172</v>
      </c>
      <c r="M901" t="s">
        <v>43</v>
      </c>
      <c r="N901" s="56" t="s">
        <v>1458</v>
      </c>
      <c r="O901" s="3" t="s">
        <v>145</v>
      </c>
      <c r="P901" s="3" t="s">
        <v>69</v>
      </c>
      <c r="Q901" s="83" t="s">
        <v>2159</v>
      </c>
      <c r="R901" s="11">
        <v>46255</v>
      </c>
      <c r="S901" s="11" t="s">
        <v>2170</v>
      </c>
      <c r="T901" s="3" t="str">
        <f>IF(AND(ProtocolosAF[[#This Row],[STATUS]]="APROVADO",ProtocolosAF[[#This Row],[BILHETE/EMD]]=""),"Y","")</f>
        <v/>
      </c>
      <c r="U901" t="s">
        <v>2171</v>
      </c>
      <c r="V901" s="16" t="str">
        <f>_xlfn.CONCAT(C901,U901)</f>
        <v>BFOGB8FERREIRA PROVIDAKIS/ALEXANDRA ELEFTHERIA</v>
      </c>
      <c r="W901">
        <v>850</v>
      </c>
    </row>
    <row r="902" spans="1:23" ht="15" hidden="1">
      <c r="A902" s="1">
        <v>46276</v>
      </c>
      <c r="B902" t="s">
        <v>16</v>
      </c>
      <c r="C902" t="s">
        <v>2172</v>
      </c>
      <c r="D902" s="23" t="s">
        <v>2172</v>
      </c>
      <c r="E902" t="s">
        <v>73</v>
      </c>
      <c r="F902" s="19">
        <v>57994602</v>
      </c>
      <c r="G902" s="92">
        <v>574238088132</v>
      </c>
      <c r="H902" s="89">
        <v>73</v>
      </c>
      <c r="I902" s="93" t="s">
        <v>74</v>
      </c>
      <c r="J902" s="89" cm="1">
        <f t="array" ref="J90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73</v>
      </c>
      <c r="K902" s="56" t="s">
        <v>1931</v>
      </c>
      <c r="L902" s="90" t="s">
        <v>172</v>
      </c>
      <c r="M902" t="s">
        <v>43</v>
      </c>
      <c r="N902" s="56" t="s">
        <v>1012</v>
      </c>
      <c r="O902" s="3" t="s">
        <v>2173</v>
      </c>
      <c r="P902" s="3" t="s">
        <v>69</v>
      </c>
      <c r="Q902" s="83" t="s">
        <v>396</v>
      </c>
      <c r="R902" s="11">
        <v>46279</v>
      </c>
      <c r="S902" s="11" t="s">
        <v>2174</v>
      </c>
      <c r="T902" s="3" t="str">
        <f>IF(AND(ProtocolosAF[[#This Row],[STATUS]]="APROVADO",ProtocolosAF[[#This Row],[BILHETE/EMD]]=""),"Y","")</f>
        <v/>
      </c>
      <c r="U902" t="s">
        <v>2175</v>
      </c>
      <c r="V902" s="16" t="str">
        <f>_xlfn.CONCAT(C902,U902)</f>
        <v>BXK8H9BASTOS LOPES/RICARDO EDSON</v>
      </c>
      <c r="W902">
        <v>852</v>
      </c>
    </row>
    <row r="903" spans="1:23" ht="15" hidden="1">
      <c r="A903" s="1">
        <v>46276</v>
      </c>
      <c r="B903" t="s">
        <v>16</v>
      </c>
      <c r="C903" t="s">
        <v>2172</v>
      </c>
      <c r="D903" s="23" t="s">
        <v>2172</v>
      </c>
      <c r="E903" t="s">
        <v>73</v>
      </c>
      <c r="F903" s="19">
        <v>57994602</v>
      </c>
      <c r="G903" s="92">
        <v>574238088133</v>
      </c>
      <c r="H903" s="89">
        <v>73</v>
      </c>
      <c r="I903" s="93" t="s">
        <v>74</v>
      </c>
      <c r="J903" s="89" cm="1">
        <f t="array" ref="J90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73</v>
      </c>
      <c r="K903" s="56" t="s">
        <v>1931</v>
      </c>
      <c r="L903" s="90" t="s">
        <v>172</v>
      </c>
      <c r="M903" t="s">
        <v>43</v>
      </c>
      <c r="N903" s="56" t="s">
        <v>1012</v>
      </c>
      <c r="O903" s="3" t="s">
        <v>2173</v>
      </c>
      <c r="P903" s="3" t="s">
        <v>69</v>
      </c>
      <c r="Q903" s="83" t="s">
        <v>396</v>
      </c>
      <c r="R903" s="11">
        <v>46279</v>
      </c>
      <c r="S903" s="11" t="s">
        <v>2174</v>
      </c>
      <c r="T903" s="3" t="str">
        <f>IF(AND(ProtocolosAF[[#This Row],[STATUS]]="APROVADO",ProtocolosAF[[#This Row],[BILHETE/EMD]]=""),"Y","")</f>
        <v/>
      </c>
      <c r="U903" t="s">
        <v>2176</v>
      </c>
      <c r="V903" s="16" t="str">
        <f>_xlfn.CONCAT(C903,U903)</f>
        <v>BXK8H9VALENTE LOPES/DANIELE</v>
      </c>
      <c r="W903">
        <v>852</v>
      </c>
    </row>
    <row r="904" spans="1:23" ht="15" hidden="1">
      <c r="A904" s="1">
        <v>46280</v>
      </c>
      <c r="B904" t="s">
        <v>14</v>
      </c>
      <c r="C904" t="s">
        <v>2177</v>
      </c>
      <c r="D904" s="23" t="s">
        <v>2178</v>
      </c>
      <c r="E904" t="s">
        <v>1902</v>
      </c>
      <c r="F904" s="19">
        <v>57564931</v>
      </c>
      <c r="G904" s="92">
        <v>572346922561</v>
      </c>
      <c r="H904" s="89">
        <v>1645</v>
      </c>
      <c r="I904" s="93" t="s">
        <v>74</v>
      </c>
      <c r="J904" s="89" cm="1">
        <f t="array" ref="J90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1645</v>
      </c>
      <c r="K904" s="56" t="s">
        <v>1279</v>
      </c>
      <c r="L904" s="90" t="s">
        <v>529</v>
      </c>
      <c r="M904" t="s">
        <v>43</v>
      </c>
      <c r="N904" s="56" t="s">
        <v>1279</v>
      </c>
      <c r="O904" s="3" t="s">
        <v>78</v>
      </c>
      <c r="P904" s="3" t="s">
        <v>146</v>
      </c>
      <c r="Q904" s="83" t="s">
        <v>2159</v>
      </c>
      <c r="R904" s="11">
        <v>46283</v>
      </c>
      <c r="S904" s="11" t="s">
        <v>2179</v>
      </c>
      <c r="T904" s="3" t="str">
        <f>IF(AND(ProtocolosAF[[#This Row],[STATUS]]="APROVADO",ProtocolosAF[[#This Row],[BILHETE/EMD]]=""),"Y","")</f>
        <v/>
      </c>
      <c r="U904" t="s">
        <v>2180</v>
      </c>
      <c r="V904" s="16" t="str">
        <f>_xlfn.CONCAT(C904,U904)</f>
        <v>CBS88DMENDES/RENATA CRISTIANE</v>
      </c>
      <c r="W904">
        <v>853</v>
      </c>
    </row>
    <row r="905" spans="1:23" ht="15" hidden="1">
      <c r="A905" s="1">
        <v>46280</v>
      </c>
      <c r="B905" t="s">
        <v>14</v>
      </c>
      <c r="C905" t="s">
        <v>2181</v>
      </c>
      <c r="D905" s="23" t="s">
        <v>2182</v>
      </c>
      <c r="E905" t="s">
        <v>1902</v>
      </c>
      <c r="F905" s="19">
        <v>57564931</v>
      </c>
      <c r="G905" s="92">
        <v>572346922562</v>
      </c>
      <c r="H905" s="89">
        <v>1645</v>
      </c>
      <c r="I905" s="93" t="s">
        <v>74</v>
      </c>
      <c r="J905" s="89" cm="1">
        <f t="array" ref="J90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1645</v>
      </c>
      <c r="K905" s="56" t="s">
        <v>1279</v>
      </c>
      <c r="L905" s="90" t="s">
        <v>529</v>
      </c>
      <c r="M905" t="s">
        <v>43</v>
      </c>
      <c r="N905" s="56" t="s">
        <v>1279</v>
      </c>
      <c r="O905" s="3" t="s">
        <v>78</v>
      </c>
      <c r="P905" s="3" t="s">
        <v>146</v>
      </c>
      <c r="Q905" s="83" t="s">
        <v>2159</v>
      </c>
      <c r="R905" s="11">
        <v>46283</v>
      </c>
      <c r="S905" s="11" t="s">
        <v>2179</v>
      </c>
      <c r="T905" s="3" t="str">
        <f>IF(AND(ProtocolosAF[[#This Row],[STATUS]]="APROVADO",ProtocolosAF[[#This Row],[BILHETE/EMD]]=""),"Y","")</f>
        <v/>
      </c>
      <c r="U905" t="s">
        <v>2183</v>
      </c>
      <c r="V905" s="16" t="str">
        <f>_xlfn.CONCAT(C905,U905)</f>
        <v>CBPEH6MENDES/RINALDO JOSE</v>
      </c>
      <c r="W905">
        <v>854</v>
      </c>
    </row>
    <row r="906" spans="1:23" ht="15" hidden="1">
      <c r="A906" s="1">
        <v>46290</v>
      </c>
      <c r="B906" t="s">
        <v>16</v>
      </c>
      <c r="C906" t="s">
        <v>2184</v>
      </c>
      <c r="D906" s="23" t="s">
        <v>2184</v>
      </c>
      <c r="E906" t="s">
        <v>73</v>
      </c>
      <c r="F906" s="19">
        <v>57994602</v>
      </c>
      <c r="G906" s="92">
        <v>574238088168</v>
      </c>
      <c r="H906" s="89">
        <v>70</v>
      </c>
      <c r="I906" s="93" t="s">
        <v>74</v>
      </c>
      <c r="J906" s="89" cm="1">
        <f t="array" ref="J90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70</v>
      </c>
      <c r="K906" s="56" t="s">
        <v>2185</v>
      </c>
      <c r="L906" s="90" t="s">
        <v>172</v>
      </c>
      <c r="M906" t="s">
        <v>43</v>
      </c>
      <c r="N906" s="56" t="s">
        <v>177</v>
      </c>
      <c r="O906" s="3" t="s">
        <v>2186</v>
      </c>
      <c r="P906" s="3" t="s">
        <v>69</v>
      </c>
      <c r="Q906" s="83" t="s">
        <v>396</v>
      </c>
      <c r="R906" s="11">
        <v>46290</v>
      </c>
      <c r="S906" s="11" t="s">
        <v>2187</v>
      </c>
      <c r="T906" s="3" t="str">
        <f>IF(AND(ProtocolosAF[[#This Row],[STATUS]]="APROVADO",ProtocolosAF[[#This Row],[BILHETE/EMD]]=""),"Y","")</f>
        <v/>
      </c>
      <c r="U906" t="s">
        <v>2188</v>
      </c>
      <c r="V906" s="16" t="str">
        <f>_xlfn.CONCAT(C906,U906)</f>
        <v>CZFWT3BRANDAO DE GOES CARVALHO/LOUISE</v>
      </c>
      <c r="W906">
        <v>856</v>
      </c>
    </row>
    <row r="907" spans="1:23" ht="15" hidden="1">
      <c r="A907" s="1">
        <v>46290</v>
      </c>
      <c r="B907" t="s">
        <v>16</v>
      </c>
      <c r="C907" t="s">
        <v>2184</v>
      </c>
      <c r="D907" s="23" t="s">
        <v>2184</v>
      </c>
      <c r="E907" t="s">
        <v>73</v>
      </c>
      <c r="F907" s="19"/>
      <c r="G907" s="92"/>
      <c r="H907" s="89">
        <v>70</v>
      </c>
      <c r="I907" s="93" t="s">
        <v>74</v>
      </c>
      <c r="J907" s="89" t="str" cm="1">
        <f t="array" ref="J90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907" s="56" t="s">
        <v>2185</v>
      </c>
      <c r="L907" s="90" t="s">
        <v>172</v>
      </c>
      <c r="M907" t="s">
        <v>100</v>
      </c>
      <c r="N907" s="56" t="s">
        <v>177</v>
      </c>
      <c r="O907" s="3" t="s">
        <v>2189</v>
      </c>
      <c r="P907" s="3" t="s">
        <v>69</v>
      </c>
      <c r="Q907" s="83"/>
      <c r="R907" s="11"/>
      <c r="S907" s="11"/>
      <c r="T907" s="3" t="str">
        <f>IF(AND(ProtocolosAF[[#This Row],[STATUS]]="APROVADO",ProtocolosAF[[#This Row],[BILHETE/EMD]]=""),"Y","")</f>
        <v/>
      </c>
      <c r="U907" t="s">
        <v>2188</v>
      </c>
      <c r="V907" s="16" t="str">
        <f>_xlfn.CONCAT(C907,U907)</f>
        <v>CZFWT3BRANDAO DE GOES CARVALHO/LOUISE</v>
      </c>
      <c r="W907">
        <v>856</v>
      </c>
    </row>
    <row r="908" spans="1:23" ht="15" hidden="1">
      <c r="A908" s="1">
        <v>46290</v>
      </c>
      <c r="B908" t="s">
        <v>16</v>
      </c>
      <c r="C908" t="s">
        <v>2190</v>
      </c>
      <c r="D908" t="s">
        <v>2191</v>
      </c>
      <c r="E908" t="s">
        <v>73</v>
      </c>
      <c r="F908" s="19">
        <v>57994602</v>
      </c>
      <c r="G908" s="92">
        <v>574238088181</v>
      </c>
      <c r="H908" s="89">
        <v>99</v>
      </c>
      <c r="I908" s="93" t="s">
        <v>74</v>
      </c>
      <c r="J908" s="89" cm="1">
        <f t="array" ref="J90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99</v>
      </c>
      <c r="K908" s="56" t="s">
        <v>2185</v>
      </c>
      <c r="L908" s="90" t="s">
        <v>172</v>
      </c>
      <c r="M908" t="s">
        <v>43</v>
      </c>
      <c r="N908" s="56" t="s">
        <v>177</v>
      </c>
      <c r="O908" s="3" t="s">
        <v>2192</v>
      </c>
      <c r="P908" s="3" t="s">
        <v>69</v>
      </c>
      <c r="Q908" s="10" t="s">
        <v>396</v>
      </c>
      <c r="R908" s="11">
        <v>46290</v>
      </c>
      <c r="S908" s="11" t="s">
        <v>2193</v>
      </c>
      <c r="T908" s="3" t="str">
        <f>IF(AND(ProtocolosAF[[#This Row],[STATUS]]="APROVADO",ProtocolosAF[[#This Row],[BILHETE/EMD]]=""),"Y","")</f>
        <v/>
      </c>
      <c r="U908" t="s">
        <v>2194</v>
      </c>
      <c r="V908" s="16" t="str">
        <f>_xlfn.CONCAT(C908,U908)</f>
        <v>CTLRUYALMEIDA SOUZA/RENATO JAIME</v>
      </c>
    </row>
    <row r="909" spans="1:23" ht="15" hidden="1">
      <c r="A909" s="1">
        <v>46290</v>
      </c>
      <c r="B909" t="s">
        <v>16</v>
      </c>
      <c r="C909" t="s">
        <v>2195</v>
      </c>
      <c r="D909" s="23" t="s">
        <v>2191</v>
      </c>
      <c r="E909" t="s">
        <v>73</v>
      </c>
      <c r="F909" s="19">
        <v>57994602</v>
      </c>
      <c r="G909" s="92">
        <v>574238088182</v>
      </c>
      <c r="H909" s="89">
        <v>99</v>
      </c>
      <c r="I909" s="93" t="s">
        <v>74</v>
      </c>
      <c r="J909" s="89" cm="1">
        <f t="array" ref="J90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99</v>
      </c>
      <c r="K909" s="56" t="s">
        <v>2185</v>
      </c>
      <c r="L909" s="90" t="s">
        <v>172</v>
      </c>
      <c r="M909" t="s">
        <v>43</v>
      </c>
      <c r="N909" s="56" t="s">
        <v>177</v>
      </c>
      <c r="O909" s="3" t="s">
        <v>2192</v>
      </c>
      <c r="P909" s="3" t="s">
        <v>69</v>
      </c>
      <c r="Q909" s="10" t="s">
        <v>2196</v>
      </c>
      <c r="R909" s="11">
        <v>46290</v>
      </c>
      <c r="S909" s="11" t="s">
        <v>2193</v>
      </c>
      <c r="T909" s="3" t="str">
        <f>IF(AND(ProtocolosAF[[#This Row],[STATUS]]="APROVADO",ProtocolosAF[[#This Row],[BILHETE/EMD]]=""),"Y","")</f>
        <v/>
      </c>
      <c r="U909" t="s">
        <v>2197</v>
      </c>
      <c r="V909" s="16" t="str">
        <f>_xlfn.CONCAT(C909,U909)</f>
        <v>CLTRUYALVES NUNES ALMEIDA SOUZA/DORAIDES</v>
      </c>
    </row>
    <row r="910" spans="1:23" ht="15" hidden="1">
      <c r="A910" s="1">
        <v>46290</v>
      </c>
      <c r="B910" t="s">
        <v>16</v>
      </c>
      <c r="C910" t="s">
        <v>2195</v>
      </c>
      <c r="D910" s="23" t="s">
        <v>2191</v>
      </c>
      <c r="E910" t="s">
        <v>73</v>
      </c>
      <c r="F910" s="19">
        <v>57994602</v>
      </c>
      <c r="G910" s="92">
        <v>574238088183</v>
      </c>
      <c r="H910" s="89">
        <v>99</v>
      </c>
      <c r="I910" s="93" t="s">
        <v>74</v>
      </c>
      <c r="J910" s="89" cm="1">
        <f t="array" ref="J91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99</v>
      </c>
      <c r="K910" s="56" t="s">
        <v>2185</v>
      </c>
      <c r="L910" s="90" t="s">
        <v>172</v>
      </c>
      <c r="M910" t="s">
        <v>43</v>
      </c>
      <c r="N910" s="56" t="s">
        <v>177</v>
      </c>
      <c r="O910" s="3" t="s">
        <v>2192</v>
      </c>
      <c r="P910" s="3" t="s">
        <v>69</v>
      </c>
      <c r="Q910" s="10" t="s">
        <v>396</v>
      </c>
      <c r="R910" s="11">
        <v>46290</v>
      </c>
      <c r="S910" s="11" t="s">
        <v>2193</v>
      </c>
      <c r="T910" s="3" t="str">
        <f>IF(AND(ProtocolosAF[[#This Row],[STATUS]]="APROVADO",ProtocolosAF[[#This Row],[BILHETE/EMD]]=""),"Y","")</f>
        <v/>
      </c>
      <c r="U910" t="s">
        <v>2198</v>
      </c>
      <c r="V910" s="16" t="str">
        <f>_xlfn.CONCAT(C910,U910)</f>
        <v>CLTRUYDE JESUS BELEM E SILVA/ROSANE</v>
      </c>
    </row>
    <row r="911" spans="1:23" ht="15" hidden="1">
      <c r="A911" s="1">
        <v>46290</v>
      </c>
      <c r="B911" t="s">
        <v>16</v>
      </c>
      <c r="C911" t="s">
        <v>2195</v>
      </c>
      <c r="D911" s="23" t="s">
        <v>2191</v>
      </c>
      <c r="E911" t="s">
        <v>73</v>
      </c>
      <c r="F911" s="19">
        <v>57994602</v>
      </c>
      <c r="G911" s="92">
        <v>574238088184</v>
      </c>
      <c r="H911" s="89">
        <v>99</v>
      </c>
      <c r="I911" s="93" t="s">
        <v>74</v>
      </c>
      <c r="J911" s="89" cm="1">
        <f t="array" ref="J91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99</v>
      </c>
      <c r="K911" s="56" t="s">
        <v>2185</v>
      </c>
      <c r="L911" s="90" t="s">
        <v>172</v>
      </c>
      <c r="M911" t="s">
        <v>43</v>
      </c>
      <c r="N911" s="56" t="s">
        <v>177</v>
      </c>
      <c r="O911" s="3" t="s">
        <v>2192</v>
      </c>
      <c r="P911" s="3" t="s">
        <v>69</v>
      </c>
      <c r="Q911" s="10" t="s">
        <v>396</v>
      </c>
      <c r="R911" s="11">
        <v>46290</v>
      </c>
      <c r="S911" s="11" t="s">
        <v>2193</v>
      </c>
      <c r="T911" s="3" t="str">
        <f>IF(AND(ProtocolosAF[[#This Row],[STATUS]]="APROVADO",ProtocolosAF[[#This Row],[BILHETE/EMD]]=""),"Y","")</f>
        <v/>
      </c>
      <c r="U911" t="s">
        <v>2199</v>
      </c>
      <c r="V911" s="16" t="str">
        <f>_xlfn.CONCAT(C911,U911)</f>
        <v>CLTRUYSOUZA E SILVA JUNIOR/ERNANI</v>
      </c>
    </row>
    <row r="912" spans="1:23" ht="15">
      <c r="A912" s="1">
        <v>46296</v>
      </c>
      <c r="B912" t="s">
        <v>16</v>
      </c>
      <c r="C912" t="s">
        <v>2200</v>
      </c>
      <c r="D912" s="23" t="s">
        <v>2200</v>
      </c>
      <c r="E912" t="s">
        <v>73</v>
      </c>
      <c r="F912" s="19">
        <v>57994602</v>
      </c>
      <c r="G912" s="92">
        <v>574238088210</v>
      </c>
      <c r="H912" s="89">
        <v>200</v>
      </c>
      <c r="I912" s="93" t="s">
        <v>74</v>
      </c>
      <c r="J912" s="89" cm="1">
        <f t="array" ref="J91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200</v>
      </c>
      <c r="K912" s="56" t="s">
        <v>1931</v>
      </c>
      <c r="L912" s="90" t="s">
        <v>172</v>
      </c>
      <c r="M912" t="s">
        <v>43</v>
      </c>
      <c r="N912" s="56" t="s">
        <v>1012</v>
      </c>
      <c r="O912" s="3" t="s">
        <v>2201</v>
      </c>
      <c r="P912" s="3" t="s">
        <v>69</v>
      </c>
      <c r="Q912" s="10" t="s">
        <v>396</v>
      </c>
      <c r="R912" s="11">
        <v>46299</v>
      </c>
      <c r="S912" s="11" t="s">
        <v>2202</v>
      </c>
      <c r="T912" s="3" t="str">
        <f>IF(AND(ProtocolosAF[[#This Row],[STATUS]]="APROVADO",ProtocolosAF[[#This Row],[BILHETE/EMD]]=""),"Y","")</f>
        <v/>
      </c>
      <c r="U912" t="s">
        <v>2203</v>
      </c>
      <c r="V912" s="16" t="str">
        <f>_xlfn.CONCAT(C912,U912)</f>
        <v>AJQCTVARAUJO/MARIANA MRS</v>
      </c>
      <c r="W912">
        <v>857</v>
      </c>
    </row>
    <row r="913" spans="1:23" ht="15">
      <c r="A913" s="1">
        <v>46296</v>
      </c>
      <c r="B913" t="s">
        <v>16</v>
      </c>
      <c r="C913" t="s">
        <v>2200</v>
      </c>
      <c r="D913" s="23" t="s">
        <v>2200</v>
      </c>
      <c r="E913" t="s">
        <v>73</v>
      </c>
      <c r="F913" s="19">
        <v>57994602</v>
      </c>
      <c r="G913" s="92">
        <v>574238088211</v>
      </c>
      <c r="H913" s="89">
        <v>200</v>
      </c>
      <c r="I913" s="93" t="s">
        <v>74</v>
      </c>
      <c r="J913" s="89" cm="1">
        <f t="array" ref="J913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200</v>
      </c>
      <c r="K913" s="56" t="s">
        <v>1931</v>
      </c>
      <c r="L913" s="90" t="s">
        <v>172</v>
      </c>
      <c r="M913" t="s">
        <v>43</v>
      </c>
      <c r="N913" s="56" t="s">
        <v>1012</v>
      </c>
      <c r="O913" s="3" t="s">
        <v>2201</v>
      </c>
      <c r="P913" s="3" t="s">
        <v>69</v>
      </c>
      <c r="Q913" s="10" t="s">
        <v>396</v>
      </c>
      <c r="R913" s="11">
        <v>46299</v>
      </c>
      <c r="S913" s="11" t="s">
        <v>2202</v>
      </c>
      <c r="T913" s="3" t="str">
        <f>IF(AND(ProtocolosAF[[#This Row],[STATUS]]="APROVADO",ProtocolosAF[[#This Row],[BILHETE/EMD]]=""),"Y","")</f>
        <v/>
      </c>
      <c r="U913" t="s">
        <v>2204</v>
      </c>
      <c r="V913" s="16" t="str">
        <f>_xlfn.CONCAT(C913,U913)</f>
        <v>AJQCTVFIUZA/ANA CRISTINA MRS</v>
      </c>
      <c r="W913">
        <v>857</v>
      </c>
    </row>
    <row r="914" spans="1:23" ht="15">
      <c r="A914" s="1">
        <v>46296</v>
      </c>
      <c r="B914" t="s">
        <v>16</v>
      </c>
      <c r="C914" t="s">
        <v>2200</v>
      </c>
      <c r="D914" s="23" t="s">
        <v>2200</v>
      </c>
      <c r="E914" t="s">
        <v>73</v>
      </c>
      <c r="F914" s="19">
        <v>57994602</v>
      </c>
      <c r="G914" s="92">
        <v>574238088212</v>
      </c>
      <c r="H914" s="89">
        <v>200</v>
      </c>
      <c r="I914" s="93" t="s">
        <v>74</v>
      </c>
      <c r="J914" s="89" cm="1">
        <f t="array" ref="J914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200</v>
      </c>
      <c r="K914" s="56" t="s">
        <v>1931</v>
      </c>
      <c r="L914" s="90" t="s">
        <v>172</v>
      </c>
      <c r="M914" t="s">
        <v>43</v>
      </c>
      <c r="N914" s="56" t="s">
        <v>1012</v>
      </c>
      <c r="O914" s="3" t="s">
        <v>2201</v>
      </c>
      <c r="P914" s="3" t="s">
        <v>69</v>
      </c>
      <c r="Q914" s="10" t="s">
        <v>396</v>
      </c>
      <c r="R914" s="11">
        <v>46299</v>
      </c>
      <c r="S914" s="11" t="s">
        <v>2202</v>
      </c>
      <c r="T914" s="3" t="str">
        <f>IF(AND(ProtocolosAF[[#This Row],[STATUS]]="APROVADO",ProtocolosAF[[#This Row],[BILHETE/EMD]]=""),"Y","")</f>
        <v/>
      </c>
      <c r="U914" t="s">
        <v>2205</v>
      </c>
      <c r="V914" s="16" t="str">
        <f>_xlfn.CONCAT(C914,U914)</f>
        <v>AJQCTVVALIM/JULIANA MRS</v>
      </c>
      <c r="W914">
        <v>857</v>
      </c>
    </row>
    <row r="915" spans="1:23" ht="15">
      <c r="A915" s="1">
        <v>46297</v>
      </c>
      <c r="B915" t="s">
        <v>14</v>
      </c>
      <c r="C915" t="s">
        <v>2206</v>
      </c>
      <c r="D915" s="23" t="s">
        <v>2207</v>
      </c>
      <c r="E915" t="s">
        <v>73</v>
      </c>
      <c r="F915" s="19">
        <v>57997424</v>
      </c>
      <c r="G915" s="92">
        <v>744136346815</v>
      </c>
      <c r="H915" s="89">
        <v>206</v>
      </c>
      <c r="I915" s="93" t="s">
        <v>74</v>
      </c>
      <c r="J915" s="89" cm="1">
        <f t="array" ref="J915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206</v>
      </c>
      <c r="K915" s="56" t="s">
        <v>289</v>
      </c>
      <c r="L915" s="90" t="s">
        <v>172</v>
      </c>
      <c r="M915" t="s">
        <v>43</v>
      </c>
      <c r="N915" s="56" t="s">
        <v>1096</v>
      </c>
      <c r="O915" s="3" t="s">
        <v>140</v>
      </c>
      <c r="P915" s="3" t="s">
        <v>46</v>
      </c>
      <c r="Q915" s="10" t="s">
        <v>291</v>
      </c>
      <c r="R915" s="11">
        <v>46303</v>
      </c>
      <c r="S915" s="10" t="s">
        <v>80</v>
      </c>
      <c r="T915" s="3" t="str">
        <f>IF(AND(ProtocolosAF[[#This Row],[STATUS]]="APROVADO",ProtocolosAF[[#This Row],[BILHETE/EMD]]=""),"Y","")</f>
        <v/>
      </c>
      <c r="U915" t="s">
        <v>2208</v>
      </c>
      <c r="V915" s="16" t="str">
        <f>_xlfn.CONCAT(C915,U915)</f>
        <v>BI7FOVCECCARELLI/CAIO CESAR</v>
      </c>
      <c r="W915">
        <v>858</v>
      </c>
    </row>
    <row r="916" spans="1:23" ht="15">
      <c r="A916" s="1">
        <v>46297</v>
      </c>
      <c r="B916" t="s">
        <v>14</v>
      </c>
      <c r="C916" t="s">
        <v>2206</v>
      </c>
      <c r="D916" s="23" t="s">
        <v>2207</v>
      </c>
      <c r="E916" t="s">
        <v>73</v>
      </c>
      <c r="F916" s="19">
        <v>57997424</v>
      </c>
      <c r="G916" s="92">
        <v>744136346816</v>
      </c>
      <c r="H916" s="89">
        <v>206</v>
      </c>
      <c r="I916" s="93" t="s">
        <v>74</v>
      </c>
      <c r="J916" s="89" cm="1">
        <f t="array" ref="J916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206</v>
      </c>
      <c r="K916" s="56" t="s">
        <v>289</v>
      </c>
      <c r="L916" s="90" t="s">
        <v>172</v>
      </c>
      <c r="M916" t="s">
        <v>43</v>
      </c>
      <c r="N916" s="56" t="s">
        <v>1096</v>
      </c>
      <c r="O916" s="3" t="s">
        <v>140</v>
      </c>
      <c r="P916" s="3" t="s">
        <v>46</v>
      </c>
      <c r="Q916" s="10" t="s">
        <v>291</v>
      </c>
      <c r="R916" s="11">
        <v>46303</v>
      </c>
      <c r="S916" s="10" t="s">
        <v>80</v>
      </c>
      <c r="T916" s="3" t="str">
        <f>IF(AND(ProtocolosAF[[#This Row],[STATUS]]="APROVADO",ProtocolosAF[[#This Row],[BILHETE/EMD]]=""),"Y","")</f>
        <v/>
      </c>
      <c r="U916" t="s">
        <v>2209</v>
      </c>
      <c r="V916" s="16" t="str">
        <f>_xlfn.CONCAT(C916,U916)</f>
        <v>BI7FOVSOARES CECCARELLI/SANDRA HELENA</v>
      </c>
      <c r="W916">
        <v>858</v>
      </c>
    </row>
    <row r="917" spans="1:23" ht="15">
      <c r="A917" s="1">
        <v>46302</v>
      </c>
      <c r="B917" t="s">
        <v>12</v>
      </c>
      <c r="C917" t="s">
        <v>2210</v>
      </c>
      <c r="D917" s="23" t="s">
        <v>2210</v>
      </c>
      <c r="E917" t="s">
        <v>41</v>
      </c>
      <c r="F917" s="19"/>
      <c r="G917" s="92"/>
      <c r="H917" s="89">
        <v>4827</v>
      </c>
      <c r="I917" s="93">
        <v>0.12</v>
      </c>
      <c r="J917" s="89" t="str" cm="1">
        <f t="array" ref="J917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-</v>
      </c>
      <c r="K917" s="56" t="s">
        <v>1608</v>
      </c>
      <c r="L917" s="90" t="s">
        <v>66</v>
      </c>
      <c r="M917" t="s">
        <v>100</v>
      </c>
      <c r="N917" s="56" t="s">
        <v>1552</v>
      </c>
      <c r="O917" s="3" t="s">
        <v>578</v>
      </c>
      <c r="P917" s="3" t="s">
        <v>146</v>
      </c>
      <c r="Q917" s="10"/>
      <c r="R917" s="11"/>
      <c r="S917" s="10"/>
      <c r="T917" s="3" t="str">
        <f>IF(AND(ProtocolosAF[[#This Row],[STATUS]]="APROVADO",ProtocolosAF[[#This Row],[BILHETE/EMD]]=""),"Y","")</f>
        <v/>
      </c>
      <c r="U917" t="s">
        <v>2211</v>
      </c>
      <c r="V917" s="16" t="str">
        <f>_xlfn.CONCAT(C917,U917)</f>
        <v>29VRUCSBOLCI/LUCA</v>
      </c>
      <c r="W917">
        <v>859</v>
      </c>
    </row>
    <row r="918" spans="1:23" ht="15">
      <c r="A918" s="1">
        <v>46304</v>
      </c>
      <c r="B918" t="s">
        <v>10</v>
      </c>
      <c r="C918" t="s">
        <v>2212</v>
      </c>
      <c r="D918" s="23" t="s">
        <v>2213</v>
      </c>
      <c r="E918" t="s">
        <v>512</v>
      </c>
      <c r="F918" s="19">
        <v>57966204</v>
      </c>
      <c r="G918" s="92">
        <v>572365866575</v>
      </c>
      <c r="H918" s="89">
        <v>135</v>
      </c>
      <c r="I918" s="93" t="s">
        <v>74</v>
      </c>
      <c r="J918" s="89" cm="1">
        <f t="array" ref="J918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135</v>
      </c>
      <c r="K918" s="56" t="s">
        <v>1939</v>
      </c>
      <c r="L918" s="90" t="s">
        <v>76</v>
      </c>
      <c r="M918" t="s">
        <v>43</v>
      </c>
      <c r="N918" s="56" t="s">
        <v>1129</v>
      </c>
      <c r="O918" s="3" t="s">
        <v>468</v>
      </c>
      <c r="P918" s="3" t="s">
        <v>69</v>
      </c>
      <c r="Q918" s="10" t="s">
        <v>222</v>
      </c>
      <c r="R918" s="11">
        <v>46310</v>
      </c>
      <c r="S918" s="10" t="s">
        <v>2214</v>
      </c>
      <c r="T918" s="3" t="str">
        <f>IF(AND(ProtocolosAF[[#This Row],[STATUS]]="APROVADO",ProtocolosAF[[#This Row],[BILHETE/EMD]]=""),"Y","")</f>
        <v/>
      </c>
      <c r="U918" t="s">
        <v>2215</v>
      </c>
      <c r="V918" s="16" t="str">
        <f>_xlfn.CONCAT(C918,U918)</f>
        <v>CKD89KDOS SANTOS/KECIA CRISTINA</v>
      </c>
      <c r="W918">
        <v>861</v>
      </c>
    </row>
    <row r="919" spans="1:23" ht="15">
      <c r="A919" s="1">
        <v>46304</v>
      </c>
      <c r="B919" t="s">
        <v>16</v>
      </c>
      <c r="C919" t="s">
        <v>2200</v>
      </c>
      <c r="D919" s="23" t="s">
        <v>2200</v>
      </c>
      <c r="E919" t="s">
        <v>73</v>
      </c>
      <c r="F919" s="19"/>
      <c r="G919" s="92"/>
      <c r="H919" s="89">
        <v>200</v>
      </c>
      <c r="I919" s="93" t="s">
        <v>74</v>
      </c>
      <c r="J919" s="89" cm="1">
        <f t="array" ref="J91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200</v>
      </c>
      <c r="K919" s="56" t="s">
        <v>1931</v>
      </c>
      <c r="L919" s="90" t="s">
        <v>172</v>
      </c>
      <c r="M919" t="s">
        <v>43</v>
      </c>
      <c r="N919" s="56" t="s">
        <v>1012</v>
      </c>
      <c r="O919" s="3" t="s">
        <v>2216</v>
      </c>
      <c r="P919" s="3" t="s">
        <v>69</v>
      </c>
      <c r="Q919" s="10"/>
      <c r="R919" s="11"/>
      <c r="S919" s="10"/>
      <c r="T919" s="3" t="str">
        <f>IF(AND(ProtocolosAF[[#This Row],[STATUS]]="APROVADO",ProtocolosAF[[#This Row],[BILHETE/EMD]]=""),"Y","")</f>
        <v>Y</v>
      </c>
      <c r="U919" t="s">
        <v>2203</v>
      </c>
      <c r="V919" s="16" t="str">
        <f>_xlfn.CONCAT(C919,U919)</f>
        <v>AJQCTVARAUJO/MARIANA MRS</v>
      </c>
      <c r="W919">
        <v>862</v>
      </c>
    </row>
    <row r="920" spans="1:23" ht="15">
      <c r="A920" s="1">
        <v>46304</v>
      </c>
      <c r="B920" t="s">
        <v>16</v>
      </c>
      <c r="C920" t="s">
        <v>2200</v>
      </c>
      <c r="D920" s="23" t="s">
        <v>2200</v>
      </c>
      <c r="E920" t="s">
        <v>73</v>
      </c>
      <c r="F920" s="19"/>
      <c r="G920" s="92"/>
      <c r="H920" s="89">
        <v>200</v>
      </c>
      <c r="I920" s="93" t="s">
        <v>74</v>
      </c>
      <c r="J920" s="89" cm="1">
        <f t="array" ref="J92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200</v>
      </c>
      <c r="K920" s="56" t="s">
        <v>1931</v>
      </c>
      <c r="L920" s="90" t="s">
        <v>172</v>
      </c>
      <c r="M920" t="s">
        <v>43</v>
      </c>
      <c r="N920" s="56" t="s">
        <v>1012</v>
      </c>
      <c r="O920" s="3" t="s">
        <v>2216</v>
      </c>
      <c r="P920" s="3" t="s">
        <v>69</v>
      </c>
      <c r="Q920" s="10"/>
      <c r="R920" s="11"/>
      <c r="S920" s="10"/>
      <c r="T920" s="3" t="str">
        <f>IF(AND(ProtocolosAF[[#This Row],[STATUS]]="APROVADO",ProtocolosAF[[#This Row],[BILHETE/EMD]]=""),"Y","")</f>
        <v>Y</v>
      </c>
      <c r="U920" t="s">
        <v>2204</v>
      </c>
      <c r="V920" s="16" t="str">
        <f>_xlfn.CONCAT(C920,U920)</f>
        <v>AJQCTVFIUZA/ANA CRISTINA MRS</v>
      </c>
      <c r="W920">
        <v>862</v>
      </c>
    </row>
    <row r="921" spans="1:23" ht="15">
      <c r="A921" s="1">
        <v>46304</v>
      </c>
      <c r="B921" t="s">
        <v>16</v>
      </c>
      <c r="C921" t="s">
        <v>2200</v>
      </c>
      <c r="D921" s="23" t="s">
        <v>2200</v>
      </c>
      <c r="E921" t="s">
        <v>73</v>
      </c>
      <c r="F921" s="19"/>
      <c r="G921" s="92"/>
      <c r="H921" s="89">
        <v>200</v>
      </c>
      <c r="I921" s="93" t="s">
        <v>74</v>
      </c>
      <c r="J921" s="89" cm="1">
        <f t="array" ref="J92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200</v>
      </c>
      <c r="K921" s="56" t="s">
        <v>1931</v>
      </c>
      <c r="L921" s="90" t="s">
        <v>172</v>
      </c>
      <c r="M921" t="s">
        <v>43</v>
      </c>
      <c r="N921" s="56" t="s">
        <v>1012</v>
      </c>
      <c r="O921" s="3" t="s">
        <v>2216</v>
      </c>
      <c r="P921" s="3" t="s">
        <v>69</v>
      </c>
      <c r="Q921" s="10"/>
      <c r="R921" s="11"/>
      <c r="S921" s="10"/>
      <c r="T921" s="3" t="str">
        <f>IF(AND(ProtocolosAF[[#This Row],[STATUS]]="APROVADO",ProtocolosAF[[#This Row],[BILHETE/EMD]]=""),"Y","")</f>
        <v>Y</v>
      </c>
      <c r="U921" t="s">
        <v>2205</v>
      </c>
      <c r="V921" s="16" t="str">
        <f>_xlfn.CONCAT(C921,U921)</f>
        <v>AJQCTVVALIM/JULIANA MRS</v>
      </c>
      <c r="W921">
        <v>862</v>
      </c>
    </row>
    <row r="922" spans="1:23" ht="15"/>
    <row r="923" spans="1:23" ht="15"/>
  </sheetData>
  <sheetProtection insertRows="0"/>
  <mergeCells count="1">
    <mergeCell ref="F1:G1"/>
  </mergeCells>
  <phoneticPr fontId="3" type="noConversion"/>
  <conditionalFormatting sqref="A16:W921">
    <cfRule type="expression" dxfId="79" priority="85">
      <formula>$M16="STANDBY"</formula>
    </cfRule>
  </conditionalFormatting>
  <conditionalFormatting sqref="D2:D13">
    <cfRule type="expression" dxfId="78" priority="113">
      <formula>D2&lt;0</formula>
    </cfRule>
    <cfRule type="expression" dxfId="77" priority="119">
      <formula>D2&lt;B2*0.1</formula>
    </cfRule>
    <cfRule type="expression" dxfId="76" priority="120">
      <formula>D2&lt;B2*0.3</formula>
    </cfRule>
  </conditionalFormatting>
  <conditionalFormatting sqref="F3:F10 I3:I10">
    <cfRule type="notContainsBlanks" dxfId="75" priority="136">
      <formula>LEN(TRIM(F3))&gt;0</formula>
    </cfRule>
  </conditionalFormatting>
  <conditionalFormatting sqref="F16:F921">
    <cfRule type="expression" dxfId="74" priority="134">
      <formula>IF(AND(M16="APROVADO"),F16="")</formula>
    </cfRule>
  </conditionalFormatting>
  <conditionalFormatting sqref="G16:G921">
    <cfRule type="expression" dxfId="73" priority="87">
      <formula>IF(AND(M16="APROVADO"),G16="")</formula>
    </cfRule>
  </conditionalFormatting>
  <conditionalFormatting sqref="H3:H10"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{0BF43692-5C67-44AC-AC30-691025D8071A}</x14:id>
        </ext>
      </extLst>
    </cfRule>
  </conditionalFormatting>
  <conditionalFormatting sqref="M16:M921">
    <cfRule type="expression" dxfId="72" priority="86">
      <formula>IF(AND(G16&lt;&gt;""),M16&lt;&gt;"APROVADO")</formula>
    </cfRule>
  </conditionalFormatting>
  <conditionalFormatting sqref="Q16:Q921">
    <cfRule type="expression" dxfId="71" priority="140">
      <formula>IF(AND(G16&lt;&gt;"",M16="APROVADO"),S16="")</formula>
    </cfRule>
  </conditionalFormatting>
  <conditionalFormatting sqref="R16:R921">
    <cfRule type="expression" dxfId="70" priority="141">
      <formula>IF(AND(G16&lt;&gt;"",M16="APROVADO"),S16="")</formula>
    </cfRule>
  </conditionalFormatting>
  <conditionalFormatting sqref="S16:S921">
    <cfRule type="expression" dxfId="69" priority="139">
      <formula>IF(AND(G16&lt;&gt;"",M16="APROVADO"),S16="")</formula>
    </cfRule>
  </conditionalFormatting>
  <dataValidations count="6">
    <dataValidation type="list" allowBlank="1" showInputMessage="1" showErrorMessage="1" sqref="H1" xr:uid="{18334659-FB8F-4E80-8475-C1E113DACCA1}">
      <formula1>$A$2:$A$13</formula1>
    </dataValidation>
    <dataValidation type="list" allowBlank="1" showInputMessage="1" showErrorMessage="1" sqref="B16:B921" xr:uid="{213FA34D-73EE-4CD4-A635-974AE17A75D9}">
      <formula1>"LOT,CONCIERGE,EXCLUSIVO,SUL,SAO,SPI,BR1,BR2"</formula1>
    </dataValidation>
    <dataValidation type="list" allowBlank="1" showInputMessage="1" showErrorMessage="1" sqref="E16:E921" xr:uid="{889DB58A-7202-4365-B6FE-8D53BE511E6F}">
      <formula1>"FARE MATCH,MULTA REEMISSÃO,MULTA REEMBOLSO,1st BAG,ASSENTO,EXP FARE"</formula1>
    </dataValidation>
    <dataValidation type="list" allowBlank="1" showInputMessage="1" showErrorMessage="1" sqref="M16:M921" xr:uid="{C3270B79-4EC6-4E53-90CD-C27D20897DFF}">
      <formula1>"APROVADO,STANDBY,REJEITADO,NÃO UTILIZADO"</formula1>
    </dataValidation>
    <dataValidation type="custom" allowBlank="1" showInputMessage="1" showErrorMessage="1" errorTitle="E-TICKET JÁ CADASTRADO" error="Este número de e-ticket já foi cadastrado" sqref="F16:F155 F195:F200 F164:F192 F157:F161" xr:uid="{7F133448-CA6B-4135-9A51-ACC7287A620D}">
      <formula1>COUNTIF(E:E,F16)&lt;=1</formula1>
    </dataValidation>
    <dataValidation type="custom" allowBlank="1" showInputMessage="1" showErrorMessage="1" errorTitle="E-TICKET JÁ CADASTRADO" error="Este número de e-ticket já foi cadastrado" sqref="G95:G147 G16:G90 G92" xr:uid="{C2E664CC-5F47-43B0-9221-05095079F015}">
      <formula1>COUNTIF(G:G,G16)&lt;=1</formula1>
    </dataValidation>
  </dataValidations>
  <hyperlinks>
    <hyperlink ref="K201" r:id="rId1" xr:uid="{9CE593A3-3405-4617-B6D1-BE1660EB6151}"/>
    <hyperlink ref="K459" r:id="rId2" xr:uid="{BFD9DA1B-763E-4593-B0C7-7F124AE23AAB}"/>
    <hyperlink ref="K520" r:id="rId3" xr:uid="{C2E5085D-AB9C-45F7-A11F-223A3373C696}"/>
    <hyperlink ref="K540" r:id="rId4" xr:uid="{E897702E-22D4-415F-96E9-A15C4AF29DC0}"/>
    <hyperlink ref="N664" r:id="rId5" xr:uid="{98BB56FC-CBAA-4A82-A1AC-C93A7A41F682}"/>
    <hyperlink ref="K664" r:id="rId6" xr:uid="{E6F120A1-46C8-4906-AD12-91A8D79EDF74}"/>
    <hyperlink ref="N665" r:id="rId7" xr:uid="{5E4AB6F5-192C-450B-829B-D0C4C4737B15}"/>
    <hyperlink ref="K665" r:id="rId8" xr:uid="{D2B63E4E-4712-4AFD-B162-2A1E82D03621}"/>
    <hyperlink ref="N666" r:id="rId9" xr:uid="{CE7E4DAB-3675-4B31-A541-9F4727D2A354}"/>
    <hyperlink ref="K666" r:id="rId10" xr:uid="{9750ADE9-581D-4013-815C-55335B941B02}"/>
    <hyperlink ref="N667" r:id="rId11" xr:uid="{C28AE767-4421-4E48-B934-69463BCBA10E}"/>
    <hyperlink ref="K667" r:id="rId12" xr:uid="{6CF7A30A-2971-427C-8F8D-76C25B66CC80}"/>
    <hyperlink ref="K702" r:id="rId13" xr:uid="{28DC98E0-ED0E-41B9-AFDA-038CE6B7E7D4}"/>
    <hyperlink ref="K703" r:id="rId14" xr:uid="{F365D7C6-7518-4EDC-BD55-0268124AE9B9}"/>
    <hyperlink ref="N702" r:id="rId15" xr:uid="{FE3F1FF1-2F52-4D4E-90CC-BADD114D6125}"/>
    <hyperlink ref="N703" r:id="rId16" xr:uid="{C5930240-C8B3-4010-9FBB-6CB43A6E960F}"/>
    <hyperlink ref="K713" r:id="rId17" xr:uid="{3BE982E2-2EC8-4FAB-B064-D2888ECF4AA5}"/>
    <hyperlink ref="N713" r:id="rId18" xr:uid="{B6EF78A6-DA0D-48BE-9CB2-56874771E04E}"/>
    <hyperlink ref="K802" r:id="rId19" xr:uid="{16F01492-9D8A-43DF-AFCB-24BE5AEF2241}"/>
    <hyperlink ref="N802" r:id="rId20" xr:uid="{96F39D08-CF02-4F08-875C-7752F996D0D6}"/>
  </hyperlinks>
  <pageMargins left="0.511811024" right="0.511811024" top="0.78740157499999996" bottom="0.78740157499999996" header="0.31496062000000002" footer="0.31496062000000002"/>
  <pageSetup paperSize="9" orientation="portrait" r:id="rId21"/>
  <legacyDrawing r:id="rId22"/>
  <tableParts count="3">
    <tablePart r:id="rId23"/>
    <tablePart r:id="rId24"/>
    <tablePart r:id="rId2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F43692-5C67-44AC-AC30-691025D807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H3:H10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0DC7-A7E4-4E66-B552-C1CC1EDD06FA}">
  <dimension ref="A1:W436"/>
  <sheetViews>
    <sheetView showGridLines="0" topLeftCell="A11" zoomScaleNormal="100" workbookViewId="0">
      <selection activeCell="B439" sqref="B439"/>
    </sheetView>
  </sheetViews>
  <sheetFormatPr defaultRowHeight="14.45"/>
  <cols>
    <col min="1" max="1" width="11.42578125" customWidth="1"/>
    <col min="2" max="2" width="11.42578125" bestFit="1" customWidth="1"/>
    <col min="3" max="3" width="10.7109375" bestFit="1" customWidth="1"/>
    <col min="4" max="4" width="11.85546875" style="3" customWidth="1"/>
    <col min="5" max="5" width="18.140625" style="3" bestFit="1" customWidth="1"/>
    <col min="6" max="6" width="15.42578125" bestFit="1" customWidth="1"/>
    <col min="7" max="7" width="18.140625" bestFit="1" customWidth="1"/>
    <col min="8" max="8" width="11.85546875" bestFit="1" customWidth="1"/>
    <col min="9" max="9" width="9" bestFit="1" customWidth="1"/>
    <col min="10" max="10" width="8.140625" bestFit="1" customWidth="1"/>
    <col min="11" max="11" width="36.5703125" bestFit="1" customWidth="1"/>
    <col min="12" max="12" width="35.7109375" bestFit="1" customWidth="1"/>
    <col min="13" max="13" width="15.140625" bestFit="1" customWidth="1"/>
    <col min="14" max="14" width="28.5703125" bestFit="1" customWidth="1"/>
    <col min="15" max="15" width="9" bestFit="1" customWidth="1"/>
    <col min="16" max="16" width="6.140625" bestFit="1" customWidth="1"/>
    <col min="17" max="17" width="17.7109375" bestFit="1" customWidth="1"/>
    <col min="18" max="18" width="13.85546875" customWidth="1"/>
    <col min="19" max="19" width="19.85546875" customWidth="1"/>
    <col min="20" max="20" width="9.42578125" customWidth="1"/>
    <col min="21" max="21" width="49.5703125" bestFit="1" customWidth="1"/>
    <col min="22" max="22" width="58" bestFit="1" customWidth="1"/>
    <col min="23" max="23" width="4.42578125" bestFit="1" customWidth="1"/>
  </cols>
  <sheetData>
    <row r="1" spans="1:23">
      <c r="A1" s="3" t="s">
        <v>0</v>
      </c>
      <c r="B1" s="3" t="s">
        <v>1</v>
      </c>
      <c r="C1" s="3" t="s">
        <v>2</v>
      </c>
      <c r="D1" s="3" t="s">
        <v>3</v>
      </c>
      <c r="F1" s="95" t="s">
        <v>4</v>
      </c>
      <c r="G1" s="95"/>
      <c r="H1" s="13">
        <v>46082</v>
      </c>
    </row>
    <row r="2" spans="1:23">
      <c r="A2" s="2">
        <v>46023</v>
      </c>
      <c r="B2" s="21"/>
      <c r="C2" s="21" t="str">
        <f>IF(SUMIFS(ProtocolosKL[VALOR COTA EUR],ProtocolosKL[BILHETE/EMD],"&lt;&gt;"&amp;"",ProtocolosKL[STATUS],"="&amp;"APROVADO",ProtocolosKL[TIPO],"&lt;&gt;"&amp;"FARE MATCH",ProtocolosKL[DATA],"&gt;="&amp;A2,ProtocolosKL[DATA],"&lt;="&amp;EOMONTH(A2,0))&lt;&gt;0,SUMIFS(ProtocolosKL[VALOR COTA EUR],ProtocolosKL[BILHETE/EMD],"&lt;&gt;"&amp;"",ProtocolosKL[STATUS],"="&amp;"APROVADO",ProtocolosKL[TIPO],"&lt;&gt;"&amp;"FARE MATCH",ProtocolosKL[DATA],"&gt;="&amp;A2,ProtocolosKL[DATA],"&lt;="&amp;EOMONTH(A2,0)),"")</f>
        <v/>
      </c>
      <c r="D2" s="22" t="str">
        <f t="shared" ref="D2:D13" si="0">IFERROR(B2-C2,"")</f>
        <v/>
      </c>
      <c r="E2" s="3" t="s">
        <v>5</v>
      </c>
      <c r="F2" s="3" t="s">
        <v>6</v>
      </c>
      <c r="G2" s="3" t="s">
        <v>2</v>
      </c>
      <c r="H2" s="14" t="s">
        <v>7</v>
      </c>
      <c r="I2" t="s">
        <v>8</v>
      </c>
    </row>
    <row r="3" spans="1:23">
      <c r="A3" s="2">
        <v>46054</v>
      </c>
      <c r="B3" s="21"/>
      <c r="C3" s="21" t="str">
        <f>IF(SUMIFS(ProtocolosKL[VALOR COTA EUR],ProtocolosKL[BILHETE/EMD],"&lt;&gt;"&amp;"",ProtocolosKL[STATUS],"="&amp;"APROVADO",ProtocolosKL[TIPO],"&lt;&gt;"&amp;"FARE MATCH",ProtocolosKL[DATA],"&gt;="&amp;A3,ProtocolosKL[DATA],"&lt;="&amp;EOMONTH(A3,0))&lt;&gt;0,SUMIFS(ProtocolosKL[VALOR COTA EUR],ProtocolosKL[BILHETE/EMD],"&lt;&gt;"&amp;"",ProtocolosKL[STATUS],"="&amp;"APROVADO",ProtocolosKL[TIPO],"&lt;&gt;"&amp;"FARE MATCH",ProtocolosKL[DATA],"&gt;="&amp;A3,ProtocolosKL[DATA],"&lt;="&amp;EOMONTH(A3,0)),"")</f>
        <v/>
      </c>
      <c r="D3" s="22" t="str">
        <f t="shared" si="0"/>
        <v/>
      </c>
      <c r="E3" s="3" t="s">
        <v>9</v>
      </c>
      <c r="F3" s="3" t="str">
        <f>IF(SUM(COUNTIFS(ProtocolosKL[STATUS],"&lt;&gt;"&amp;"APROVADO",ProtocolosKL[BILHETE/EMD],"&lt;&gt;"&amp;"",ProtocolosKL[UNIDADE],"="&amp;TabelaErroKL[[#This Row],[UNIDADE]]),COUNTIFS(ProtocolosKL[PNTKT],"Y",ProtocolosKL[UNIDADE],"="&amp;TabelaErroKL[[#This Row],[UNIDADE]]))&gt;0,SUM(COUNTIFS(ProtocolosKL[STATUS],"&lt;&gt;"&amp;"APROVADO",ProtocolosKL[BILHETE/EMD],"&lt;&gt;"&amp;"",ProtocolosKL[UNIDADE],"="&amp;TabelaErroKL[[#This Row],[UNIDADE]]),COUNTIFS(ProtocolosKL[PNTKT],"Y",ProtocolosKL[UNIDADE],"="&amp;TabelaErroKL[[#This Row],[UNIDADE]])),"")</f>
        <v/>
      </c>
      <c r="G3" s="55" t="str">
        <f>IF(SUMIFS(ProtocolosKL[VALOR COTA EUR],ProtocolosKL[BILHETE/EMD],"&lt;&gt;"&amp;"",ProtocolosKL[STATUS],"="&amp;"APROVADO",ProtocolosKL[UNIDADE],"="&amp;TabelaErroKL[[#This Row],[UNIDADE]],ProtocolosKL[DATA],"&gt;="&amp;$H$1,ProtocolosKL[DATA],"&lt;="&amp;EOMONTH($H$1,0))&lt;&gt;0,SUMIFS(ProtocolosKL[VALOR COTA EUR],ProtocolosKL[BILHETE/EMD],"&lt;&gt;"&amp;"",ProtocolosKL[STATUS],"="&amp;"APROVADO",ProtocolosKL[UNIDADE],"="&amp;TabelaErroKL[[#This Row],[UNIDADE]],ProtocolosKL[DATA],"&gt;="&amp;$H$1,ProtocolosKL[DATA],"&lt;="&amp;EOMONTH($H$1,0)),"")</f>
        <v/>
      </c>
      <c r="H3" s="5" t="str">
        <f>IFERROR(TabelaErroKL[[#This Row],[UTILIZADO]]/SUM(TabelaErroKL[UTILIZADO]),"")</f>
        <v/>
      </c>
      <c r="I3" s="3" t="str">
        <f>IF(SUM(COUNTIFS(ProtocolosKL[BILHETE/EMD],"&lt;&gt;"&amp;"",ProtocolosKL[STATUS],"="&amp;"APROVADO",ProtocolosKL[WAIVER],"="&amp;"",ProtocolosKL[UNIDADE],"="&amp;TabelaErroKL[[#This Row],[UNIDADE]]))&gt;0,COUNTIFS(ProtocolosKL[BILHETE/EMD],"&lt;&gt;"&amp;"",ProtocolosKL[STATUS],"="&amp;"APROVADO",ProtocolosKL[WAIVER],"="&amp;"",ProtocolosKL[UNIDADE],"="&amp;TabelaErroKL[[#This Row],[UNIDADE]]),"")</f>
        <v/>
      </c>
    </row>
    <row r="4" spans="1:23">
      <c r="A4" s="2">
        <v>46082</v>
      </c>
      <c r="B4" s="21">
        <v>1647</v>
      </c>
      <c r="C4" s="21">
        <f>IF(SUMIFS(ProtocolosKL[VALOR COTA EUR],ProtocolosKL[BILHETE/EMD],"&lt;&gt;"&amp;"",ProtocolosKL[STATUS],"="&amp;"APROVADO",ProtocolosKL[TIPO],"&lt;&gt;"&amp;"FARE MATCH",ProtocolosKL[DATA],"&gt;="&amp;A4,ProtocolosKL[DATA],"&lt;="&amp;EOMONTH(A4,0))&lt;&gt;0,SUMIFS(ProtocolosKL[VALOR COTA EUR],ProtocolosKL[BILHETE/EMD],"&lt;&gt;"&amp;"",ProtocolosKL[STATUS],"="&amp;"APROVADO",ProtocolosKL[TIPO],"&lt;&gt;"&amp;"FARE MATCH",ProtocolosKL[DATA],"&gt;="&amp;A4,ProtocolosKL[DATA],"&lt;="&amp;EOMONTH(A4,0)),"")</f>
        <v>1140</v>
      </c>
      <c r="D4" s="22">
        <f>IFERROR(B4-C4,"")</f>
        <v>507</v>
      </c>
      <c r="E4" s="3" t="s">
        <v>10</v>
      </c>
      <c r="F4" s="3" t="str">
        <f>IF(SUM(COUNTIFS(ProtocolosKL[STATUS],"&lt;&gt;"&amp;"APROVADO",ProtocolosKL[BILHETE/EMD],"&lt;&gt;"&amp;"",ProtocolosKL[UNIDADE],"="&amp;TabelaErroKL[[#This Row],[UNIDADE]]),COUNTIFS(ProtocolosKL[PNTKT],"Y",ProtocolosKL[UNIDADE],"="&amp;TabelaErroKL[[#This Row],[UNIDADE]]))&gt;0,SUM(COUNTIFS(ProtocolosKL[STATUS],"&lt;&gt;"&amp;"APROVADO",ProtocolosKL[BILHETE/EMD],"&lt;&gt;"&amp;"",ProtocolosKL[UNIDADE],"="&amp;TabelaErroKL[[#This Row],[UNIDADE]]),COUNTIFS(ProtocolosKL[PNTKT],"Y",ProtocolosKL[UNIDADE],"="&amp;TabelaErroKL[[#This Row],[UNIDADE]])),"")</f>
        <v/>
      </c>
      <c r="G4" s="55">
        <f>IF(SUMIFS(ProtocolosKL[VALOR COTA EUR],ProtocolosKL[BILHETE/EMD],"&lt;&gt;"&amp;"",ProtocolosKL[STATUS],"="&amp;"APROVADO",ProtocolosKL[UNIDADE],"="&amp;TabelaErroKL[[#This Row],[UNIDADE]],ProtocolosKL[DATA],"&gt;="&amp;$H$1,ProtocolosKL[DATA],"&lt;="&amp;EOMONTH($H$1,0))&lt;&gt;0,SUMIFS(ProtocolosKL[VALOR COTA EUR],ProtocolosKL[BILHETE/EMD],"&lt;&gt;"&amp;"",ProtocolosKL[STATUS],"="&amp;"APROVADO",ProtocolosKL[UNIDADE],"="&amp;TabelaErroKL[[#This Row],[UNIDADE]],ProtocolosKL[DATA],"&gt;="&amp;$H$1,ProtocolosKL[DATA],"&lt;="&amp;EOMONTH($H$1,0)),"")</f>
        <v>300</v>
      </c>
      <c r="H4" s="5">
        <f>IFERROR(TabelaErroKL[[#This Row],[UTILIZADO]]/SUM(TabelaErroKL[UTILIZADO]),"")</f>
        <v>0.26315789473684209</v>
      </c>
      <c r="I4" s="3" t="str">
        <f>IF(SUM(COUNTIFS(ProtocolosKL[BILHETE/EMD],"&lt;&gt;"&amp;"",ProtocolosKL[STATUS],"="&amp;"APROVADO",ProtocolosKL[WAIVER],"="&amp;"",ProtocolosKL[UNIDADE],"="&amp;TabelaErroKL[[#This Row],[UNIDADE]]))&gt;0,COUNTIFS(ProtocolosKL[BILHETE/EMD],"&lt;&gt;"&amp;"",ProtocolosKL[STATUS],"="&amp;"APROVADO",ProtocolosKL[WAIVER],"="&amp;"",ProtocolosKL[UNIDADE],"="&amp;TabelaErroKL[[#This Row],[UNIDADE]]),"")</f>
        <v/>
      </c>
    </row>
    <row r="5" spans="1:23">
      <c r="A5" s="2">
        <v>46113</v>
      </c>
      <c r="B5" s="21">
        <v>908.87</v>
      </c>
      <c r="C5" s="21">
        <f>IF(SUMIFS(ProtocolosKL[VALOR COTA EUR],ProtocolosKL[BILHETE/EMD],"&lt;&gt;"&amp;"",ProtocolosKL[STATUS],"="&amp;"APROVADO",ProtocolosKL[TIPO],"&lt;&gt;"&amp;"FARE MATCH",ProtocolosKL[DATA],"&gt;="&amp;A5,ProtocolosKL[DATA],"&lt;="&amp;EOMONTH(A5,0))&lt;&gt;0,SUMIFS(ProtocolosKL[VALOR COTA EUR],ProtocolosKL[BILHETE/EMD],"&lt;&gt;"&amp;"",ProtocolosKL[STATUS],"="&amp;"APROVADO",ProtocolosKL[TIPO],"&lt;&gt;"&amp;"FARE MATCH",ProtocolosKL[DATA],"&gt;="&amp;A5,ProtocolosKL[DATA],"&lt;="&amp;EOMONTH(A5,0)),"")</f>
        <v>294</v>
      </c>
      <c r="D5" s="22">
        <f t="shared" si="0"/>
        <v>614.87</v>
      </c>
      <c r="E5" s="3" t="s">
        <v>11</v>
      </c>
      <c r="F5" s="3" t="str">
        <f>IF(SUM(COUNTIFS(ProtocolosKL[STATUS],"&lt;&gt;"&amp;"APROVADO",ProtocolosKL[BILHETE/EMD],"&lt;&gt;"&amp;"",ProtocolosKL[UNIDADE],"="&amp;TabelaErroKL[[#This Row],[UNIDADE]]),COUNTIFS(ProtocolosKL[PNTKT],"Y",ProtocolosKL[UNIDADE],"="&amp;TabelaErroKL[[#This Row],[UNIDADE]]))&gt;0,SUM(COUNTIFS(ProtocolosKL[STATUS],"&lt;&gt;"&amp;"APROVADO",ProtocolosKL[BILHETE/EMD],"&lt;&gt;"&amp;"",ProtocolosKL[UNIDADE],"="&amp;TabelaErroKL[[#This Row],[UNIDADE]]),COUNTIFS(ProtocolosKL[PNTKT],"Y",ProtocolosKL[UNIDADE],"="&amp;TabelaErroKL[[#This Row],[UNIDADE]])),"")</f>
        <v/>
      </c>
      <c r="G5" s="55">
        <f>IF(SUMIFS(ProtocolosKL[VALOR COTA EUR],ProtocolosKL[BILHETE/EMD],"&lt;&gt;"&amp;"",ProtocolosKL[STATUS],"="&amp;"APROVADO",ProtocolosKL[UNIDADE],"="&amp;TabelaErroKL[[#This Row],[UNIDADE]],ProtocolosKL[DATA],"&gt;="&amp;$H$1,ProtocolosKL[DATA],"&lt;="&amp;EOMONTH($H$1,0))&lt;&gt;0,SUMIFS(ProtocolosKL[VALOR COTA EUR],ProtocolosKL[BILHETE/EMD],"&lt;&gt;"&amp;"",ProtocolosKL[STATUS],"="&amp;"APROVADO",ProtocolosKL[UNIDADE],"="&amp;TabelaErroKL[[#This Row],[UNIDADE]],ProtocolosKL[DATA],"&gt;="&amp;$H$1,ProtocolosKL[DATA],"&lt;="&amp;EOMONTH($H$1,0)),"")</f>
        <v>840</v>
      </c>
      <c r="H5" s="5">
        <f>IFERROR(TabelaErroKL[[#This Row],[UTILIZADO]]/SUM(TabelaErroKL[UTILIZADO]),"")</f>
        <v>0.73684210526315785</v>
      </c>
      <c r="I5" s="3" t="str">
        <f>IF(SUM(COUNTIFS(ProtocolosKL[BILHETE/EMD],"&lt;&gt;"&amp;"",ProtocolosKL[STATUS],"="&amp;"APROVADO",ProtocolosKL[WAIVER],"="&amp;"",ProtocolosKL[UNIDADE],"="&amp;TabelaErroKL[[#This Row],[UNIDADE]]))&gt;0,COUNTIFS(ProtocolosKL[BILHETE/EMD],"&lt;&gt;"&amp;"",ProtocolosKL[STATUS],"="&amp;"APROVADO",ProtocolosKL[WAIVER],"="&amp;"",ProtocolosKL[UNIDADE],"="&amp;TabelaErroKL[[#This Row],[UNIDADE]]),"")</f>
        <v/>
      </c>
      <c r="K5" s="88"/>
    </row>
    <row r="6" spans="1:23">
      <c r="A6" s="2">
        <v>46143</v>
      </c>
      <c r="B6" s="21">
        <v>1647.33</v>
      </c>
      <c r="C6" s="21">
        <f>IF(SUMIFS(ProtocolosKL[VALOR COTA EUR],ProtocolosKL[BILHETE/EMD],"&lt;&gt;"&amp;"",ProtocolosKL[STATUS],"="&amp;"APROVADO",ProtocolosKL[TIPO],"&lt;&gt;"&amp;"FARE MATCH",ProtocolosKL[DATA],"&gt;="&amp;A6,ProtocolosKL[DATA],"&lt;="&amp;EOMONTH(A6,0))&lt;&gt;0,SUMIFS(ProtocolosKL[VALOR COTA EUR],ProtocolosKL[BILHETE/EMD],"&lt;&gt;"&amp;"",ProtocolosKL[STATUS],"="&amp;"APROVADO",ProtocolosKL[TIPO],"&lt;&gt;"&amp;"FARE MATCH",ProtocolosKL[DATA],"&gt;="&amp;A6,ProtocolosKL[DATA],"&lt;="&amp;EOMONTH(A6,0)),"")</f>
        <v>1112</v>
      </c>
      <c r="D6" s="22">
        <f t="shared" si="0"/>
        <v>535.32999999999993</v>
      </c>
      <c r="E6" s="3" t="s">
        <v>12</v>
      </c>
      <c r="F6" s="3" t="str">
        <f>IF(SUM(COUNTIFS(ProtocolosKL[STATUS],"&lt;&gt;"&amp;"APROVADO",ProtocolosKL[BILHETE/EMD],"&lt;&gt;"&amp;"",ProtocolosKL[UNIDADE],"="&amp;TabelaErroKL[[#This Row],[UNIDADE]]),COUNTIFS(ProtocolosKL[PNTKT],"Y",ProtocolosKL[UNIDADE],"="&amp;TabelaErroKL[[#This Row],[UNIDADE]]))&gt;0,SUM(COUNTIFS(ProtocolosKL[STATUS],"&lt;&gt;"&amp;"APROVADO",ProtocolosKL[BILHETE/EMD],"&lt;&gt;"&amp;"",ProtocolosKL[UNIDADE],"="&amp;TabelaErroKL[[#This Row],[UNIDADE]]),COUNTIFS(ProtocolosKL[PNTKT],"Y",ProtocolosKL[UNIDADE],"="&amp;TabelaErroKL[[#This Row],[UNIDADE]])),"")</f>
        <v/>
      </c>
      <c r="G6" s="55" t="str">
        <f>IF(SUMIFS(ProtocolosKL[VALOR COTA EUR],ProtocolosKL[BILHETE/EMD],"&lt;&gt;"&amp;"",ProtocolosKL[STATUS],"="&amp;"APROVADO",ProtocolosKL[UNIDADE],"="&amp;TabelaErroKL[[#This Row],[UNIDADE]],ProtocolosKL[DATA],"&gt;="&amp;$H$1,ProtocolosKL[DATA],"&lt;="&amp;EOMONTH($H$1,0))&lt;&gt;0,SUMIFS(ProtocolosKL[VALOR COTA EUR],ProtocolosKL[BILHETE/EMD],"&lt;&gt;"&amp;"",ProtocolosKL[STATUS],"="&amp;"APROVADO",ProtocolosKL[UNIDADE],"="&amp;TabelaErroKL[[#This Row],[UNIDADE]],ProtocolosKL[DATA],"&gt;="&amp;$H$1,ProtocolosKL[DATA],"&lt;="&amp;EOMONTH($H$1,0)),"")</f>
        <v/>
      </c>
      <c r="H6" s="5" t="str">
        <f>IFERROR(TabelaErroKL[[#This Row],[UTILIZADO]]/SUM(TabelaErroKL[UTILIZADO]),"")</f>
        <v/>
      </c>
      <c r="I6" s="3" t="str">
        <f>IF(SUM(COUNTIFS(ProtocolosKL[BILHETE/EMD],"&lt;&gt;"&amp;"",ProtocolosKL[STATUS],"="&amp;"APROVADO",ProtocolosKL[WAIVER],"="&amp;"",ProtocolosKL[UNIDADE],"="&amp;TabelaErroKL[[#This Row],[UNIDADE]]))&gt;0,COUNTIFS(ProtocolosKL[BILHETE/EMD],"&lt;&gt;"&amp;"",ProtocolosKL[STATUS],"="&amp;"APROVADO",ProtocolosKL[WAIVER],"="&amp;"",ProtocolosKL[UNIDADE],"="&amp;TabelaErroKL[[#This Row],[UNIDADE]]),"")</f>
        <v/>
      </c>
    </row>
    <row r="7" spans="1:23">
      <c r="A7" s="2">
        <v>46174</v>
      </c>
      <c r="B7" s="21">
        <v>2384</v>
      </c>
      <c r="C7" s="21">
        <f>IF(SUMIFS(ProtocolosKL[VALOR COTA EUR],ProtocolosKL[BILHETE/EMD],"&lt;&gt;"&amp;"",ProtocolosKL[STATUS],"="&amp;"APROVADO",ProtocolosKL[TIPO],"&lt;&gt;"&amp;"FARE MATCH",ProtocolosKL[DATA],"&gt;="&amp;A7,ProtocolosKL[DATA],"&lt;="&amp;EOMONTH(A7,0))&lt;&gt;0,SUMIFS(ProtocolosKL[VALOR COTA EUR],ProtocolosKL[BILHETE/EMD],"&lt;&gt;"&amp;"",ProtocolosKL[STATUS],"="&amp;"APROVADO",ProtocolosKL[TIPO],"&lt;&gt;"&amp;"FARE MATCH",ProtocolosKL[DATA],"&gt;="&amp;A7,ProtocolosKL[DATA],"&lt;="&amp;EOMONTH(A7,0)),"")</f>
        <v>573</v>
      </c>
      <c r="D7" s="22">
        <f t="shared" si="0"/>
        <v>1811</v>
      </c>
      <c r="E7" s="3" t="s">
        <v>13</v>
      </c>
      <c r="F7" s="3" t="str">
        <f>IF(SUM(COUNTIFS(ProtocolosKL[STATUS],"&lt;&gt;"&amp;"APROVADO",ProtocolosKL[BILHETE/EMD],"&lt;&gt;"&amp;"",ProtocolosKL[UNIDADE],"="&amp;TabelaErroKL[[#This Row],[UNIDADE]]),COUNTIFS(ProtocolosKL[PNTKT],"Y",ProtocolosKL[UNIDADE],"="&amp;TabelaErroKL[[#This Row],[UNIDADE]]))&gt;0,SUM(COUNTIFS(ProtocolosKL[STATUS],"&lt;&gt;"&amp;"APROVADO",ProtocolosKL[BILHETE/EMD],"&lt;&gt;"&amp;"",ProtocolosKL[UNIDADE],"="&amp;TabelaErroKL[[#This Row],[UNIDADE]]),COUNTIFS(ProtocolosKL[PNTKT],"Y",ProtocolosKL[UNIDADE],"="&amp;TabelaErroKL[[#This Row],[UNIDADE]])),"")</f>
        <v/>
      </c>
      <c r="G7" s="55" t="str">
        <f>IF(SUMIFS(ProtocolosKL[VALOR COTA EUR],ProtocolosKL[BILHETE/EMD],"&lt;&gt;"&amp;"",ProtocolosKL[STATUS],"="&amp;"APROVADO",ProtocolosKL[UNIDADE],"="&amp;TabelaErroKL[[#This Row],[UNIDADE]],ProtocolosKL[DATA],"&gt;="&amp;$H$1,ProtocolosKL[DATA],"&lt;="&amp;EOMONTH($H$1,0))&lt;&gt;0,SUMIFS(ProtocolosKL[VALOR COTA EUR],ProtocolosKL[BILHETE/EMD],"&lt;&gt;"&amp;"",ProtocolosKL[STATUS],"="&amp;"APROVADO",ProtocolosKL[UNIDADE],"="&amp;TabelaErroKL[[#This Row],[UNIDADE]],ProtocolosKL[DATA],"&gt;="&amp;$H$1,ProtocolosKL[DATA],"&lt;="&amp;EOMONTH($H$1,0)),"")</f>
        <v/>
      </c>
      <c r="H7" s="5" t="str">
        <f>IFERROR(TabelaErroKL[[#This Row],[UTILIZADO]]/SUM(TabelaErroKL[UTILIZADO]),"")</f>
        <v/>
      </c>
      <c r="I7" s="3" t="str">
        <f>IF(SUM(COUNTIFS(ProtocolosKL[BILHETE/EMD],"&lt;&gt;"&amp;"",ProtocolosKL[STATUS],"="&amp;"APROVADO",ProtocolosKL[WAIVER],"="&amp;"",ProtocolosKL[UNIDADE],"="&amp;TabelaErroKL[[#This Row],[UNIDADE]]))&gt;0,COUNTIFS(ProtocolosKL[BILHETE/EMD],"&lt;&gt;"&amp;"",ProtocolosKL[STATUS],"="&amp;"APROVADO",ProtocolosKL[WAIVER],"="&amp;"",ProtocolosKL[UNIDADE],"="&amp;TabelaErroKL[[#This Row],[UNIDADE]]),"")</f>
        <v/>
      </c>
    </row>
    <row r="8" spans="1:23">
      <c r="A8" s="2">
        <v>46204</v>
      </c>
      <c r="B8" s="21">
        <v>3860</v>
      </c>
      <c r="C8" s="21" t="str">
        <f>IF(SUMIFS(ProtocolosKL[VALOR COTA EUR],ProtocolosKL[BILHETE/EMD],"&lt;&gt;"&amp;"",ProtocolosKL[STATUS],"="&amp;"APROVADO",ProtocolosKL[TIPO],"&lt;&gt;"&amp;"FARE MATCH",ProtocolosKL[DATA],"&gt;="&amp;A8,ProtocolosKL[DATA],"&lt;="&amp;EOMONTH(A8,0))&lt;&gt;0,SUMIFS(ProtocolosKL[VALOR COTA EUR],ProtocolosKL[BILHETE/EMD],"&lt;&gt;"&amp;"",ProtocolosKL[STATUS],"="&amp;"APROVADO",ProtocolosKL[TIPO],"&lt;&gt;"&amp;"FARE MATCH",ProtocolosKL[DATA],"&gt;="&amp;A8,ProtocolosKL[DATA],"&lt;="&amp;EOMONTH(A8,0)),"")</f>
        <v/>
      </c>
      <c r="D8" s="22" t="str">
        <f t="shared" si="0"/>
        <v/>
      </c>
      <c r="E8" s="3" t="s">
        <v>14</v>
      </c>
      <c r="F8" s="3" t="str">
        <f>IF(SUM(COUNTIFS(ProtocolosKL[STATUS],"&lt;&gt;"&amp;"APROVADO",ProtocolosKL[BILHETE/EMD],"&lt;&gt;"&amp;"",ProtocolosKL[UNIDADE],"="&amp;TabelaErroKL[[#This Row],[UNIDADE]]),COUNTIFS(ProtocolosKL[PNTKT],"Y",ProtocolosKL[UNIDADE],"="&amp;TabelaErroKL[[#This Row],[UNIDADE]]))&gt;0,SUM(COUNTIFS(ProtocolosKL[STATUS],"&lt;&gt;"&amp;"APROVADO",ProtocolosKL[BILHETE/EMD],"&lt;&gt;"&amp;"",ProtocolosKL[UNIDADE],"="&amp;TabelaErroKL[[#This Row],[UNIDADE]]),COUNTIFS(ProtocolosKL[PNTKT],"Y",ProtocolosKL[UNIDADE],"="&amp;TabelaErroKL[[#This Row],[UNIDADE]])),"")</f>
        <v/>
      </c>
      <c r="G8" s="55" t="str">
        <f>IF(SUMIFS(ProtocolosKL[VALOR COTA EUR],ProtocolosKL[BILHETE/EMD],"&lt;&gt;"&amp;"",ProtocolosKL[STATUS],"="&amp;"APROVADO",ProtocolosKL[UNIDADE],"="&amp;TabelaErroKL[[#This Row],[UNIDADE]],ProtocolosKL[DATA],"&gt;="&amp;$H$1,ProtocolosKL[DATA],"&lt;="&amp;EOMONTH($H$1,0))&lt;&gt;0,SUMIFS(ProtocolosKL[VALOR COTA EUR],ProtocolosKL[BILHETE/EMD],"&lt;&gt;"&amp;"",ProtocolosKL[STATUS],"="&amp;"APROVADO",ProtocolosKL[UNIDADE],"="&amp;TabelaErroKL[[#This Row],[UNIDADE]],ProtocolosKL[DATA],"&gt;="&amp;$H$1,ProtocolosKL[DATA],"&lt;="&amp;EOMONTH($H$1,0)),"")</f>
        <v/>
      </c>
      <c r="H8" s="5" t="str">
        <f>IFERROR(TabelaErroKL[[#This Row],[UTILIZADO]]/SUM(TabelaErroKL[UTILIZADO]),"")</f>
        <v/>
      </c>
      <c r="I8" s="3" t="str">
        <f>IF(SUM(COUNTIFS(ProtocolosKL[BILHETE/EMD],"&lt;&gt;"&amp;"",ProtocolosKL[STATUS],"="&amp;"APROVADO",ProtocolosKL[WAIVER],"="&amp;"",ProtocolosKL[UNIDADE],"="&amp;TabelaErroKL[[#This Row],[UNIDADE]]))&gt;0,COUNTIFS(ProtocolosKL[BILHETE/EMD],"&lt;&gt;"&amp;"",ProtocolosKL[STATUS],"="&amp;"APROVADO",ProtocolosKL[WAIVER],"="&amp;"",ProtocolosKL[UNIDADE],"="&amp;TabelaErroKL[[#This Row],[UNIDADE]]),"")</f>
        <v/>
      </c>
    </row>
    <row r="9" spans="1:23">
      <c r="A9" s="2">
        <v>46235</v>
      </c>
      <c r="B9" s="21">
        <v>4708.87</v>
      </c>
      <c r="C9" s="21">
        <f>IF(SUMIFS(ProtocolosKL[VALOR COTA EUR],ProtocolosKL[BILHETE/EMD],"&lt;&gt;"&amp;"",ProtocolosKL[STATUS],"="&amp;"APROVADO",ProtocolosKL[TIPO],"&lt;&gt;"&amp;"FARE MATCH",ProtocolosKL[DATA],"&gt;="&amp;A9,ProtocolosKL[DATA],"&lt;="&amp;EOMONTH(A9,0))&lt;&gt;0,SUMIFS(ProtocolosKL[VALOR COTA EUR],ProtocolosKL[BILHETE/EMD],"&lt;&gt;"&amp;"",ProtocolosKL[STATUS],"="&amp;"APROVADO",ProtocolosKL[TIPO],"&lt;&gt;"&amp;"FARE MATCH",ProtocolosKL[DATA],"&gt;="&amp;A9,ProtocolosKL[DATA],"&lt;="&amp;EOMONTH(A9,0)),"")</f>
        <v>70</v>
      </c>
      <c r="D9" s="22">
        <f>IFERROR(B9-C9,"")</f>
        <v>4638.87</v>
      </c>
      <c r="E9" s="3" t="s">
        <v>15</v>
      </c>
      <c r="F9" s="3" t="str">
        <f>IF(SUM(COUNTIFS(ProtocolosKL[STATUS],"&lt;&gt;"&amp;"APROVADO",ProtocolosKL[BILHETE/EMD],"&lt;&gt;"&amp;"",ProtocolosKL[UNIDADE],"="&amp;TabelaErroKL[[#This Row],[UNIDADE]]),COUNTIFS(ProtocolosKL[PNTKT],"Y",ProtocolosKL[UNIDADE],"="&amp;TabelaErroKL[[#This Row],[UNIDADE]]))&gt;0,SUM(COUNTIFS(ProtocolosKL[STATUS],"&lt;&gt;"&amp;"APROVADO",ProtocolosKL[BILHETE/EMD],"&lt;&gt;"&amp;"",ProtocolosKL[UNIDADE],"="&amp;TabelaErroKL[[#This Row],[UNIDADE]]),COUNTIFS(ProtocolosKL[PNTKT],"Y",ProtocolosKL[UNIDADE],"="&amp;TabelaErroKL[[#This Row],[UNIDADE]])),"")</f>
        <v/>
      </c>
      <c r="G9" s="55" t="str">
        <f>IF(SUMIFS(ProtocolosKL[VALOR COTA EUR],ProtocolosKL[BILHETE/EMD],"&lt;&gt;"&amp;"",ProtocolosKL[STATUS],"="&amp;"APROVADO",ProtocolosKL[UNIDADE],"="&amp;TabelaErroKL[[#This Row],[UNIDADE]],ProtocolosKL[DATA],"&gt;="&amp;$H$1,ProtocolosKL[DATA],"&lt;="&amp;EOMONTH($H$1,0))&lt;&gt;0,SUMIFS(ProtocolosKL[VALOR COTA EUR],ProtocolosKL[BILHETE/EMD],"&lt;&gt;"&amp;"",ProtocolosKL[STATUS],"="&amp;"APROVADO",ProtocolosKL[UNIDADE],"="&amp;TabelaErroKL[[#This Row],[UNIDADE]],ProtocolosKL[DATA],"&gt;="&amp;$H$1,ProtocolosKL[DATA],"&lt;="&amp;EOMONTH($H$1,0)),"")</f>
        <v/>
      </c>
      <c r="H9" s="5" t="str">
        <f>IFERROR(TabelaErroKL[[#This Row],[UTILIZADO]]/SUM(TabelaErroKL[UTILIZADO]),"")</f>
        <v/>
      </c>
      <c r="I9" s="3" t="str">
        <f>IF(SUM(COUNTIFS(ProtocolosKL[BILHETE/EMD],"&lt;&gt;"&amp;"",ProtocolosKL[STATUS],"="&amp;"APROVADO",ProtocolosKL[WAIVER],"="&amp;"",ProtocolosKL[UNIDADE],"="&amp;TabelaErroKL[[#This Row],[UNIDADE]]))&gt;0,COUNTIFS(ProtocolosKL[BILHETE/EMD],"&lt;&gt;"&amp;"",ProtocolosKL[STATUS],"="&amp;"APROVADO",ProtocolosKL[WAIVER],"="&amp;"",ProtocolosKL[UNIDADE],"="&amp;TabelaErroKL[[#This Row],[UNIDADE]]),"")</f>
        <v/>
      </c>
    </row>
    <row r="10" spans="1:23">
      <c r="A10" s="2">
        <v>46266</v>
      </c>
      <c r="B10" s="21">
        <v>1708.87</v>
      </c>
      <c r="C10" s="21" t="str">
        <f>IF(SUMIFS(ProtocolosKL[VALOR COTA EUR],ProtocolosKL[BILHETE/EMD],"&lt;&gt;"&amp;"",ProtocolosKL[STATUS],"="&amp;"APROVADO",ProtocolosKL[TIPO],"&lt;&gt;"&amp;"FARE MATCH",ProtocolosKL[DATA],"&gt;="&amp;A10,ProtocolosKL[DATA],"&lt;="&amp;EOMONTH(A10,0))&lt;&gt;0,SUMIFS(ProtocolosKL[VALOR COTA EUR],ProtocolosKL[BILHETE/EMD],"&lt;&gt;"&amp;"",ProtocolosKL[STATUS],"="&amp;"APROVADO",ProtocolosKL[TIPO],"&lt;&gt;"&amp;"FARE MATCH",ProtocolosKL[DATA],"&gt;="&amp;A10,ProtocolosKL[DATA],"&lt;="&amp;EOMONTH(A10,0)),"")</f>
        <v/>
      </c>
      <c r="D10" s="22" t="str">
        <f t="shared" si="0"/>
        <v/>
      </c>
      <c r="E10" s="3" t="s">
        <v>16</v>
      </c>
      <c r="F10" s="3" t="str">
        <f>IF(SUM(COUNTIFS(ProtocolosKL[STATUS],"&lt;&gt;"&amp;"APROVADO",ProtocolosKL[BILHETE/EMD],"&lt;&gt;"&amp;"",ProtocolosKL[UNIDADE],"="&amp;TabelaErroKL[[#This Row],[UNIDADE]]),COUNTIFS(ProtocolosKL[PNTKT],"Y",ProtocolosKL[UNIDADE],"="&amp;TabelaErroKL[[#This Row],[UNIDADE]]))&gt;0,SUM(COUNTIFS(ProtocolosKL[STATUS],"&lt;&gt;"&amp;"APROVADO",ProtocolosKL[BILHETE/EMD],"&lt;&gt;"&amp;"",ProtocolosKL[UNIDADE],"="&amp;TabelaErroKL[[#This Row],[UNIDADE]]),COUNTIFS(ProtocolosKL[PNTKT],"Y",ProtocolosKL[UNIDADE],"="&amp;TabelaErroKL[[#This Row],[UNIDADE]])),"")</f>
        <v/>
      </c>
      <c r="G10" s="55" t="str">
        <f>IF(SUMIFS(ProtocolosKL[VALOR COTA EUR],ProtocolosKL[BILHETE/EMD],"&lt;&gt;"&amp;"",ProtocolosKL[STATUS],"="&amp;"APROVADO",ProtocolosKL[UNIDADE],"="&amp;TabelaErroKL[[#This Row],[UNIDADE]],ProtocolosKL[DATA],"&gt;="&amp;$H$1,ProtocolosKL[DATA],"&lt;="&amp;EOMONTH($H$1,0))&lt;&gt;0,SUMIFS(ProtocolosKL[VALOR COTA EUR],ProtocolosKL[BILHETE/EMD],"&lt;&gt;"&amp;"",ProtocolosKL[STATUS],"="&amp;"APROVADO",ProtocolosKL[UNIDADE],"="&amp;TabelaErroKL[[#This Row],[UNIDADE]],ProtocolosKL[DATA],"&gt;="&amp;$H$1,ProtocolosKL[DATA],"&lt;="&amp;EOMONTH($H$1,0)),"")</f>
        <v/>
      </c>
      <c r="H10" s="5" t="str">
        <f>IFERROR(TabelaErroKL[[#This Row],[UTILIZADO]]/SUM(TabelaErroKL[UTILIZADO]),"")</f>
        <v/>
      </c>
      <c r="I10" s="3" t="str">
        <f>IF(SUM(COUNTIFS(ProtocolosKL[BILHETE/EMD],"&lt;&gt;"&amp;"",ProtocolosKL[STATUS],"="&amp;"APROVADO",ProtocolosKL[WAIVER],"="&amp;"",ProtocolosKL[UNIDADE],"="&amp;TabelaErroKL[[#This Row],[UNIDADE]]))&gt;0,COUNTIFS(ProtocolosKL[BILHETE/EMD],"&lt;&gt;"&amp;"",ProtocolosKL[STATUS],"="&amp;"APROVADO",ProtocolosKL[WAIVER],"="&amp;"",ProtocolosKL[UNIDADE],"="&amp;TabelaErroKL[[#This Row],[UNIDADE]]),"")</f>
        <v/>
      </c>
    </row>
    <row r="11" spans="1:23">
      <c r="A11" s="2">
        <v>46296</v>
      </c>
      <c r="B11" s="21"/>
      <c r="C11" s="21">
        <f>IF(SUMIFS(ProtocolosKL[VALOR COTA EUR],ProtocolosKL[BILHETE/EMD],"&lt;&gt;"&amp;"",ProtocolosKL[STATUS],"="&amp;"APROVADO",ProtocolosKL[TIPO],"&lt;&gt;"&amp;"FARE MATCH",ProtocolosKL[DATA],"&gt;="&amp;A11,ProtocolosKL[DATA],"&lt;="&amp;EOMONTH(A11,0))&lt;&gt;0,SUMIFS(ProtocolosKL[VALOR COTA EUR],ProtocolosKL[BILHETE/EMD],"&lt;&gt;"&amp;"",ProtocolosKL[STATUS],"="&amp;"APROVADO",ProtocolosKL[TIPO],"&lt;&gt;"&amp;"FARE MATCH",ProtocolosKL[DATA],"&gt;="&amp;A11,ProtocolosKL[DATA],"&lt;="&amp;EOMONTH(A11,0)),"")</f>
        <v>399</v>
      </c>
      <c r="D11" s="22">
        <f t="shared" si="0"/>
        <v>-399</v>
      </c>
      <c r="E11" s="18"/>
    </row>
    <row r="12" spans="1:23">
      <c r="A12" s="2">
        <v>46327</v>
      </c>
      <c r="B12" s="21"/>
      <c r="C12" s="21" t="str">
        <f>IF(SUMIFS(ProtocolosKL[VALOR COTA EUR],ProtocolosKL[BILHETE/EMD],"&lt;&gt;"&amp;"",ProtocolosKL[STATUS],"="&amp;"APROVADO",ProtocolosKL[TIPO],"&lt;&gt;"&amp;"FARE MATCH",ProtocolosKL[DATA],"&gt;="&amp;A12,ProtocolosKL[DATA],"&lt;="&amp;EOMONTH(A12,0))&lt;&gt;0,SUMIFS(ProtocolosKL[VALOR COTA EUR],ProtocolosKL[BILHETE/EMD],"&lt;&gt;"&amp;"",ProtocolosKL[STATUS],"="&amp;"APROVADO",ProtocolosKL[TIPO],"&lt;&gt;"&amp;"FARE MATCH",ProtocolosKL[DATA],"&gt;="&amp;A12,ProtocolosKL[DATA],"&lt;="&amp;EOMONTH(A12,0)),"")</f>
        <v/>
      </c>
      <c r="D12" s="22" t="str">
        <f t="shared" si="0"/>
        <v/>
      </c>
      <c r="E12" s="18"/>
    </row>
    <row r="13" spans="1:23">
      <c r="A13" s="2">
        <v>46357</v>
      </c>
      <c r="B13" s="21"/>
      <c r="C13" s="21" t="str">
        <f>IF(SUMIFS(ProtocolosKL[VALOR COTA EUR],ProtocolosKL[BILHETE/EMD],"&lt;&gt;"&amp;"",ProtocolosKL[STATUS],"="&amp;"APROVADO",ProtocolosKL[TIPO],"&lt;&gt;"&amp;"FARE MATCH",ProtocolosKL[DATA],"&gt;="&amp;A13,ProtocolosKL[DATA],"&lt;="&amp;EOMONTH(A13,0))&lt;&gt;0,SUMIFS(ProtocolosKL[VALOR COTA EUR],ProtocolosKL[BILHETE/EMD],"&lt;&gt;"&amp;"",ProtocolosKL[STATUS],"="&amp;"APROVADO",ProtocolosKL[TIPO],"&lt;&gt;"&amp;"FARE MATCH",ProtocolosKL[DATA],"&gt;="&amp;A13,ProtocolosKL[DATA],"&lt;="&amp;EOMONTH(A13,0)),"")</f>
        <v/>
      </c>
      <c r="D13" s="22" t="str">
        <f t="shared" si="0"/>
        <v/>
      </c>
      <c r="E13" s="18"/>
    </row>
    <row r="15" spans="1:23" ht="43.5">
      <c r="A15" s="6" t="s">
        <v>17</v>
      </c>
      <c r="B15" s="6" t="s">
        <v>5</v>
      </c>
      <c r="C15" s="6" t="s">
        <v>18</v>
      </c>
      <c r="D15" s="6" t="s">
        <v>19</v>
      </c>
      <c r="E15" s="6" t="s">
        <v>20</v>
      </c>
      <c r="F15" s="6" t="s">
        <v>21</v>
      </c>
      <c r="G15" s="20" t="s">
        <v>22</v>
      </c>
      <c r="H15" s="4" t="s">
        <v>23</v>
      </c>
      <c r="I15" s="20" t="s">
        <v>24</v>
      </c>
      <c r="J15" s="20" t="s">
        <v>25</v>
      </c>
      <c r="K15" s="6" t="s">
        <v>26</v>
      </c>
      <c r="L15" s="6" t="s">
        <v>27</v>
      </c>
      <c r="M15" s="4" t="s">
        <v>28</v>
      </c>
      <c r="N15" s="4" t="s">
        <v>29</v>
      </c>
      <c r="O15" s="6" t="s">
        <v>30</v>
      </c>
      <c r="P15" s="6" t="s">
        <v>31</v>
      </c>
      <c r="Q15" s="7" t="s">
        <v>32</v>
      </c>
      <c r="R15" s="8" t="s">
        <v>33</v>
      </c>
      <c r="S15" s="9" t="s">
        <v>34</v>
      </c>
      <c r="T15" s="12" t="s">
        <v>35</v>
      </c>
      <c r="U15" t="s">
        <v>36</v>
      </c>
      <c r="V15" t="s">
        <v>37</v>
      </c>
      <c r="W15" t="s">
        <v>38</v>
      </c>
    </row>
    <row r="16" spans="1:23" hidden="1">
      <c r="A16" s="1">
        <v>45006</v>
      </c>
      <c r="B16" t="s">
        <v>11</v>
      </c>
      <c r="C16" t="s">
        <v>2217</v>
      </c>
      <c r="D16" s="23" t="s">
        <v>2218</v>
      </c>
      <c r="E16" t="s">
        <v>73</v>
      </c>
      <c r="F16" s="19">
        <v>57564931</v>
      </c>
      <c r="G16" s="53">
        <v>741517463977</v>
      </c>
      <c r="H16" s="52">
        <v>240</v>
      </c>
      <c r="I16" s="5" t="s">
        <v>74</v>
      </c>
      <c r="J16" s="52" cm="1">
        <f t="array" ref="J1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240</v>
      </c>
      <c r="K16" s="15" t="s">
        <v>84</v>
      </c>
      <c r="L16" s="54" t="s">
        <v>2219</v>
      </c>
      <c r="M16" t="s">
        <v>43</v>
      </c>
      <c r="N16" s="15" t="s">
        <v>85</v>
      </c>
      <c r="O16" s="5" t="s">
        <v>436</v>
      </c>
      <c r="P16" s="17" t="s">
        <v>146</v>
      </c>
      <c r="Q16" s="10" t="s">
        <v>2220</v>
      </c>
      <c r="R16" s="11">
        <v>45006</v>
      </c>
      <c r="S16" s="10" t="s">
        <v>80</v>
      </c>
      <c r="T16" s="3" t="str">
        <f>IF(AND(ProtocolosKL[[#This Row],[STATUS]]="APROVADO",ProtocolosKL[[#This Row],[WAIVER]]=""),"Y","")</f>
        <v/>
      </c>
      <c r="U16" t="s">
        <v>2221</v>
      </c>
      <c r="V16" s="16" t="str">
        <f t="shared" ref="V16:V79" si="1">_xlfn.CONCAT(C16,U16)</f>
        <v>QMKPJOBARBOSA/PAULO</v>
      </c>
      <c r="W16">
        <v>13</v>
      </c>
    </row>
    <row r="17" spans="1:23" hidden="1">
      <c r="A17" s="1">
        <v>45006</v>
      </c>
      <c r="B17" t="s">
        <v>15</v>
      </c>
      <c r="C17" t="s">
        <v>2222</v>
      </c>
      <c r="D17" s="23" t="s">
        <v>2222</v>
      </c>
      <c r="E17" t="s">
        <v>41</v>
      </c>
      <c r="F17" s="19">
        <v>57564931</v>
      </c>
      <c r="G17" s="53">
        <v>749781008246</v>
      </c>
      <c r="H17" s="52">
        <v>1030</v>
      </c>
      <c r="I17" s="5">
        <v>0.1</v>
      </c>
      <c r="J17" s="52" cm="1">
        <f t="array" ref="J1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103</v>
      </c>
      <c r="K17" s="15" t="s">
        <v>75</v>
      </c>
      <c r="L17" s="54" t="s">
        <v>2223</v>
      </c>
      <c r="M17" t="s">
        <v>43</v>
      </c>
      <c r="N17" s="15" t="s">
        <v>44</v>
      </c>
      <c r="O17" s="5" t="s">
        <v>750</v>
      </c>
      <c r="P17" s="17" t="s">
        <v>46</v>
      </c>
      <c r="Q17" s="10" t="s">
        <v>79</v>
      </c>
      <c r="R17" s="11">
        <v>45007</v>
      </c>
      <c r="S17" s="10" t="s">
        <v>48</v>
      </c>
      <c r="T17" s="3" t="str">
        <f>IF(AND(ProtocolosKL[[#This Row],[STATUS]]="APROVADO",ProtocolosKL[[#This Row],[WAIVER]]=""),"Y","")</f>
        <v/>
      </c>
      <c r="U17" t="s">
        <v>2224</v>
      </c>
      <c r="V17" s="16" t="str">
        <f t="shared" si="1"/>
        <v>3FK2JA1.ANDRADE/ZELIA MARIA MRS</v>
      </c>
      <c r="W17">
        <v>15</v>
      </c>
    </row>
    <row r="18" spans="1:23" hidden="1">
      <c r="A18" s="1">
        <v>45006</v>
      </c>
      <c r="B18" t="s">
        <v>15</v>
      </c>
      <c r="C18" t="s">
        <v>2222</v>
      </c>
      <c r="D18" s="23" t="s">
        <v>2222</v>
      </c>
      <c r="E18" t="s">
        <v>41</v>
      </c>
      <c r="F18" s="19">
        <v>57564931</v>
      </c>
      <c r="G18" s="53">
        <v>749781014858</v>
      </c>
      <c r="H18" s="52">
        <v>1030</v>
      </c>
      <c r="I18" s="5">
        <v>0.1</v>
      </c>
      <c r="J18" s="52" cm="1">
        <f t="array" ref="J1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103</v>
      </c>
      <c r="K18" s="15" t="s">
        <v>75</v>
      </c>
      <c r="L18" s="54" t="s">
        <v>76</v>
      </c>
      <c r="M18" t="s">
        <v>43</v>
      </c>
      <c r="N18" s="15" t="s">
        <v>44</v>
      </c>
      <c r="O18" s="5" t="s">
        <v>750</v>
      </c>
      <c r="P18" s="17" t="s">
        <v>46</v>
      </c>
      <c r="Q18" s="10" t="s">
        <v>79</v>
      </c>
      <c r="R18" s="11">
        <v>45007</v>
      </c>
      <c r="S18" s="10" t="s">
        <v>48</v>
      </c>
      <c r="T18" s="3" t="str">
        <f>IF(AND(ProtocolosKL[[#This Row],[STATUS]]="APROVADO",ProtocolosKL[[#This Row],[WAIVER]]=""),"Y","")</f>
        <v/>
      </c>
      <c r="U18" t="s">
        <v>2225</v>
      </c>
      <c r="V18" s="16" t="str">
        <f t="shared" si="1"/>
        <v>3FK2JA2.OLIVEIRA MACHADO/EDUARDO MR</v>
      </c>
      <c r="W18">
        <v>15</v>
      </c>
    </row>
    <row r="19" spans="1:23" hidden="1">
      <c r="A19" s="1">
        <v>45006</v>
      </c>
      <c r="B19" t="s">
        <v>12</v>
      </c>
      <c r="C19" t="s">
        <v>2226</v>
      </c>
      <c r="D19" s="23" t="s">
        <v>2227</v>
      </c>
      <c r="E19" t="s">
        <v>41</v>
      </c>
      <c r="F19" s="19">
        <v>57564931</v>
      </c>
      <c r="G19" s="53">
        <v>749728278171</v>
      </c>
      <c r="H19" s="52">
        <v>2836</v>
      </c>
      <c r="I19" s="5">
        <v>0.15</v>
      </c>
      <c r="J19" s="52" cm="1">
        <f t="array" ref="J1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426</v>
      </c>
      <c r="K19" s="15" t="s">
        <v>227</v>
      </c>
      <c r="L19" s="54" t="s">
        <v>172</v>
      </c>
      <c r="M19" t="s">
        <v>43</v>
      </c>
      <c r="N19" s="15" t="s">
        <v>44</v>
      </c>
      <c r="O19" s="5" t="s">
        <v>2228</v>
      </c>
      <c r="P19" s="17" t="s">
        <v>69</v>
      </c>
      <c r="Q19" s="10" t="s">
        <v>229</v>
      </c>
      <c r="R19" s="11">
        <v>45007</v>
      </c>
      <c r="S19" s="10" t="s">
        <v>48</v>
      </c>
      <c r="T19" s="3" t="str">
        <f>IF(AND(ProtocolosKL[[#This Row],[STATUS]]="APROVADO",ProtocolosKL[[#This Row],[WAIVER]]=""),"Y","")</f>
        <v/>
      </c>
      <c r="U19" t="s">
        <v>2229</v>
      </c>
      <c r="V19" s="16" t="str">
        <f t="shared" si="1"/>
        <v>SXXSFUPARREIRA RYFF MOREIRA/CLAUDIO</v>
      </c>
      <c r="W19">
        <v>16</v>
      </c>
    </row>
    <row r="20" spans="1:23" hidden="1">
      <c r="A20" s="1">
        <v>45006</v>
      </c>
      <c r="B20" t="s">
        <v>12</v>
      </c>
      <c r="C20" t="s">
        <v>2230</v>
      </c>
      <c r="D20" s="23" t="s">
        <v>2231</v>
      </c>
      <c r="E20" t="s">
        <v>41</v>
      </c>
      <c r="F20" s="19">
        <v>57564931</v>
      </c>
      <c r="G20" s="53">
        <v>749728278155</v>
      </c>
      <c r="H20" s="52">
        <v>2836</v>
      </c>
      <c r="I20" s="5">
        <v>0.15</v>
      </c>
      <c r="J20" s="52" cm="1">
        <f t="array" ref="J2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426</v>
      </c>
      <c r="K20" s="15" t="s">
        <v>227</v>
      </c>
      <c r="L20" s="54" t="s">
        <v>172</v>
      </c>
      <c r="M20" t="s">
        <v>43</v>
      </c>
      <c r="N20" s="15" t="s">
        <v>44</v>
      </c>
      <c r="O20" s="5" t="s">
        <v>2228</v>
      </c>
      <c r="P20" s="17" t="s">
        <v>69</v>
      </c>
      <c r="Q20" s="10" t="s">
        <v>229</v>
      </c>
      <c r="R20" s="11">
        <v>45007</v>
      </c>
      <c r="S20" s="10" t="s">
        <v>48</v>
      </c>
      <c r="T20" s="3" t="str">
        <f>IF(AND(ProtocolosKL[[#This Row],[STATUS]]="APROVADO",ProtocolosKL[[#This Row],[WAIVER]]=""),"Y","")</f>
        <v/>
      </c>
      <c r="U20" t="s">
        <v>2232</v>
      </c>
      <c r="V20" s="16" t="str">
        <f t="shared" si="1"/>
        <v>MCMPBKELY MENDES RIBEIRO R MOREIRA/SUZANA</v>
      </c>
      <c r="W20">
        <v>16</v>
      </c>
    </row>
    <row r="21" spans="1:23" hidden="1">
      <c r="A21" s="1">
        <v>45007</v>
      </c>
      <c r="B21" t="s">
        <v>10</v>
      </c>
      <c r="C21" t="s">
        <v>2233</v>
      </c>
      <c r="D21" s="23" t="s">
        <v>2234</v>
      </c>
      <c r="E21" t="s">
        <v>41</v>
      </c>
      <c r="F21" s="19">
        <v>57564931</v>
      </c>
      <c r="G21" s="53">
        <v>749728280592</v>
      </c>
      <c r="H21" s="52">
        <v>1498</v>
      </c>
      <c r="I21" s="5">
        <v>7.0000000000000007E-2</v>
      </c>
      <c r="J21" s="52" cm="1">
        <f t="array" ref="J2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105</v>
      </c>
      <c r="K21" s="15" t="s">
        <v>115</v>
      </c>
      <c r="L21" s="54" t="s">
        <v>76</v>
      </c>
      <c r="M21" t="s">
        <v>43</v>
      </c>
      <c r="N21" s="15" t="s">
        <v>67</v>
      </c>
      <c r="O21" s="5" t="s">
        <v>417</v>
      </c>
      <c r="P21" s="17" t="s">
        <v>46</v>
      </c>
      <c r="Q21" s="10" t="s">
        <v>222</v>
      </c>
      <c r="R21" s="11">
        <v>45007</v>
      </c>
      <c r="S21" s="10" t="s">
        <v>48</v>
      </c>
      <c r="T21" s="3" t="str">
        <f>IF(AND(ProtocolosKL[[#This Row],[STATUS]]="APROVADO",ProtocolosKL[[#This Row],[WAIVER]]=""),"Y","")</f>
        <v/>
      </c>
      <c r="U21" t="s">
        <v>2235</v>
      </c>
      <c r="V21" s="16" t="str">
        <f t="shared" si="1"/>
        <v>RMFNCSBATTISTINI FORNEIRO/STEFANO MR</v>
      </c>
      <c r="W21">
        <v>18</v>
      </c>
    </row>
    <row r="22" spans="1:23" hidden="1">
      <c r="A22" s="1">
        <v>45007</v>
      </c>
      <c r="B22" t="s">
        <v>10</v>
      </c>
      <c r="C22" t="s">
        <v>2233</v>
      </c>
      <c r="D22" s="23" t="s">
        <v>2234</v>
      </c>
      <c r="E22" t="s">
        <v>41</v>
      </c>
      <c r="F22" s="19">
        <v>57564931</v>
      </c>
      <c r="G22" s="53">
        <v>749728280594</v>
      </c>
      <c r="H22" s="52">
        <v>1498</v>
      </c>
      <c r="I22" s="5">
        <v>7.0000000000000007E-2</v>
      </c>
      <c r="J22" s="52" cm="1">
        <f t="array" ref="J2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105</v>
      </c>
      <c r="K22" s="15" t="s">
        <v>115</v>
      </c>
      <c r="L22" s="54" t="s">
        <v>76</v>
      </c>
      <c r="M22" t="s">
        <v>43</v>
      </c>
      <c r="N22" s="15" t="s">
        <v>67</v>
      </c>
      <c r="O22" s="5" t="s">
        <v>417</v>
      </c>
      <c r="P22" s="17" t="s">
        <v>46</v>
      </c>
      <c r="Q22" s="10" t="s">
        <v>222</v>
      </c>
      <c r="R22" s="11">
        <v>45007</v>
      </c>
      <c r="S22" s="10" t="s">
        <v>48</v>
      </c>
      <c r="T22" s="3" t="str">
        <f>IF(AND(ProtocolosKL[[#This Row],[STATUS]]="APROVADO",ProtocolosKL[[#This Row],[WAIVER]]=""),"Y","")</f>
        <v/>
      </c>
      <c r="U22" t="s">
        <v>2236</v>
      </c>
      <c r="V22" s="16" t="str">
        <f t="shared" si="1"/>
        <v>RMFNCSFERREIRA/JAMILE MRS</v>
      </c>
      <c r="W22">
        <v>18</v>
      </c>
    </row>
    <row r="23" spans="1:23" hidden="1">
      <c r="A23" s="1">
        <v>45012</v>
      </c>
      <c r="B23" t="s">
        <v>12</v>
      </c>
      <c r="C23" t="s">
        <v>2237</v>
      </c>
      <c r="D23" s="23" t="s">
        <v>2237</v>
      </c>
      <c r="E23" t="s">
        <v>41</v>
      </c>
      <c r="F23" s="19"/>
      <c r="G23" s="53"/>
      <c r="H23" s="52">
        <v>1889</v>
      </c>
      <c r="I23" s="5">
        <v>0.15</v>
      </c>
      <c r="J23" s="52" t="str" cm="1">
        <f t="array" ref="J2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3" s="15" t="s">
        <v>227</v>
      </c>
      <c r="L23" s="54" t="s">
        <v>172</v>
      </c>
      <c r="M23" t="s">
        <v>100</v>
      </c>
      <c r="N23" s="15" t="s">
        <v>44</v>
      </c>
      <c r="O23" s="5" t="s">
        <v>134</v>
      </c>
      <c r="P23" s="17" t="s">
        <v>255</v>
      </c>
      <c r="Q23" s="10"/>
      <c r="R23" s="11"/>
      <c r="S23" s="10"/>
      <c r="T23" s="3" t="str">
        <f>IF(AND(ProtocolosKL[[#This Row],[STATUS]]="APROVADO",ProtocolosKL[[#This Row],[WAIVER]]=""),"Y","")</f>
        <v/>
      </c>
      <c r="U23" t="s">
        <v>2238</v>
      </c>
      <c r="V23" s="16" t="str">
        <f t="shared" si="1"/>
        <v>27SO5WFERREIRA DE LIMA POLO/MARCIA</v>
      </c>
      <c r="W23">
        <v>21</v>
      </c>
    </row>
    <row r="24" spans="1:23" hidden="1">
      <c r="A24" s="1">
        <v>45012</v>
      </c>
      <c r="B24" t="s">
        <v>12</v>
      </c>
      <c r="C24" t="s">
        <v>2237</v>
      </c>
      <c r="D24" s="23" t="s">
        <v>2237</v>
      </c>
      <c r="E24" t="s">
        <v>41</v>
      </c>
      <c r="F24" s="19"/>
      <c r="G24" s="53"/>
      <c r="H24" s="52">
        <v>1889</v>
      </c>
      <c r="I24" s="5">
        <v>0.15</v>
      </c>
      <c r="J24" s="52" t="str" cm="1">
        <f t="array" ref="J2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4" s="15" t="s">
        <v>227</v>
      </c>
      <c r="L24" s="54" t="s">
        <v>172</v>
      </c>
      <c r="M24" t="s">
        <v>100</v>
      </c>
      <c r="N24" s="15" t="s">
        <v>44</v>
      </c>
      <c r="O24" s="5" t="s">
        <v>134</v>
      </c>
      <c r="P24" s="17" t="s">
        <v>255</v>
      </c>
      <c r="Q24" s="10"/>
      <c r="R24" s="11"/>
      <c r="S24" s="10"/>
      <c r="T24" s="3" t="str">
        <f>IF(AND(ProtocolosKL[[#This Row],[STATUS]]="APROVADO",ProtocolosKL[[#This Row],[WAIVER]]=""),"Y","")</f>
        <v/>
      </c>
      <c r="U24" t="s">
        <v>2239</v>
      </c>
      <c r="V24" s="16" t="str">
        <f t="shared" si="1"/>
        <v>27SO5WPOLO/GILBERTO</v>
      </c>
      <c r="W24">
        <v>21</v>
      </c>
    </row>
    <row r="25" spans="1:23" hidden="1">
      <c r="A25" s="1">
        <v>45012</v>
      </c>
      <c r="B25" t="s">
        <v>12</v>
      </c>
      <c r="C25" t="s">
        <v>2237</v>
      </c>
      <c r="D25" s="23" t="s">
        <v>2237</v>
      </c>
      <c r="E25" t="s">
        <v>41</v>
      </c>
      <c r="F25" s="19"/>
      <c r="G25" s="53"/>
      <c r="H25" s="52">
        <v>1889</v>
      </c>
      <c r="I25" s="5">
        <v>0.15</v>
      </c>
      <c r="J25" s="52" t="str" cm="1">
        <f t="array" ref="J2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5" s="15" t="s">
        <v>227</v>
      </c>
      <c r="L25" s="54" t="s">
        <v>172</v>
      </c>
      <c r="M25" t="s">
        <v>100</v>
      </c>
      <c r="N25" s="15" t="s">
        <v>44</v>
      </c>
      <c r="O25" s="5" t="s">
        <v>134</v>
      </c>
      <c r="P25" s="17" t="s">
        <v>255</v>
      </c>
      <c r="Q25" s="10"/>
      <c r="R25" s="11"/>
      <c r="S25" s="10"/>
      <c r="T25" s="3" t="str">
        <f>IF(AND(ProtocolosKL[[#This Row],[STATUS]]="APROVADO",ProtocolosKL[[#This Row],[WAIVER]]=""),"Y","")</f>
        <v/>
      </c>
      <c r="U25" t="s">
        <v>2240</v>
      </c>
      <c r="V25" s="16" t="str">
        <f t="shared" si="1"/>
        <v>27SO5WLIMA POLO/ISABELLA</v>
      </c>
      <c r="W25">
        <v>21</v>
      </c>
    </row>
    <row r="26" spans="1:23" hidden="1">
      <c r="A26" s="1">
        <v>45012</v>
      </c>
      <c r="B26" t="s">
        <v>12</v>
      </c>
      <c r="C26" t="s">
        <v>2237</v>
      </c>
      <c r="D26" s="23" t="s">
        <v>2237</v>
      </c>
      <c r="E26" t="s">
        <v>41</v>
      </c>
      <c r="F26" s="19"/>
      <c r="G26" s="53"/>
      <c r="H26" s="52">
        <v>1889</v>
      </c>
      <c r="I26" s="5">
        <v>0.15</v>
      </c>
      <c r="J26" s="52" t="str" cm="1">
        <f t="array" ref="J2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6" s="15" t="s">
        <v>227</v>
      </c>
      <c r="L26" s="54" t="s">
        <v>172</v>
      </c>
      <c r="M26" t="s">
        <v>100</v>
      </c>
      <c r="N26" s="15" t="s">
        <v>44</v>
      </c>
      <c r="O26" s="5" t="s">
        <v>134</v>
      </c>
      <c r="P26" s="17" t="s">
        <v>255</v>
      </c>
      <c r="Q26" s="10"/>
      <c r="R26" s="11"/>
      <c r="S26" s="10"/>
      <c r="T26" s="3" t="str">
        <f>IF(AND(ProtocolosKL[[#This Row],[STATUS]]="APROVADO",ProtocolosKL[[#This Row],[WAIVER]]=""),"Y","")</f>
        <v/>
      </c>
      <c r="U26" t="s">
        <v>2241</v>
      </c>
      <c r="V26" s="16" t="str">
        <f t="shared" si="1"/>
        <v>27SO5WLIMA POLO/MANUELLA</v>
      </c>
      <c r="W26">
        <v>21</v>
      </c>
    </row>
    <row r="27" spans="1:23" hidden="1">
      <c r="A27" s="1">
        <v>45013</v>
      </c>
      <c r="B27" t="s">
        <v>15</v>
      </c>
      <c r="C27" t="s">
        <v>2242</v>
      </c>
      <c r="D27" s="23" t="s">
        <v>2243</v>
      </c>
      <c r="E27" t="s">
        <v>41</v>
      </c>
      <c r="F27" s="19">
        <v>57564931</v>
      </c>
      <c r="G27" s="53">
        <v>749728323374</v>
      </c>
      <c r="H27" s="52">
        <v>1334</v>
      </c>
      <c r="I27" s="5">
        <v>0.1</v>
      </c>
      <c r="J27" s="52" cm="1">
        <f t="array" ref="J2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134</v>
      </c>
      <c r="K27" s="15" t="s">
        <v>75</v>
      </c>
      <c r="L27" s="54" t="s">
        <v>76</v>
      </c>
      <c r="M27" t="s">
        <v>43</v>
      </c>
      <c r="N27" s="15" t="s">
        <v>77</v>
      </c>
      <c r="O27" s="5" t="s">
        <v>2244</v>
      </c>
      <c r="P27" s="17" t="s">
        <v>255</v>
      </c>
      <c r="Q27" s="10" t="s">
        <v>79</v>
      </c>
      <c r="R27" s="11">
        <v>45014</v>
      </c>
      <c r="S27" s="10" t="s">
        <v>48</v>
      </c>
      <c r="T27" s="3" t="str">
        <f>IF(AND(ProtocolosKL[[#This Row],[STATUS]]="APROVADO",ProtocolosKL[[#This Row],[WAIVER]]=""),"Y","")</f>
        <v/>
      </c>
      <c r="U27" t="s">
        <v>2245</v>
      </c>
      <c r="V27" s="16" t="str">
        <f t="shared" si="1"/>
        <v>BNKIOE1.1OLIVEIRA/ADONIAS MR</v>
      </c>
      <c r="W27">
        <v>22</v>
      </c>
    </row>
    <row r="28" spans="1:23" hidden="1">
      <c r="A28" s="1">
        <v>45013</v>
      </c>
      <c r="B28" t="s">
        <v>15</v>
      </c>
      <c r="C28" t="s">
        <v>2242</v>
      </c>
      <c r="D28" s="23" t="s">
        <v>2243</v>
      </c>
      <c r="E28" t="s">
        <v>41</v>
      </c>
      <c r="F28" s="19">
        <v>57564931</v>
      </c>
      <c r="G28" s="53">
        <v>749728323381</v>
      </c>
      <c r="H28" s="52">
        <v>1334</v>
      </c>
      <c r="I28" s="5">
        <v>0.1</v>
      </c>
      <c r="J28" s="52" cm="1">
        <f t="array" ref="J2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134</v>
      </c>
      <c r="K28" s="15" t="s">
        <v>75</v>
      </c>
      <c r="L28" s="54" t="s">
        <v>76</v>
      </c>
      <c r="M28" t="s">
        <v>43</v>
      </c>
      <c r="N28" s="15" t="s">
        <v>77</v>
      </c>
      <c r="O28" s="5" t="s">
        <v>2244</v>
      </c>
      <c r="P28" s="17" t="s">
        <v>255</v>
      </c>
      <c r="Q28" s="10" t="s">
        <v>79</v>
      </c>
      <c r="R28" s="11">
        <v>45014</v>
      </c>
      <c r="S28" s="10" t="s">
        <v>48</v>
      </c>
      <c r="T28" s="3" t="str">
        <f>IF(AND(ProtocolosKL[[#This Row],[STATUS]]="APROVADO",ProtocolosKL[[#This Row],[WAIVER]]=""),"Y","")</f>
        <v/>
      </c>
      <c r="U28" t="s">
        <v>2246</v>
      </c>
      <c r="V28" s="16" t="str">
        <f t="shared" si="1"/>
        <v>BNKIOE2.1NICOLELLA/CARLOS ALBERTO MR</v>
      </c>
      <c r="W28">
        <v>22</v>
      </c>
    </row>
    <row r="29" spans="1:23" hidden="1">
      <c r="A29" s="1">
        <v>45016</v>
      </c>
      <c r="B29" t="s">
        <v>10</v>
      </c>
      <c r="C29" t="s">
        <v>2247</v>
      </c>
      <c r="D29" s="23" t="s">
        <v>2248</v>
      </c>
      <c r="E29" t="s">
        <v>41</v>
      </c>
      <c r="F29" s="19">
        <v>57564931</v>
      </c>
      <c r="G29" s="53">
        <v>749728345252</v>
      </c>
      <c r="H29" s="52">
        <v>3033</v>
      </c>
      <c r="I29" s="5">
        <v>0.15</v>
      </c>
      <c r="J29" s="52" cm="1">
        <f t="array" ref="J2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455</v>
      </c>
      <c r="K29" s="15" t="s">
        <v>336</v>
      </c>
      <c r="L29" s="54" t="s">
        <v>66</v>
      </c>
      <c r="M29" t="s">
        <v>43</v>
      </c>
      <c r="N29" s="15" t="s">
        <v>67</v>
      </c>
      <c r="O29" s="5" t="s">
        <v>1221</v>
      </c>
      <c r="P29" s="17" t="s">
        <v>69</v>
      </c>
      <c r="Q29" s="10" t="s">
        <v>222</v>
      </c>
      <c r="R29" s="11">
        <v>45016</v>
      </c>
      <c r="S29" s="10" t="s">
        <v>48</v>
      </c>
      <c r="T29" s="3" t="str">
        <f>IF(AND(ProtocolosKL[[#This Row],[STATUS]]="APROVADO",ProtocolosKL[[#This Row],[WAIVER]]=""),"Y","")</f>
        <v/>
      </c>
      <c r="U29" t="s">
        <v>2249</v>
      </c>
      <c r="V29" s="16" t="str">
        <f t="shared" si="1"/>
        <v>UCNSEQ1.1DE OLIVEIRA AECK/ERICK</v>
      </c>
      <c r="W29">
        <v>25</v>
      </c>
    </row>
    <row r="30" spans="1:23" hidden="1">
      <c r="A30" s="1">
        <v>45016</v>
      </c>
      <c r="B30" t="s">
        <v>15</v>
      </c>
      <c r="C30" t="s">
        <v>2250</v>
      </c>
      <c r="D30" s="23" t="s">
        <v>2251</v>
      </c>
      <c r="E30" t="s">
        <v>41</v>
      </c>
      <c r="F30" s="19">
        <v>57564931</v>
      </c>
      <c r="G30" s="53">
        <v>749728348517</v>
      </c>
      <c r="H30" s="52">
        <v>1451</v>
      </c>
      <c r="I30" s="5">
        <v>0.1</v>
      </c>
      <c r="J30" s="52" cm="1">
        <f t="array" ref="J3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146</v>
      </c>
      <c r="K30" s="15" t="s">
        <v>75</v>
      </c>
      <c r="L30" s="54" t="s">
        <v>76</v>
      </c>
      <c r="M30" t="s">
        <v>43</v>
      </c>
      <c r="N30" s="15" t="s">
        <v>77</v>
      </c>
      <c r="O30" s="5" t="s">
        <v>2252</v>
      </c>
      <c r="P30" s="17" t="s">
        <v>46</v>
      </c>
      <c r="Q30" s="10"/>
      <c r="R30" s="11">
        <v>45016</v>
      </c>
      <c r="S30" s="10" t="s">
        <v>48</v>
      </c>
      <c r="T30" s="3" t="str">
        <f>IF(AND(ProtocolosKL[[#This Row],[STATUS]]="APROVADO",ProtocolosKL[[#This Row],[WAIVER]]=""),"Y","")</f>
        <v/>
      </c>
      <c r="U30" t="s">
        <v>2253</v>
      </c>
      <c r="V30" s="16" t="str">
        <f t="shared" si="1"/>
        <v>VSCNHD1.1FILGUEIRAS/RONALD MR</v>
      </c>
      <c r="W30">
        <v>26</v>
      </c>
    </row>
    <row r="31" spans="1:23" hidden="1">
      <c r="A31" s="1">
        <v>45016</v>
      </c>
      <c r="B31" t="s">
        <v>15</v>
      </c>
      <c r="C31" t="s">
        <v>2250</v>
      </c>
      <c r="D31" s="23" t="s">
        <v>2251</v>
      </c>
      <c r="E31" t="s">
        <v>41</v>
      </c>
      <c r="F31" s="19">
        <v>57564931</v>
      </c>
      <c r="G31" s="53">
        <v>749728348519</v>
      </c>
      <c r="H31" s="52">
        <v>1451</v>
      </c>
      <c r="I31" s="5">
        <v>0.1</v>
      </c>
      <c r="J31" s="52" cm="1">
        <f t="array" ref="J3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146</v>
      </c>
      <c r="K31" s="15" t="s">
        <v>75</v>
      </c>
      <c r="L31" s="54" t="s">
        <v>76</v>
      </c>
      <c r="M31" t="s">
        <v>43</v>
      </c>
      <c r="N31" s="15" t="s">
        <v>77</v>
      </c>
      <c r="O31" s="5" t="s">
        <v>2252</v>
      </c>
      <c r="P31" s="17" t="s">
        <v>46</v>
      </c>
      <c r="Q31" s="10"/>
      <c r="R31" s="11">
        <v>45016</v>
      </c>
      <c r="S31" s="10" t="s">
        <v>48</v>
      </c>
      <c r="T31" s="3" t="str">
        <f>IF(AND(ProtocolosKL[[#This Row],[STATUS]]="APROVADO",ProtocolosKL[[#This Row],[WAIVER]]=""),"Y","")</f>
        <v/>
      </c>
      <c r="U31" t="s">
        <v>2254</v>
      </c>
      <c r="V31" s="16" t="str">
        <f t="shared" si="1"/>
        <v>VSCNHD2.1FILGUEIRAS/ADRIANA MRS</v>
      </c>
      <c r="W31">
        <v>26</v>
      </c>
    </row>
    <row r="32" spans="1:23" hidden="1">
      <c r="A32" s="1">
        <v>45029</v>
      </c>
      <c r="B32" t="s">
        <v>11</v>
      </c>
      <c r="C32" t="s">
        <v>2255</v>
      </c>
      <c r="D32" s="23" t="s">
        <v>2256</v>
      </c>
      <c r="E32" t="s">
        <v>41</v>
      </c>
      <c r="F32" s="19"/>
      <c r="G32" s="53"/>
      <c r="H32" s="52">
        <v>3702</v>
      </c>
      <c r="I32" s="5">
        <v>0.15</v>
      </c>
      <c r="J32" s="52" t="str" cm="1">
        <f t="array" ref="J3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2" s="15" t="s">
        <v>151</v>
      </c>
      <c r="L32" s="54" t="s">
        <v>76</v>
      </c>
      <c r="M32" t="s">
        <v>100</v>
      </c>
      <c r="N32" s="15" t="s">
        <v>44</v>
      </c>
      <c r="O32" s="5" t="s">
        <v>101</v>
      </c>
      <c r="P32" s="17" t="s">
        <v>46</v>
      </c>
      <c r="Q32" s="10"/>
      <c r="R32" s="11"/>
      <c r="S32" s="10"/>
      <c r="T32" s="3" t="str">
        <f>IF(AND(ProtocolosKL[[#This Row],[STATUS]]="APROVADO",ProtocolosKL[[#This Row],[WAIVER]]=""),"Y","")</f>
        <v/>
      </c>
      <c r="U32" t="s">
        <v>2257</v>
      </c>
      <c r="V32" s="16" t="str">
        <f t="shared" si="1"/>
        <v>SMZCKMDA MOTA WAINSTOK/THAIS</v>
      </c>
      <c r="W32">
        <v>35</v>
      </c>
    </row>
    <row r="33" spans="1:23" hidden="1">
      <c r="A33" s="1">
        <v>45029</v>
      </c>
      <c r="B33" t="s">
        <v>11</v>
      </c>
      <c r="C33" t="s">
        <v>2255</v>
      </c>
      <c r="D33" s="23" t="s">
        <v>2256</v>
      </c>
      <c r="E33" t="s">
        <v>41</v>
      </c>
      <c r="F33" s="19"/>
      <c r="G33" s="53"/>
      <c r="H33" s="52">
        <v>3702</v>
      </c>
      <c r="I33" s="5">
        <v>0.15</v>
      </c>
      <c r="J33" s="52" t="str" cm="1">
        <f t="array" ref="J3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3" s="15" t="s">
        <v>151</v>
      </c>
      <c r="L33" s="54" t="s">
        <v>76</v>
      </c>
      <c r="M33" t="s">
        <v>100</v>
      </c>
      <c r="N33" s="15" t="s">
        <v>44</v>
      </c>
      <c r="O33" s="5" t="s">
        <v>101</v>
      </c>
      <c r="P33" s="17" t="s">
        <v>46</v>
      </c>
      <c r="Q33" s="10"/>
      <c r="R33" s="11"/>
      <c r="S33" s="10"/>
      <c r="T33" s="3" t="str">
        <f>IF(AND(ProtocolosKL[[#This Row],[STATUS]]="APROVADO",ProtocolosKL[[#This Row],[WAIVER]]=""),"Y","")</f>
        <v/>
      </c>
      <c r="U33" t="s">
        <v>2258</v>
      </c>
      <c r="V33" s="16" t="str">
        <f t="shared" si="1"/>
        <v>SMZCKMWAINSTOK/ROBERTO</v>
      </c>
      <c r="W33">
        <v>35</v>
      </c>
    </row>
    <row r="34" spans="1:23" hidden="1">
      <c r="A34" s="1">
        <v>45033</v>
      </c>
      <c r="B34" t="s">
        <v>10</v>
      </c>
      <c r="C34" t="s">
        <v>2259</v>
      </c>
      <c r="D34" s="23" t="s">
        <v>2260</v>
      </c>
      <c r="E34" t="s">
        <v>41</v>
      </c>
      <c r="F34" s="19">
        <v>57564931</v>
      </c>
      <c r="G34" s="53">
        <v>749728451774</v>
      </c>
      <c r="H34" s="52">
        <v>1557</v>
      </c>
      <c r="I34" s="5">
        <v>0.11</v>
      </c>
      <c r="J34" s="52" cm="1">
        <f t="array" ref="J3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172</v>
      </c>
      <c r="K34" s="15" t="s">
        <v>144</v>
      </c>
      <c r="L34" s="54" t="s">
        <v>76</v>
      </c>
      <c r="M34" t="s">
        <v>43</v>
      </c>
      <c r="N34" s="15" t="s">
        <v>67</v>
      </c>
      <c r="O34" s="5" t="s">
        <v>249</v>
      </c>
      <c r="P34" s="17" t="s">
        <v>69</v>
      </c>
      <c r="Q34" s="10" t="s">
        <v>222</v>
      </c>
      <c r="R34" s="11">
        <v>45034</v>
      </c>
      <c r="S34" s="10" t="s">
        <v>48</v>
      </c>
      <c r="T34" s="3" t="str">
        <f>IF(AND(ProtocolosKL[[#This Row],[STATUS]]="APROVADO",ProtocolosKL[[#This Row],[WAIVER]]=""),"Y","")</f>
        <v/>
      </c>
      <c r="U34" t="s">
        <v>2261</v>
      </c>
      <c r="V34" s="16" t="str">
        <f t="shared" si="1"/>
        <v>XYMIIJ1.1MARTINS CORREIA/DEOCLECIO JOSE MR</v>
      </c>
      <c r="W34">
        <v>40</v>
      </c>
    </row>
    <row r="35" spans="1:23" hidden="1">
      <c r="A35" s="1">
        <v>45033</v>
      </c>
      <c r="B35" t="s">
        <v>10</v>
      </c>
      <c r="C35" t="s">
        <v>2259</v>
      </c>
      <c r="D35" s="23" t="s">
        <v>2260</v>
      </c>
      <c r="E35" t="s">
        <v>41</v>
      </c>
      <c r="F35" s="19">
        <v>57564931</v>
      </c>
      <c r="G35" s="53">
        <v>749728451775</v>
      </c>
      <c r="H35" s="52">
        <v>1557</v>
      </c>
      <c r="I35" s="5">
        <v>0.11</v>
      </c>
      <c r="J35" s="52" cm="1">
        <f t="array" ref="J3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172</v>
      </c>
      <c r="K35" s="15" t="s">
        <v>144</v>
      </c>
      <c r="L35" s="54" t="s">
        <v>76</v>
      </c>
      <c r="M35" t="s">
        <v>43</v>
      </c>
      <c r="N35" s="15" t="s">
        <v>67</v>
      </c>
      <c r="O35" s="5" t="s">
        <v>249</v>
      </c>
      <c r="P35" s="17" t="s">
        <v>69</v>
      </c>
      <c r="Q35" s="10" t="s">
        <v>222</v>
      </c>
      <c r="R35" s="11">
        <v>45034</v>
      </c>
      <c r="S35" s="10" t="s">
        <v>48</v>
      </c>
      <c r="T35" s="3" t="str">
        <f>IF(AND(ProtocolosKL[[#This Row],[STATUS]]="APROVADO",ProtocolosKL[[#This Row],[WAIVER]]=""),"Y","")</f>
        <v/>
      </c>
      <c r="U35" t="s">
        <v>2262</v>
      </c>
      <c r="V35" s="16" t="str">
        <f t="shared" si="1"/>
        <v>XYMIIJ2.1MARTINS CORREIA/MARIA DE LURDES MRS</v>
      </c>
      <c r="W35">
        <v>40</v>
      </c>
    </row>
    <row r="36" spans="1:23" hidden="1">
      <c r="A36" s="1">
        <v>45034</v>
      </c>
      <c r="B36" t="s">
        <v>13</v>
      </c>
      <c r="C36" t="s">
        <v>2263</v>
      </c>
      <c r="D36" s="23" t="s">
        <v>2264</v>
      </c>
      <c r="E36" t="s">
        <v>41</v>
      </c>
      <c r="F36" s="19"/>
      <c r="G36" s="53"/>
      <c r="H36" s="52">
        <v>1481</v>
      </c>
      <c r="I36" s="5">
        <v>0.2</v>
      </c>
      <c r="J36" s="52" t="str" cm="1">
        <f t="array" ref="J3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6" s="15" t="s">
        <v>289</v>
      </c>
      <c r="L36" s="54" t="s">
        <v>66</v>
      </c>
      <c r="M36" t="s">
        <v>100</v>
      </c>
      <c r="N36" s="15" t="s">
        <v>44</v>
      </c>
      <c r="O36" s="5" t="s">
        <v>578</v>
      </c>
      <c r="P36" s="17" t="s">
        <v>503</v>
      </c>
      <c r="Q36" s="10"/>
      <c r="R36" s="11"/>
      <c r="S36" s="10"/>
      <c r="T36" s="3" t="str">
        <f>IF(AND(ProtocolosKL[[#This Row],[STATUS]]="APROVADO",ProtocolosKL[[#This Row],[WAIVER]]=""),"Y","")</f>
        <v/>
      </c>
      <c r="U36" t="s">
        <v>2265</v>
      </c>
      <c r="V36" s="16" t="str">
        <f t="shared" si="1"/>
        <v>MHEWIMSALUSTIANO/ANTONIO</v>
      </c>
      <c r="W36">
        <v>43</v>
      </c>
    </row>
    <row r="37" spans="1:23" hidden="1">
      <c r="A37" s="1">
        <v>45034</v>
      </c>
      <c r="B37" t="s">
        <v>13</v>
      </c>
      <c r="C37" t="s">
        <v>2263</v>
      </c>
      <c r="D37" s="23" t="s">
        <v>2264</v>
      </c>
      <c r="E37" t="s">
        <v>41</v>
      </c>
      <c r="F37" s="19"/>
      <c r="G37" s="53"/>
      <c r="H37" s="52">
        <v>1481</v>
      </c>
      <c r="I37" s="5">
        <v>0.2</v>
      </c>
      <c r="J37" s="52" t="str" cm="1">
        <f t="array" ref="J3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7" s="15" t="s">
        <v>289</v>
      </c>
      <c r="L37" s="54" t="s">
        <v>66</v>
      </c>
      <c r="M37" t="s">
        <v>100</v>
      </c>
      <c r="N37" s="15" t="s">
        <v>44</v>
      </c>
      <c r="O37" s="5" t="s">
        <v>578</v>
      </c>
      <c r="P37" s="17" t="s">
        <v>503</v>
      </c>
      <c r="Q37" s="10"/>
      <c r="R37" s="11"/>
      <c r="S37" s="10"/>
      <c r="T37" s="3" t="str">
        <f>IF(AND(ProtocolosKL[[#This Row],[STATUS]]="APROVADO",ProtocolosKL[[#This Row],[WAIVER]]=""),"Y","")</f>
        <v/>
      </c>
      <c r="U37" t="s">
        <v>2266</v>
      </c>
      <c r="V37" s="16" t="str">
        <f t="shared" si="1"/>
        <v>MHEWIMALMEIDA/RODOLFO</v>
      </c>
      <c r="W37">
        <v>43</v>
      </c>
    </row>
    <row r="38" spans="1:23" hidden="1">
      <c r="A38" s="1">
        <v>45034</v>
      </c>
      <c r="B38" t="s">
        <v>13</v>
      </c>
      <c r="C38" t="s">
        <v>2263</v>
      </c>
      <c r="D38" s="23" t="s">
        <v>2264</v>
      </c>
      <c r="E38" t="s">
        <v>41</v>
      </c>
      <c r="F38" s="19"/>
      <c r="G38" s="53"/>
      <c r="H38" s="52">
        <v>1481</v>
      </c>
      <c r="I38" s="5">
        <v>0.2</v>
      </c>
      <c r="J38" s="52" t="str" cm="1">
        <f t="array" ref="J3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8" s="15" t="s">
        <v>289</v>
      </c>
      <c r="L38" s="54" t="s">
        <v>66</v>
      </c>
      <c r="M38" t="s">
        <v>100</v>
      </c>
      <c r="N38" s="15" t="s">
        <v>44</v>
      </c>
      <c r="O38" s="5" t="s">
        <v>578</v>
      </c>
      <c r="P38" s="17" t="s">
        <v>503</v>
      </c>
      <c r="Q38" s="10"/>
      <c r="R38" s="11"/>
      <c r="S38" s="10"/>
      <c r="T38" s="3" t="str">
        <f>IF(AND(ProtocolosKL[[#This Row],[STATUS]]="APROVADO",ProtocolosKL[[#This Row],[WAIVER]]=""),"Y","")</f>
        <v/>
      </c>
      <c r="U38" t="s">
        <v>2267</v>
      </c>
      <c r="V38" s="16" t="str">
        <f t="shared" si="1"/>
        <v>MHEWIMALMEIDA/GUILHERME</v>
      </c>
      <c r="W38">
        <v>43</v>
      </c>
    </row>
    <row r="39" spans="1:23" hidden="1">
      <c r="A39" s="1">
        <v>45034</v>
      </c>
      <c r="B39" t="s">
        <v>13</v>
      </c>
      <c r="C39" t="s">
        <v>2268</v>
      </c>
      <c r="D39" s="23" t="s">
        <v>2269</v>
      </c>
      <c r="E39" t="s">
        <v>41</v>
      </c>
      <c r="F39" s="19">
        <v>57564931</v>
      </c>
      <c r="G39" s="53">
        <v>749728459815</v>
      </c>
      <c r="H39" s="52">
        <v>1475</v>
      </c>
      <c r="I39" s="5">
        <v>0.2</v>
      </c>
      <c r="J39" s="52" cm="1">
        <f t="array" ref="J3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295</v>
      </c>
      <c r="K39" s="15" t="s">
        <v>151</v>
      </c>
      <c r="L39" s="54" t="s">
        <v>76</v>
      </c>
      <c r="M39" t="s">
        <v>43</v>
      </c>
      <c r="N39" s="15" t="s">
        <v>44</v>
      </c>
      <c r="O39" s="5" t="s">
        <v>249</v>
      </c>
      <c r="P39" s="17" t="s">
        <v>46</v>
      </c>
      <c r="Q39" s="10" t="s">
        <v>168</v>
      </c>
      <c r="R39" s="11">
        <v>45035</v>
      </c>
      <c r="S39" s="10" t="s">
        <v>48</v>
      </c>
      <c r="T39" s="3" t="str">
        <f>IF(AND(ProtocolosKL[[#This Row],[STATUS]]="APROVADO",ProtocolosKL[[#This Row],[WAIVER]]=""),"Y","")</f>
        <v/>
      </c>
      <c r="U39" t="s">
        <v>2270</v>
      </c>
      <c r="V39" s="16" t="str">
        <f t="shared" si="1"/>
        <v>JXXQUISERAFINI GONCALVES CORTE/MARICY</v>
      </c>
      <c r="W39">
        <v>44</v>
      </c>
    </row>
    <row r="40" spans="1:23" hidden="1">
      <c r="A40" s="1">
        <v>45034</v>
      </c>
      <c r="B40" t="s">
        <v>13</v>
      </c>
      <c r="C40" t="s">
        <v>2268</v>
      </c>
      <c r="D40" s="23" t="s">
        <v>2269</v>
      </c>
      <c r="E40" t="s">
        <v>41</v>
      </c>
      <c r="F40" s="19">
        <v>57564931</v>
      </c>
      <c r="G40" s="53">
        <v>749728459816</v>
      </c>
      <c r="H40" s="52">
        <v>1475</v>
      </c>
      <c r="I40" s="5">
        <v>0.2</v>
      </c>
      <c r="J40" s="52" cm="1">
        <f t="array" ref="J4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295</v>
      </c>
      <c r="K40" s="15" t="s">
        <v>151</v>
      </c>
      <c r="L40" s="54" t="s">
        <v>76</v>
      </c>
      <c r="M40" t="s">
        <v>43</v>
      </c>
      <c r="N40" s="15" t="s">
        <v>44</v>
      </c>
      <c r="O40" s="5" t="s">
        <v>249</v>
      </c>
      <c r="P40" s="17" t="s">
        <v>46</v>
      </c>
      <c r="Q40" s="10" t="s">
        <v>168</v>
      </c>
      <c r="R40" s="11">
        <v>45035</v>
      </c>
      <c r="S40" s="10" t="s">
        <v>48</v>
      </c>
      <c r="T40" s="3" t="str">
        <f>IF(AND(ProtocolosKL[[#This Row],[STATUS]]="APROVADO",ProtocolosKL[[#This Row],[WAIVER]]=""),"Y","")</f>
        <v/>
      </c>
      <c r="U40" t="s">
        <v>2271</v>
      </c>
      <c r="V40" s="16" t="str">
        <f t="shared" si="1"/>
        <v>JXXQUIGONCALVES CORTE/ISIS</v>
      </c>
      <c r="W40">
        <v>44</v>
      </c>
    </row>
    <row r="41" spans="1:23" hidden="1">
      <c r="A41" s="1">
        <v>45034</v>
      </c>
      <c r="B41" t="s">
        <v>13</v>
      </c>
      <c r="C41" t="s">
        <v>2268</v>
      </c>
      <c r="D41" s="23" t="s">
        <v>2269</v>
      </c>
      <c r="E41" t="s">
        <v>41</v>
      </c>
      <c r="F41" s="19">
        <v>57564931</v>
      </c>
      <c r="G41" s="53">
        <v>749728459817</v>
      </c>
      <c r="H41" s="52">
        <v>1475</v>
      </c>
      <c r="I41" s="5">
        <v>0.2</v>
      </c>
      <c r="J41" s="52" cm="1">
        <f t="array" ref="J4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295</v>
      </c>
      <c r="K41" s="15" t="s">
        <v>151</v>
      </c>
      <c r="L41" s="54" t="s">
        <v>76</v>
      </c>
      <c r="M41" t="s">
        <v>43</v>
      </c>
      <c r="N41" s="15" t="s">
        <v>44</v>
      </c>
      <c r="O41" s="5" t="s">
        <v>249</v>
      </c>
      <c r="P41" s="17" t="s">
        <v>46</v>
      </c>
      <c r="Q41" s="10" t="s">
        <v>168</v>
      </c>
      <c r="R41" s="11">
        <v>45035</v>
      </c>
      <c r="S41" s="10" t="s">
        <v>48</v>
      </c>
      <c r="T41" s="3" t="str">
        <f>IF(AND(ProtocolosKL[[#This Row],[STATUS]]="APROVADO",ProtocolosKL[[#This Row],[WAIVER]]=""),"Y","")</f>
        <v/>
      </c>
      <c r="U41" t="s">
        <v>2272</v>
      </c>
      <c r="V41" s="16" t="str">
        <f t="shared" si="1"/>
        <v>JXXQUIGONCALVES CORTE/NATALIA</v>
      </c>
      <c r="W41">
        <v>44</v>
      </c>
    </row>
    <row r="42" spans="1:23" hidden="1">
      <c r="A42" s="1">
        <v>45034</v>
      </c>
      <c r="B42" t="s">
        <v>13</v>
      </c>
      <c r="C42" t="s">
        <v>2268</v>
      </c>
      <c r="D42" s="23" t="s">
        <v>2269</v>
      </c>
      <c r="E42" t="s">
        <v>41</v>
      </c>
      <c r="F42" s="19">
        <v>57564931</v>
      </c>
      <c r="G42" s="53">
        <v>749728459818</v>
      </c>
      <c r="H42" s="52">
        <v>1475</v>
      </c>
      <c r="I42" s="5">
        <v>0.2</v>
      </c>
      <c r="J42" s="52" cm="1">
        <f t="array" ref="J4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295</v>
      </c>
      <c r="K42" s="15" t="s">
        <v>151</v>
      </c>
      <c r="L42" s="54" t="s">
        <v>76</v>
      </c>
      <c r="M42" t="s">
        <v>43</v>
      </c>
      <c r="N42" s="15" t="s">
        <v>44</v>
      </c>
      <c r="O42" s="5" t="s">
        <v>249</v>
      </c>
      <c r="P42" s="17" t="s">
        <v>46</v>
      </c>
      <c r="Q42" s="10" t="s">
        <v>168</v>
      </c>
      <c r="R42" s="11">
        <v>45035</v>
      </c>
      <c r="S42" s="10" t="s">
        <v>48</v>
      </c>
      <c r="T42" s="3" t="str">
        <f>IF(AND(ProtocolosKL[[#This Row],[STATUS]]="APROVADO",ProtocolosKL[[#This Row],[WAIVER]]=""),"Y","")</f>
        <v/>
      </c>
      <c r="U42" t="s">
        <v>2273</v>
      </c>
      <c r="V42" s="16" t="str">
        <f t="shared" si="1"/>
        <v>JXXQUIDA FONSECA CORTE/LUIZ CARLOS</v>
      </c>
      <c r="W42">
        <v>44</v>
      </c>
    </row>
    <row r="43" spans="1:23" hidden="1">
      <c r="A43" s="1">
        <v>45035</v>
      </c>
      <c r="B43" t="s">
        <v>10</v>
      </c>
      <c r="C43" t="s">
        <v>2274</v>
      </c>
      <c r="D43" s="23" t="s">
        <v>2275</v>
      </c>
      <c r="E43" t="s">
        <v>41</v>
      </c>
      <c r="F43" s="19"/>
      <c r="G43" s="53"/>
      <c r="H43" s="52">
        <v>190</v>
      </c>
      <c r="I43" s="5">
        <v>0.08</v>
      </c>
      <c r="J43" s="52" t="str" cm="1">
        <f t="array" ref="J4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43" s="15" t="s">
        <v>345</v>
      </c>
      <c r="L43" s="54" t="s">
        <v>66</v>
      </c>
      <c r="M43" t="s">
        <v>217</v>
      </c>
      <c r="N43" s="15" t="s">
        <v>67</v>
      </c>
      <c r="O43" s="5" t="s">
        <v>2276</v>
      </c>
      <c r="P43" s="17" t="s">
        <v>46</v>
      </c>
      <c r="Q43" s="10"/>
      <c r="R43" s="11"/>
      <c r="S43" s="10"/>
      <c r="T43" s="3" t="str">
        <f>IF(AND(ProtocolosKL[[#This Row],[STATUS]]="APROVADO",ProtocolosKL[[#This Row],[WAIVER]]=""),"Y","")</f>
        <v/>
      </c>
      <c r="U43" t="s">
        <v>2277</v>
      </c>
      <c r="V43" s="16" t="str">
        <f t="shared" si="1"/>
        <v>XPNGYRCACACE JULIAO/PEDRO</v>
      </c>
      <c r="W43">
        <v>49</v>
      </c>
    </row>
    <row r="44" spans="1:23" hidden="1">
      <c r="A44" s="1">
        <v>45035</v>
      </c>
      <c r="B44" t="s">
        <v>10</v>
      </c>
      <c r="C44" t="s">
        <v>2274</v>
      </c>
      <c r="D44" s="23" t="s">
        <v>2275</v>
      </c>
      <c r="E44" t="s">
        <v>41</v>
      </c>
      <c r="F44" s="19">
        <v>57564931</v>
      </c>
      <c r="G44" s="53">
        <v>749728467898</v>
      </c>
      <c r="H44" s="52">
        <v>2383</v>
      </c>
      <c r="I44" s="5">
        <v>0.08</v>
      </c>
      <c r="J44" s="52" cm="1">
        <f t="array" ref="J4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191</v>
      </c>
      <c r="K44" s="15" t="s">
        <v>345</v>
      </c>
      <c r="L44" s="54" t="s">
        <v>66</v>
      </c>
      <c r="M44" t="s">
        <v>43</v>
      </c>
      <c r="N44" s="15" t="s">
        <v>67</v>
      </c>
      <c r="O44" s="5" t="s">
        <v>2276</v>
      </c>
      <c r="P44" s="17" t="s">
        <v>46</v>
      </c>
      <c r="Q44" s="10" t="s">
        <v>1341</v>
      </c>
      <c r="R44" s="11">
        <v>45036</v>
      </c>
      <c r="S44" s="10" t="s">
        <v>48</v>
      </c>
      <c r="T44" s="3" t="str">
        <f>IF(AND(ProtocolosKL[[#This Row],[STATUS]]="APROVADO",ProtocolosKL[[#This Row],[WAIVER]]=""),"Y","")</f>
        <v/>
      </c>
      <c r="U44" t="s">
        <v>2277</v>
      </c>
      <c r="V44" s="16" t="str">
        <f t="shared" si="1"/>
        <v>XPNGYRCACACE JULIAO/PEDRO</v>
      </c>
      <c r="W44">
        <v>50</v>
      </c>
    </row>
    <row r="45" spans="1:23" hidden="1">
      <c r="A45" s="1">
        <v>45036</v>
      </c>
      <c r="B45" t="s">
        <v>13</v>
      </c>
      <c r="C45" t="s">
        <v>2278</v>
      </c>
      <c r="D45" s="23" t="s">
        <v>2278</v>
      </c>
      <c r="E45" t="s">
        <v>73</v>
      </c>
      <c r="F45" s="19">
        <v>57490484</v>
      </c>
      <c r="G45" s="53">
        <v>741519110568</v>
      </c>
      <c r="H45" s="52">
        <v>85</v>
      </c>
      <c r="I45" s="5" t="s">
        <v>74</v>
      </c>
      <c r="J45" s="52" cm="1">
        <f t="array" ref="J4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85</v>
      </c>
      <c r="K45" s="15" t="s">
        <v>151</v>
      </c>
      <c r="L45" s="54" t="s">
        <v>76</v>
      </c>
      <c r="M45" t="s">
        <v>43</v>
      </c>
      <c r="N45" s="15" t="s">
        <v>44</v>
      </c>
      <c r="O45" s="5" t="s">
        <v>436</v>
      </c>
      <c r="P45" s="17" t="s">
        <v>69</v>
      </c>
      <c r="Q45" s="10" t="s">
        <v>168</v>
      </c>
      <c r="R45" s="11">
        <v>45041</v>
      </c>
      <c r="S45" s="10" t="s">
        <v>80</v>
      </c>
      <c r="T45" s="3" t="str">
        <f>IF(AND(ProtocolosKL[[#This Row],[STATUS]]="APROVADO",ProtocolosKL[[#This Row],[WAIVER]]=""),"Y","")</f>
        <v/>
      </c>
      <c r="U45" t="s">
        <v>2279</v>
      </c>
      <c r="V45" s="16" t="str">
        <f t="shared" si="1"/>
        <v>3ERII6HAMERSCHMIDT/ROGERIO</v>
      </c>
      <c r="W45">
        <v>51</v>
      </c>
    </row>
    <row r="46" spans="1:23" hidden="1">
      <c r="A46" s="1">
        <v>45036</v>
      </c>
      <c r="B46" t="s">
        <v>13</v>
      </c>
      <c r="C46" t="s">
        <v>2278</v>
      </c>
      <c r="D46" s="23" t="s">
        <v>2278</v>
      </c>
      <c r="E46" t="s">
        <v>73</v>
      </c>
      <c r="F46" s="19">
        <v>57490484</v>
      </c>
      <c r="G46" s="53">
        <v>741519110569</v>
      </c>
      <c r="H46" s="52">
        <v>85</v>
      </c>
      <c r="I46" s="5" t="s">
        <v>74</v>
      </c>
      <c r="J46" s="52" cm="1">
        <f t="array" ref="J4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85</v>
      </c>
      <c r="K46" s="15" t="s">
        <v>151</v>
      </c>
      <c r="L46" s="54" t="s">
        <v>76</v>
      </c>
      <c r="M46" t="s">
        <v>43</v>
      </c>
      <c r="N46" s="15" t="s">
        <v>44</v>
      </c>
      <c r="O46" s="5" t="s">
        <v>436</v>
      </c>
      <c r="P46" s="17" t="s">
        <v>69</v>
      </c>
      <c r="Q46" s="10" t="s">
        <v>168</v>
      </c>
      <c r="R46" s="11">
        <v>45041</v>
      </c>
      <c r="S46" s="10" t="s">
        <v>80</v>
      </c>
      <c r="T46" s="3" t="str">
        <f>IF(AND(ProtocolosKL[[#This Row],[STATUS]]="APROVADO",ProtocolosKL[[#This Row],[WAIVER]]=""),"Y","")</f>
        <v/>
      </c>
      <c r="U46" t="s">
        <v>2279</v>
      </c>
      <c r="V46" s="16" t="str">
        <f t="shared" si="1"/>
        <v>3ERII6HAMERSCHMIDT/ROGERIO</v>
      </c>
      <c r="W46">
        <v>55</v>
      </c>
    </row>
    <row r="47" spans="1:23" hidden="1">
      <c r="A47" s="1">
        <v>45040</v>
      </c>
      <c r="B47" t="s">
        <v>11</v>
      </c>
      <c r="C47" t="s">
        <v>2280</v>
      </c>
      <c r="D47" s="23" t="s">
        <v>2281</v>
      </c>
      <c r="E47" t="s">
        <v>41</v>
      </c>
      <c r="F47" s="19">
        <v>57564931</v>
      </c>
      <c r="G47" s="53">
        <v>749728486528</v>
      </c>
      <c r="H47" s="52">
        <v>1181</v>
      </c>
      <c r="I47" s="5">
        <v>0.08</v>
      </c>
      <c r="J47" s="52" cm="1">
        <f t="array" ref="J4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95</v>
      </c>
      <c r="K47" s="15" t="s">
        <v>99</v>
      </c>
      <c r="L47" s="54" t="s">
        <v>76</v>
      </c>
      <c r="M47" t="s">
        <v>43</v>
      </c>
      <c r="N47" s="15" t="s">
        <v>85</v>
      </c>
      <c r="O47" s="5" t="s">
        <v>624</v>
      </c>
      <c r="P47" s="17" t="s">
        <v>146</v>
      </c>
      <c r="Q47" s="10" t="s">
        <v>2282</v>
      </c>
      <c r="R47" s="11">
        <v>45040</v>
      </c>
      <c r="S47" s="10" t="s">
        <v>48</v>
      </c>
      <c r="T47" s="3" t="str">
        <f>IF(AND(ProtocolosKL[[#This Row],[STATUS]]="APROVADO",ProtocolosKL[[#This Row],[WAIVER]]=""),"Y","")</f>
        <v/>
      </c>
      <c r="U47" t="s">
        <v>2283</v>
      </c>
      <c r="V47" s="16" t="str">
        <f t="shared" si="1"/>
        <v>EEQCCMCONRADO LANGE/MARTHA MRS</v>
      </c>
      <c r="W47">
        <v>56</v>
      </c>
    </row>
    <row r="48" spans="1:23" hidden="1">
      <c r="A48" s="1">
        <v>45040</v>
      </c>
      <c r="B48" t="s">
        <v>10</v>
      </c>
      <c r="C48" t="s">
        <v>2259</v>
      </c>
      <c r="D48" s="23" t="s">
        <v>2260</v>
      </c>
      <c r="E48" t="s">
        <v>73</v>
      </c>
      <c r="F48" s="19">
        <v>57564931</v>
      </c>
      <c r="G48" s="53">
        <v>741519110560</v>
      </c>
      <c r="H48" s="52">
        <v>60</v>
      </c>
      <c r="I48" s="5" t="s">
        <v>74</v>
      </c>
      <c r="J48" s="52" cm="1">
        <f t="array" ref="J4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60</v>
      </c>
      <c r="K48" t="s">
        <v>144</v>
      </c>
      <c r="L48" s="54" t="s">
        <v>172</v>
      </c>
      <c r="M48" t="s">
        <v>43</v>
      </c>
      <c r="N48" s="15" t="s">
        <v>67</v>
      </c>
      <c r="O48" s="5" t="s">
        <v>249</v>
      </c>
      <c r="P48" s="17" t="s">
        <v>1075</v>
      </c>
      <c r="Q48" s="10" t="s">
        <v>670</v>
      </c>
      <c r="R48" s="11">
        <v>45040</v>
      </c>
      <c r="S48" s="10" t="s">
        <v>80</v>
      </c>
      <c r="T48" s="3" t="str">
        <f>IF(AND(ProtocolosKL[[#This Row],[STATUS]]="APROVADO",ProtocolosKL[[#This Row],[WAIVER]]=""),"Y","")</f>
        <v/>
      </c>
      <c r="U48" t="s">
        <v>2284</v>
      </c>
      <c r="V48" s="16" t="str">
        <f t="shared" si="1"/>
        <v>XYMIIJMARTINS CORREIA/DEOCLECIO JOSE</v>
      </c>
    </row>
    <row r="49" spans="1:23" hidden="1">
      <c r="A49" s="1">
        <v>45040</v>
      </c>
      <c r="B49" t="s">
        <v>10</v>
      </c>
      <c r="C49" t="s">
        <v>2259</v>
      </c>
      <c r="D49" s="23" t="s">
        <v>2260</v>
      </c>
      <c r="E49" t="s">
        <v>73</v>
      </c>
      <c r="F49" s="19">
        <v>57564931</v>
      </c>
      <c r="G49" s="53">
        <v>741519110561</v>
      </c>
      <c r="H49" s="52">
        <v>12</v>
      </c>
      <c r="I49" s="5" t="s">
        <v>74</v>
      </c>
      <c r="J49" s="52" cm="1">
        <f t="array" ref="J4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12</v>
      </c>
      <c r="K49" t="s">
        <v>144</v>
      </c>
      <c r="L49" s="54" t="s">
        <v>172</v>
      </c>
      <c r="M49" t="s">
        <v>43</v>
      </c>
      <c r="N49" s="15" t="s">
        <v>67</v>
      </c>
      <c r="O49" s="5" t="s">
        <v>249</v>
      </c>
      <c r="P49" s="17" t="s">
        <v>1075</v>
      </c>
      <c r="Q49" s="10" t="s">
        <v>670</v>
      </c>
      <c r="R49" s="11">
        <v>45040</v>
      </c>
      <c r="S49" s="10" t="s">
        <v>80</v>
      </c>
      <c r="T49" s="3" t="str">
        <f>IF(AND(ProtocolosKL[[#This Row],[STATUS]]="APROVADO",ProtocolosKL[[#This Row],[WAIVER]]=""),"Y","")</f>
        <v/>
      </c>
      <c r="U49" t="s">
        <v>2284</v>
      </c>
      <c r="V49" s="16" t="str">
        <f t="shared" si="1"/>
        <v>XYMIIJMARTINS CORREIA/DEOCLECIO JOSE</v>
      </c>
    </row>
    <row r="50" spans="1:23" hidden="1">
      <c r="A50" s="1">
        <v>45040</v>
      </c>
      <c r="B50" t="s">
        <v>10</v>
      </c>
      <c r="C50" t="s">
        <v>2259</v>
      </c>
      <c r="D50" s="23" t="s">
        <v>2260</v>
      </c>
      <c r="E50" t="s">
        <v>73</v>
      </c>
      <c r="F50" s="19">
        <v>57564931</v>
      </c>
      <c r="G50" s="53">
        <v>741519110562</v>
      </c>
      <c r="H50" s="52">
        <v>12</v>
      </c>
      <c r="I50" s="5" t="s">
        <v>74</v>
      </c>
      <c r="J50" s="52" cm="1">
        <f t="array" ref="J5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12</v>
      </c>
      <c r="K50" t="s">
        <v>144</v>
      </c>
      <c r="L50" s="54" t="s">
        <v>172</v>
      </c>
      <c r="M50" t="s">
        <v>43</v>
      </c>
      <c r="N50" s="15" t="s">
        <v>67</v>
      </c>
      <c r="O50" s="5" t="s">
        <v>249</v>
      </c>
      <c r="P50" s="17" t="s">
        <v>1075</v>
      </c>
      <c r="Q50" s="10" t="s">
        <v>670</v>
      </c>
      <c r="R50" s="11">
        <v>45040</v>
      </c>
      <c r="S50" s="10" t="s">
        <v>80</v>
      </c>
      <c r="T50" s="3" t="str">
        <f>IF(AND(ProtocolosKL[[#This Row],[STATUS]]="APROVADO",ProtocolosKL[[#This Row],[WAIVER]]=""),"Y","")</f>
        <v/>
      </c>
      <c r="U50" t="s">
        <v>2284</v>
      </c>
      <c r="V50" s="16" t="str">
        <f t="shared" si="1"/>
        <v>XYMIIJMARTINS CORREIA/DEOCLECIO JOSE</v>
      </c>
    </row>
    <row r="51" spans="1:23" hidden="1">
      <c r="A51" s="1">
        <v>45040</v>
      </c>
      <c r="B51" t="s">
        <v>10</v>
      </c>
      <c r="C51" t="s">
        <v>2259</v>
      </c>
      <c r="D51" s="23" t="s">
        <v>2260</v>
      </c>
      <c r="E51" t="s">
        <v>73</v>
      </c>
      <c r="F51" s="19">
        <v>57564931</v>
      </c>
      <c r="G51" s="53">
        <v>741519110563</v>
      </c>
      <c r="H51" s="52">
        <v>60</v>
      </c>
      <c r="I51" s="5" t="s">
        <v>74</v>
      </c>
      <c r="J51" s="52" cm="1">
        <f t="array" ref="J5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60</v>
      </c>
      <c r="K51" t="s">
        <v>144</v>
      </c>
      <c r="L51" s="54" t="s">
        <v>172</v>
      </c>
      <c r="M51" t="s">
        <v>43</v>
      </c>
      <c r="N51" s="15" t="s">
        <v>67</v>
      </c>
      <c r="O51" s="5" t="s">
        <v>249</v>
      </c>
      <c r="P51" s="17" t="s">
        <v>1075</v>
      </c>
      <c r="Q51" s="10" t="s">
        <v>670</v>
      </c>
      <c r="R51" s="11">
        <v>45040</v>
      </c>
      <c r="S51" s="10" t="s">
        <v>80</v>
      </c>
      <c r="T51" s="3" t="str">
        <f>IF(AND(ProtocolosKL[[#This Row],[STATUS]]="APROVADO",ProtocolosKL[[#This Row],[WAIVER]]=""),"Y","")</f>
        <v/>
      </c>
      <c r="U51" t="s">
        <v>2284</v>
      </c>
      <c r="V51" s="16" t="str">
        <f t="shared" si="1"/>
        <v>XYMIIJMARTINS CORREIA/DEOCLECIO JOSE</v>
      </c>
    </row>
    <row r="52" spans="1:23" hidden="1">
      <c r="A52" s="1">
        <v>45040</v>
      </c>
      <c r="B52" t="s">
        <v>10</v>
      </c>
      <c r="C52" t="s">
        <v>2259</v>
      </c>
      <c r="D52" s="23" t="s">
        <v>2260</v>
      </c>
      <c r="E52" t="s">
        <v>73</v>
      </c>
      <c r="F52" s="19">
        <v>57564931</v>
      </c>
      <c r="G52" s="53">
        <v>741519110564</v>
      </c>
      <c r="H52" s="52">
        <v>60</v>
      </c>
      <c r="I52" s="5" t="s">
        <v>74</v>
      </c>
      <c r="J52" s="52" cm="1">
        <f t="array" ref="J5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60</v>
      </c>
      <c r="K52" t="s">
        <v>144</v>
      </c>
      <c r="L52" s="54" t="s">
        <v>172</v>
      </c>
      <c r="M52" t="s">
        <v>43</v>
      </c>
      <c r="N52" s="15" t="s">
        <v>67</v>
      </c>
      <c r="O52" s="5" t="s">
        <v>249</v>
      </c>
      <c r="P52" s="17" t="s">
        <v>1075</v>
      </c>
      <c r="Q52" s="10" t="s">
        <v>670</v>
      </c>
      <c r="R52" s="11">
        <v>45040</v>
      </c>
      <c r="S52" s="10" t="s">
        <v>80</v>
      </c>
      <c r="T52" s="3" t="str">
        <f>IF(AND(ProtocolosKL[[#This Row],[STATUS]]="APROVADO",ProtocolosKL[[#This Row],[WAIVER]]=""),"Y","")</f>
        <v/>
      </c>
      <c r="U52" t="s">
        <v>2285</v>
      </c>
      <c r="V52" s="16" t="str">
        <f t="shared" si="1"/>
        <v>XYMIIJMARTINS CORREIA/MARIA DE LURDES</v>
      </c>
    </row>
    <row r="53" spans="1:23" hidden="1">
      <c r="A53" s="1">
        <v>45040</v>
      </c>
      <c r="B53" t="s">
        <v>10</v>
      </c>
      <c r="C53" t="s">
        <v>2259</v>
      </c>
      <c r="D53" s="23" t="s">
        <v>2260</v>
      </c>
      <c r="E53" t="s">
        <v>73</v>
      </c>
      <c r="F53" s="19">
        <v>57564931</v>
      </c>
      <c r="G53" s="53">
        <v>741519110565</v>
      </c>
      <c r="H53" s="52">
        <v>12</v>
      </c>
      <c r="I53" s="5" t="s">
        <v>74</v>
      </c>
      <c r="J53" s="52" cm="1">
        <f t="array" ref="J5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12</v>
      </c>
      <c r="K53" t="s">
        <v>144</v>
      </c>
      <c r="L53" s="54" t="s">
        <v>172</v>
      </c>
      <c r="M53" t="s">
        <v>43</v>
      </c>
      <c r="N53" s="15" t="s">
        <v>67</v>
      </c>
      <c r="O53" s="5" t="s">
        <v>249</v>
      </c>
      <c r="P53" s="17" t="s">
        <v>1075</v>
      </c>
      <c r="Q53" s="10" t="s">
        <v>670</v>
      </c>
      <c r="R53" s="11">
        <v>45040</v>
      </c>
      <c r="S53" s="10" t="s">
        <v>80</v>
      </c>
      <c r="T53" s="3" t="str">
        <f>IF(AND(ProtocolosKL[[#This Row],[STATUS]]="APROVADO",ProtocolosKL[[#This Row],[WAIVER]]=""),"Y","")</f>
        <v/>
      </c>
      <c r="U53" t="s">
        <v>2285</v>
      </c>
      <c r="V53" s="16" t="str">
        <f t="shared" si="1"/>
        <v>XYMIIJMARTINS CORREIA/MARIA DE LURDES</v>
      </c>
    </row>
    <row r="54" spans="1:23" hidden="1">
      <c r="A54" s="1">
        <v>45040</v>
      </c>
      <c r="B54" t="s">
        <v>10</v>
      </c>
      <c r="C54" t="s">
        <v>2259</v>
      </c>
      <c r="D54" s="23" t="s">
        <v>2260</v>
      </c>
      <c r="E54" t="s">
        <v>73</v>
      </c>
      <c r="F54" s="19">
        <v>57564931</v>
      </c>
      <c r="G54" s="53">
        <v>741519110566</v>
      </c>
      <c r="H54" s="52">
        <v>12</v>
      </c>
      <c r="I54" s="5" t="s">
        <v>74</v>
      </c>
      <c r="J54" s="52" cm="1">
        <f t="array" ref="J5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12</v>
      </c>
      <c r="K54" t="s">
        <v>144</v>
      </c>
      <c r="L54" s="54" t="s">
        <v>172</v>
      </c>
      <c r="M54" t="s">
        <v>43</v>
      </c>
      <c r="N54" s="15" t="s">
        <v>67</v>
      </c>
      <c r="O54" s="5" t="s">
        <v>249</v>
      </c>
      <c r="P54" s="17" t="s">
        <v>1075</v>
      </c>
      <c r="Q54" s="10" t="s">
        <v>670</v>
      </c>
      <c r="R54" s="11">
        <v>45040</v>
      </c>
      <c r="S54" s="10" t="s">
        <v>80</v>
      </c>
      <c r="T54" s="3" t="str">
        <f>IF(AND(ProtocolosKL[[#This Row],[STATUS]]="APROVADO",ProtocolosKL[[#This Row],[WAIVER]]=""),"Y","")</f>
        <v/>
      </c>
      <c r="U54" t="s">
        <v>2285</v>
      </c>
      <c r="V54" s="16" t="str">
        <f t="shared" si="1"/>
        <v>XYMIIJMARTINS CORREIA/MARIA DE LURDES</v>
      </c>
    </row>
    <row r="55" spans="1:23" hidden="1">
      <c r="A55" s="1">
        <v>45040</v>
      </c>
      <c r="B55" t="s">
        <v>10</v>
      </c>
      <c r="C55" t="s">
        <v>2259</v>
      </c>
      <c r="D55" s="23" t="s">
        <v>2260</v>
      </c>
      <c r="E55" t="s">
        <v>73</v>
      </c>
      <c r="F55" s="19">
        <v>57564931</v>
      </c>
      <c r="G55" s="53">
        <v>741519110567</v>
      </c>
      <c r="H55" s="52">
        <v>60</v>
      </c>
      <c r="I55" s="5" t="s">
        <v>74</v>
      </c>
      <c r="J55" s="52" cm="1">
        <f t="array" ref="J5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60</v>
      </c>
      <c r="K55" t="s">
        <v>144</v>
      </c>
      <c r="L55" s="54" t="s">
        <v>172</v>
      </c>
      <c r="M55" t="s">
        <v>43</v>
      </c>
      <c r="N55" s="15" t="s">
        <v>67</v>
      </c>
      <c r="O55" s="5" t="s">
        <v>249</v>
      </c>
      <c r="P55" s="17" t="s">
        <v>1075</v>
      </c>
      <c r="Q55" s="10" t="s">
        <v>670</v>
      </c>
      <c r="R55" s="11">
        <v>45040</v>
      </c>
      <c r="S55" s="10" t="s">
        <v>80</v>
      </c>
      <c r="T55" s="3" t="str">
        <f>IF(AND(ProtocolosKL[[#This Row],[STATUS]]="APROVADO",ProtocolosKL[[#This Row],[WAIVER]]=""),"Y","")</f>
        <v/>
      </c>
      <c r="U55" t="s">
        <v>2285</v>
      </c>
      <c r="V55" s="16" t="str">
        <f t="shared" si="1"/>
        <v>XYMIIJMARTINS CORREIA/MARIA DE LURDES</v>
      </c>
    </row>
    <row r="56" spans="1:23" hidden="1">
      <c r="A56" s="1">
        <v>45042</v>
      </c>
      <c r="B56" t="s">
        <v>15</v>
      </c>
      <c r="C56" t="s">
        <v>2286</v>
      </c>
      <c r="D56" s="23" t="s">
        <v>2286</v>
      </c>
      <c r="E56" t="s">
        <v>41</v>
      </c>
      <c r="F56" s="19">
        <v>57564931</v>
      </c>
      <c r="G56" s="53">
        <v>749285532291</v>
      </c>
      <c r="H56" s="52">
        <v>1866</v>
      </c>
      <c r="I56" s="5">
        <v>0.1</v>
      </c>
      <c r="J56" s="52" cm="1">
        <f t="array" ref="J5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187</v>
      </c>
      <c r="K56" s="15" t="s">
        <v>75</v>
      </c>
      <c r="L56" s="54" t="s">
        <v>76</v>
      </c>
      <c r="M56" t="s">
        <v>43</v>
      </c>
      <c r="N56" s="15" t="s">
        <v>77</v>
      </c>
      <c r="O56" s="5" t="s">
        <v>468</v>
      </c>
      <c r="P56" s="17" t="s">
        <v>46</v>
      </c>
      <c r="Q56" s="10" t="s">
        <v>79</v>
      </c>
      <c r="R56" s="11">
        <v>45042</v>
      </c>
      <c r="S56" s="10" t="s">
        <v>48</v>
      </c>
      <c r="T56" s="3" t="str">
        <f>IF(AND(ProtocolosKL[[#This Row],[STATUS]]="APROVADO",ProtocolosKL[[#This Row],[WAIVER]]=""),"Y","")</f>
        <v/>
      </c>
      <c r="U56" t="s">
        <v>2287</v>
      </c>
      <c r="V56" s="16" t="str">
        <f t="shared" si="1"/>
        <v>4CC8BM1.DOS SANTOS SOBRINHO/ANTONIO MR</v>
      </c>
      <c r="W56">
        <v>58</v>
      </c>
    </row>
    <row r="57" spans="1:23" hidden="1">
      <c r="A57" s="1">
        <v>45043</v>
      </c>
      <c r="B57" t="s">
        <v>10</v>
      </c>
      <c r="C57" t="s">
        <v>2288</v>
      </c>
      <c r="D57" s="23" t="s">
        <v>2289</v>
      </c>
      <c r="E57" t="s">
        <v>73</v>
      </c>
      <c r="F57" s="19">
        <v>57490484</v>
      </c>
      <c r="G57" s="53">
        <v>741519110697</v>
      </c>
      <c r="H57" s="52">
        <v>85</v>
      </c>
      <c r="I57" s="5" t="s">
        <v>74</v>
      </c>
      <c r="J57" s="52" cm="1">
        <f t="array" ref="J5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85</v>
      </c>
      <c r="K57" s="15" t="s">
        <v>306</v>
      </c>
      <c r="L57" s="54" t="s">
        <v>172</v>
      </c>
      <c r="M57" t="s">
        <v>43</v>
      </c>
      <c r="N57" s="15" t="s">
        <v>67</v>
      </c>
      <c r="O57" s="5" t="s">
        <v>2290</v>
      </c>
      <c r="P57" s="17" t="s">
        <v>46</v>
      </c>
      <c r="Q57" s="10" t="s">
        <v>222</v>
      </c>
      <c r="R57" s="11">
        <v>45044</v>
      </c>
      <c r="S57" s="10" t="s">
        <v>80</v>
      </c>
      <c r="T57" s="3" t="str">
        <f>IF(AND(ProtocolosKL[[#This Row],[STATUS]]="APROVADO",ProtocolosKL[[#This Row],[WAIVER]]=""),"Y","")</f>
        <v/>
      </c>
      <c r="U57" t="s">
        <v>2291</v>
      </c>
      <c r="V57" s="16" t="str">
        <f t="shared" si="1"/>
        <v>MCLAJNGARNIER/SAMUEL</v>
      </c>
      <c r="W57">
        <v>59</v>
      </c>
    </row>
    <row r="58" spans="1:23" hidden="1">
      <c r="A58" s="1">
        <v>45044</v>
      </c>
      <c r="B58" t="s">
        <v>10</v>
      </c>
      <c r="C58" t="s">
        <v>2292</v>
      </c>
      <c r="D58" s="23" t="s">
        <v>2293</v>
      </c>
      <c r="E58" t="s">
        <v>73</v>
      </c>
      <c r="F58" s="19"/>
      <c r="G58" s="53"/>
      <c r="H58" s="52">
        <v>340</v>
      </c>
      <c r="I58" s="5" t="s">
        <v>74</v>
      </c>
      <c r="J58" s="52" t="str" cm="1">
        <f t="array" ref="J5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58" s="15" t="s">
        <v>189</v>
      </c>
      <c r="L58" s="54" t="s">
        <v>76</v>
      </c>
      <c r="M58" t="s">
        <v>100</v>
      </c>
      <c r="N58" s="15" t="s">
        <v>67</v>
      </c>
      <c r="O58" s="5" t="s">
        <v>101</v>
      </c>
      <c r="P58" s="17" t="s">
        <v>69</v>
      </c>
      <c r="Q58" s="10"/>
      <c r="R58" s="11"/>
      <c r="S58" s="10"/>
      <c r="T58" s="3" t="str">
        <f>IF(AND(ProtocolosKL[[#This Row],[STATUS]]="APROVADO",ProtocolosKL[[#This Row],[WAIVER]]=""),"Y","")</f>
        <v/>
      </c>
      <c r="U58" t="s">
        <v>2294</v>
      </c>
      <c r="V58" s="16" t="str">
        <f t="shared" si="1"/>
        <v>RNYYHB1FERREIRA/JOAO PAULO MR</v>
      </c>
      <c r="W58">
        <v>60</v>
      </c>
    </row>
    <row r="59" spans="1:23" hidden="1">
      <c r="A59" s="1">
        <v>45044</v>
      </c>
      <c r="B59" t="s">
        <v>10</v>
      </c>
      <c r="C59" t="s">
        <v>2295</v>
      </c>
      <c r="D59" s="23" t="s">
        <v>2296</v>
      </c>
      <c r="E59" t="s">
        <v>73</v>
      </c>
      <c r="F59" s="19"/>
      <c r="G59" s="53"/>
      <c r="H59" s="52">
        <v>340</v>
      </c>
      <c r="I59" s="5" t="s">
        <v>74</v>
      </c>
      <c r="J59" s="52" t="str" cm="1">
        <f t="array" ref="J5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59" s="15" t="s">
        <v>189</v>
      </c>
      <c r="L59" s="54" t="s">
        <v>76</v>
      </c>
      <c r="M59" t="s">
        <v>100</v>
      </c>
      <c r="N59" s="15" t="s">
        <v>67</v>
      </c>
      <c r="O59" s="5" t="s">
        <v>101</v>
      </c>
      <c r="P59" s="17" t="s">
        <v>69</v>
      </c>
      <c r="Q59" s="10"/>
      <c r="R59" s="11"/>
      <c r="S59" s="10"/>
      <c r="T59" s="3" t="str">
        <f>IF(AND(ProtocolosKL[[#This Row],[STATUS]]="APROVADO",ProtocolosKL[[#This Row],[WAIVER]]=""),"Y","")</f>
        <v/>
      </c>
      <c r="U59" t="s">
        <v>2297</v>
      </c>
      <c r="V59" s="16" t="str">
        <f t="shared" si="1"/>
        <v>YGJXPPFERREIRA/ELIZABETH MRS</v>
      </c>
      <c r="W59">
        <v>61</v>
      </c>
    </row>
    <row r="60" spans="1:23" hidden="1">
      <c r="A60" s="1">
        <v>45049</v>
      </c>
      <c r="B60" t="s">
        <v>11</v>
      </c>
      <c r="C60" t="s">
        <v>2298</v>
      </c>
      <c r="D60" s="23" t="s">
        <v>2299</v>
      </c>
      <c r="E60" t="s">
        <v>41</v>
      </c>
      <c r="F60" s="19"/>
      <c r="G60" s="53"/>
      <c r="H60" s="52">
        <v>2980</v>
      </c>
      <c r="I60" s="5">
        <v>0.05</v>
      </c>
      <c r="J60" s="52" t="str" cm="1">
        <f t="array" ref="J6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60" s="15" t="s">
        <v>99</v>
      </c>
      <c r="L60" s="54" t="s">
        <v>76</v>
      </c>
      <c r="M60" t="s">
        <v>217</v>
      </c>
      <c r="N60" s="15" t="s">
        <v>85</v>
      </c>
      <c r="O60" s="5" t="s">
        <v>234</v>
      </c>
      <c r="P60" s="17" t="s">
        <v>46</v>
      </c>
      <c r="Q60" s="10"/>
      <c r="R60" s="11"/>
      <c r="S60" s="10"/>
      <c r="T60" s="3" t="str">
        <f>IF(AND(ProtocolosKL[[#This Row],[STATUS]]="APROVADO",ProtocolosKL[[#This Row],[WAIVER]]=""),"Y","")</f>
        <v/>
      </c>
      <c r="U60" t="s">
        <v>235</v>
      </c>
      <c r="V60" s="16" t="str">
        <f t="shared" si="1"/>
        <v>RABIKCSKLENKA/MILOS MR</v>
      </c>
      <c r="W60">
        <v>64</v>
      </c>
    </row>
    <row r="61" spans="1:23" hidden="1">
      <c r="A61" s="1">
        <v>45050</v>
      </c>
      <c r="B61" t="s">
        <v>12</v>
      </c>
      <c r="C61" t="s">
        <v>2300</v>
      </c>
      <c r="D61" s="23" t="s">
        <v>2301</v>
      </c>
      <c r="E61" t="s">
        <v>41</v>
      </c>
      <c r="F61" s="19">
        <v>57564931</v>
      </c>
      <c r="G61" s="53">
        <v>749728556553</v>
      </c>
      <c r="H61" s="52">
        <v>1398</v>
      </c>
      <c r="I61" s="5">
        <v>0.15</v>
      </c>
      <c r="J61" s="52" cm="1">
        <f t="array" ref="J6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210</v>
      </c>
      <c r="K61" s="15" t="s">
        <v>227</v>
      </c>
      <c r="L61" s="54" t="s">
        <v>172</v>
      </c>
      <c r="M61" t="s">
        <v>43</v>
      </c>
      <c r="N61" s="15" t="s">
        <v>44</v>
      </c>
      <c r="O61" s="5" t="s">
        <v>234</v>
      </c>
      <c r="P61" s="17" t="s">
        <v>46</v>
      </c>
      <c r="Q61" s="10" t="s">
        <v>229</v>
      </c>
      <c r="R61" s="11">
        <v>45051</v>
      </c>
      <c r="S61" s="10" t="s">
        <v>48</v>
      </c>
      <c r="T61" s="3" t="str">
        <f>IF(AND(ProtocolosKL[[#This Row],[STATUS]]="APROVADO",ProtocolosKL[[#This Row],[WAIVER]]=""),"Y","")</f>
        <v/>
      </c>
      <c r="U61" t="s">
        <v>2302</v>
      </c>
      <c r="V61" s="16" t="str">
        <f t="shared" si="1"/>
        <v>DPWNXBDIAS DA SILVA/JOAO MANUEL</v>
      </c>
      <c r="W61">
        <v>66</v>
      </c>
    </row>
    <row r="62" spans="1:23" hidden="1">
      <c r="A62" s="1">
        <v>45050</v>
      </c>
      <c r="B62" t="s">
        <v>12</v>
      </c>
      <c r="C62" t="s">
        <v>2300</v>
      </c>
      <c r="D62" s="23" t="s">
        <v>2301</v>
      </c>
      <c r="E62" t="s">
        <v>41</v>
      </c>
      <c r="F62" s="19">
        <v>57564931</v>
      </c>
      <c r="G62" s="53">
        <v>749728556555</v>
      </c>
      <c r="H62" s="52">
        <v>1398</v>
      </c>
      <c r="I62" s="5">
        <v>0.15</v>
      </c>
      <c r="J62" s="52" cm="1">
        <f t="array" ref="J6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210</v>
      </c>
      <c r="K62" s="15" t="s">
        <v>227</v>
      </c>
      <c r="L62" s="54" t="s">
        <v>172</v>
      </c>
      <c r="M62" t="s">
        <v>43</v>
      </c>
      <c r="N62" s="15" t="s">
        <v>44</v>
      </c>
      <c r="O62" s="5" t="s">
        <v>234</v>
      </c>
      <c r="P62" s="17" t="s">
        <v>46</v>
      </c>
      <c r="Q62" s="10" t="s">
        <v>229</v>
      </c>
      <c r="R62" s="11">
        <v>45051</v>
      </c>
      <c r="S62" s="10" t="s">
        <v>48</v>
      </c>
      <c r="T62" s="3" t="str">
        <f>IF(AND(ProtocolosKL[[#This Row],[STATUS]]="APROVADO",ProtocolosKL[[#This Row],[WAIVER]]=""),"Y","")</f>
        <v/>
      </c>
      <c r="U62" t="s">
        <v>2303</v>
      </c>
      <c r="V62" s="16" t="str">
        <f t="shared" si="1"/>
        <v>DPWNXBMEDEIROS DA SILVA/ANTONIA BERNARDETE</v>
      </c>
      <c r="W62">
        <v>66</v>
      </c>
    </row>
    <row r="63" spans="1:23" hidden="1">
      <c r="A63" s="1">
        <v>45054</v>
      </c>
      <c r="B63" t="s">
        <v>11</v>
      </c>
      <c r="C63" t="s">
        <v>2304</v>
      </c>
      <c r="D63" s="23" t="s">
        <v>2305</v>
      </c>
      <c r="E63" t="s">
        <v>41</v>
      </c>
      <c r="F63" s="19">
        <v>57564931</v>
      </c>
      <c r="G63" s="53">
        <v>749727982526</v>
      </c>
      <c r="H63" s="52">
        <v>1316</v>
      </c>
      <c r="I63" s="5">
        <v>0.12</v>
      </c>
      <c r="J63" s="52" cm="1">
        <f t="array" ref="J6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158</v>
      </c>
      <c r="K63" s="15" t="s">
        <v>84</v>
      </c>
      <c r="L63" s="54" t="s">
        <v>76</v>
      </c>
      <c r="M63" t="s">
        <v>43</v>
      </c>
      <c r="N63" s="15" t="s">
        <v>85</v>
      </c>
      <c r="O63" s="5" t="s">
        <v>106</v>
      </c>
      <c r="P63" s="17" t="s">
        <v>146</v>
      </c>
      <c r="Q63" s="10" t="s">
        <v>1008</v>
      </c>
      <c r="R63" s="11">
        <v>45056</v>
      </c>
      <c r="S63" s="10" t="s">
        <v>48</v>
      </c>
      <c r="T63" s="3" t="str">
        <f>IF(AND(ProtocolosKL[[#This Row],[STATUS]]="APROVADO",ProtocolosKL[[#This Row],[WAIVER]]=""),"Y","")</f>
        <v/>
      </c>
      <c r="U63" t="s">
        <v>2306</v>
      </c>
      <c r="V63" s="16" t="str">
        <f t="shared" si="1"/>
        <v>4GK5RRDO NASCIMENTO BERNARDES/RENAN</v>
      </c>
      <c r="W63">
        <v>67</v>
      </c>
    </row>
    <row r="64" spans="1:23" hidden="1">
      <c r="A64" s="1">
        <v>45054</v>
      </c>
      <c r="B64" t="s">
        <v>11</v>
      </c>
      <c r="C64" t="s">
        <v>2304</v>
      </c>
      <c r="D64" s="23" t="s">
        <v>2305</v>
      </c>
      <c r="E64" t="s">
        <v>41</v>
      </c>
      <c r="F64" s="19">
        <v>57564931</v>
      </c>
      <c r="G64" s="53">
        <v>749727982527</v>
      </c>
      <c r="H64" s="52">
        <v>1316</v>
      </c>
      <c r="I64" s="5">
        <v>0.12</v>
      </c>
      <c r="J64" s="52" cm="1">
        <f t="array" ref="J6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158</v>
      </c>
      <c r="K64" s="15" t="s">
        <v>84</v>
      </c>
      <c r="L64" s="54" t="s">
        <v>76</v>
      </c>
      <c r="M64" t="s">
        <v>43</v>
      </c>
      <c r="N64" s="15" t="s">
        <v>85</v>
      </c>
      <c r="O64" s="5" t="s">
        <v>106</v>
      </c>
      <c r="P64" s="17" t="s">
        <v>146</v>
      </c>
      <c r="Q64" s="10" t="s">
        <v>1008</v>
      </c>
      <c r="R64" s="11">
        <v>45056</v>
      </c>
      <c r="S64" s="10" t="s">
        <v>48</v>
      </c>
      <c r="T64" s="3" t="str">
        <f>IF(AND(ProtocolosKL[[#This Row],[STATUS]]="APROVADO",ProtocolosKL[[#This Row],[WAIVER]]=""),"Y","")</f>
        <v/>
      </c>
      <c r="U64" t="s">
        <v>2307</v>
      </c>
      <c r="V64" s="16" t="str">
        <f t="shared" si="1"/>
        <v>4GK5RRNUNES MACHADO/LUIZ GUSTAVO</v>
      </c>
      <c r="W64">
        <v>67</v>
      </c>
    </row>
    <row r="65" spans="1:23" hidden="1">
      <c r="A65" s="1">
        <v>45054</v>
      </c>
      <c r="B65" t="s">
        <v>11</v>
      </c>
      <c r="C65" t="s">
        <v>2304</v>
      </c>
      <c r="D65" s="23" t="s">
        <v>2305</v>
      </c>
      <c r="E65" t="s">
        <v>41</v>
      </c>
      <c r="F65" s="19">
        <v>57564931</v>
      </c>
      <c r="G65" s="53">
        <v>749727982528</v>
      </c>
      <c r="H65" s="52">
        <v>1316</v>
      </c>
      <c r="I65" s="5">
        <v>0.12</v>
      </c>
      <c r="J65" s="52" cm="1">
        <f t="array" ref="J6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158</v>
      </c>
      <c r="K65" s="15" t="s">
        <v>84</v>
      </c>
      <c r="L65" s="54" t="s">
        <v>76</v>
      </c>
      <c r="M65" t="s">
        <v>43</v>
      </c>
      <c r="N65" s="15" t="s">
        <v>85</v>
      </c>
      <c r="O65" s="5" t="s">
        <v>106</v>
      </c>
      <c r="P65" s="17" t="s">
        <v>146</v>
      </c>
      <c r="Q65" s="10" t="s">
        <v>2308</v>
      </c>
      <c r="R65" s="11">
        <v>45056</v>
      </c>
      <c r="S65" s="10" t="s">
        <v>48</v>
      </c>
      <c r="T65" s="3" t="str">
        <f>IF(AND(ProtocolosKL[[#This Row],[STATUS]]="APROVADO",ProtocolosKL[[#This Row],[WAIVER]]=""),"Y","")</f>
        <v/>
      </c>
      <c r="U65" t="s">
        <v>2309</v>
      </c>
      <c r="V65" s="16" t="str">
        <f t="shared" si="1"/>
        <v>4GK5RRJANUARIO/EMERSON ALEXANDRE</v>
      </c>
      <c r="W65">
        <v>67</v>
      </c>
    </row>
    <row r="66" spans="1:23" hidden="1">
      <c r="A66" s="1">
        <v>45054</v>
      </c>
      <c r="B66" t="s">
        <v>13</v>
      </c>
      <c r="C66" t="s">
        <v>2310</v>
      </c>
      <c r="D66" s="23" t="s">
        <v>2311</v>
      </c>
      <c r="E66" t="s">
        <v>207</v>
      </c>
      <c r="F66" s="19">
        <v>57490484</v>
      </c>
      <c r="G66" s="53">
        <v>741519110906</v>
      </c>
      <c r="H66" s="52">
        <v>170</v>
      </c>
      <c r="I66" s="5" t="s">
        <v>74</v>
      </c>
      <c r="J66" s="52" cm="1">
        <f t="array" ref="J6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170</v>
      </c>
      <c r="K66" s="15" t="s">
        <v>151</v>
      </c>
      <c r="L66" s="54" t="s">
        <v>513</v>
      </c>
      <c r="M66" t="s">
        <v>43</v>
      </c>
      <c r="N66" s="15" t="s">
        <v>44</v>
      </c>
      <c r="O66" s="5" t="s">
        <v>134</v>
      </c>
      <c r="P66" s="17" t="s">
        <v>46</v>
      </c>
      <c r="Q66" s="10" t="s">
        <v>168</v>
      </c>
      <c r="R66" s="11">
        <v>45056</v>
      </c>
      <c r="S66" s="10" t="s">
        <v>80</v>
      </c>
      <c r="T66" s="3" t="str">
        <f>IF(AND(ProtocolosKL[[#This Row],[STATUS]]="APROVADO",ProtocolosKL[[#This Row],[WAIVER]]=""),"Y","")</f>
        <v/>
      </c>
      <c r="U66" t="s">
        <v>2312</v>
      </c>
      <c r="V66" s="16" t="str">
        <f t="shared" si="1"/>
        <v>VYVSDICORDEIRO SANTOS KOPKE/EDNA APARECIDA</v>
      </c>
      <c r="W66">
        <v>68</v>
      </c>
    </row>
    <row r="67" spans="1:23" hidden="1">
      <c r="A67" s="1">
        <v>45054</v>
      </c>
      <c r="B67" t="s">
        <v>13</v>
      </c>
      <c r="C67" t="s">
        <v>2310</v>
      </c>
      <c r="D67" s="23" t="s">
        <v>2311</v>
      </c>
      <c r="E67" t="s">
        <v>207</v>
      </c>
      <c r="F67" s="19">
        <v>57490484</v>
      </c>
      <c r="G67" s="53">
        <v>741519110907</v>
      </c>
      <c r="H67" s="52">
        <v>170</v>
      </c>
      <c r="I67" s="5" t="s">
        <v>74</v>
      </c>
      <c r="J67" s="52" cm="1">
        <f t="array" ref="J6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170</v>
      </c>
      <c r="K67" s="15" t="s">
        <v>151</v>
      </c>
      <c r="L67" s="54" t="s">
        <v>513</v>
      </c>
      <c r="M67" t="s">
        <v>43</v>
      </c>
      <c r="N67" s="15" t="s">
        <v>44</v>
      </c>
      <c r="O67" s="5" t="s">
        <v>134</v>
      </c>
      <c r="P67" s="17" t="s">
        <v>46</v>
      </c>
      <c r="Q67" s="10" t="s">
        <v>168</v>
      </c>
      <c r="R67" s="11">
        <v>45056</v>
      </c>
      <c r="S67" s="10" t="s">
        <v>80</v>
      </c>
      <c r="T67" s="3" t="str">
        <f>IF(AND(ProtocolosKL[[#This Row],[STATUS]]="APROVADO",ProtocolosKL[[#This Row],[WAIVER]]=""),"Y","")</f>
        <v/>
      </c>
      <c r="U67" t="s">
        <v>2313</v>
      </c>
      <c r="V67" s="16" t="str">
        <f t="shared" si="1"/>
        <v>VYVSDIMOREIRA KOPKE/CARLOS ALBERTO</v>
      </c>
      <c r="W67">
        <v>68</v>
      </c>
    </row>
    <row r="68" spans="1:23" hidden="1">
      <c r="A68" s="1">
        <v>45054</v>
      </c>
      <c r="B68" t="s">
        <v>13</v>
      </c>
      <c r="C68" t="s">
        <v>2310</v>
      </c>
      <c r="D68" s="23" t="s">
        <v>2311</v>
      </c>
      <c r="E68" t="s">
        <v>207</v>
      </c>
      <c r="F68" s="19">
        <v>57490484</v>
      </c>
      <c r="G68" s="53">
        <v>741519110908</v>
      </c>
      <c r="H68" s="52">
        <v>170</v>
      </c>
      <c r="I68" s="5" t="s">
        <v>74</v>
      </c>
      <c r="J68" s="52" cm="1">
        <f t="array" ref="J6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170</v>
      </c>
      <c r="K68" s="15" t="s">
        <v>151</v>
      </c>
      <c r="L68" s="54" t="s">
        <v>513</v>
      </c>
      <c r="M68" t="s">
        <v>43</v>
      </c>
      <c r="N68" s="15" t="s">
        <v>44</v>
      </c>
      <c r="O68" s="5" t="s">
        <v>134</v>
      </c>
      <c r="P68" s="17" t="s">
        <v>46</v>
      </c>
      <c r="Q68" s="10" t="s">
        <v>168</v>
      </c>
      <c r="R68" s="11">
        <v>45056</v>
      </c>
      <c r="S68" s="10" t="s">
        <v>80</v>
      </c>
      <c r="T68" s="3" t="str">
        <f>IF(AND(ProtocolosKL[[#This Row],[STATUS]]="APROVADO",ProtocolosKL[[#This Row],[WAIVER]]=""),"Y","")</f>
        <v/>
      </c>
      <c r="U68" t="s">
        <v>2314</v>
      </c>
      <c r="V68" s="16" t="str">
        <f t="shared" si="1"/>
        <v>VYVSDICORDEIRO KOPKE/LORENA</v>
      </c>
      <c r="W68">
        <v>68</v>
      </c>
    </row>
    <row r="69" spans="1:23" hidden="1">
      <c r="A69" s="1">
        <v>45054</v>
      </c>
      <c r="B69" t="s">
        <v>13</v>
      </c>
      <c r="C69" t="s">
        <v>2310</v>
      </c>
      <c r="D69" s="23" t="s">
        <v>2311</v>
      </c>
      <c r="E69" t="s">
        <v>207</v>
      </c>
      <c r="F69" s="19">
        <v>57490484</v>
      </c>
      <c r="G69" s="53">
        <v>741519110909</v>
      </c>
      <c r="H69" s="52">
        <v>170</v>
      </c>
      <c r="I69" s="5" t="s">
        <v>74</v>
      </c>
      <c r="J69" s="52" cm="1">
        <f t="array" ref="J6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170</v>
      </c>
      <c r="K69" s="15" t="s">
        <v>151</v>
      </c>
      <c r="L69" s="54" t="s">
        <v>513</v>
      </c>
      <c r="M69" t="s">
        <v>43</v>
      </c>
      <c r="N69" s="15" t="s">
        <v>44</v>
      </c>
      <c r="O69" s="5" t="s">
        <v>134</v>
      </c>
      <c r="P69" s="17" t="s">
        <v>46</v>
      </c>
      <c r="Q69" s="10" t="s">
        <v>168</v>
      </c>
      <c r="R69" s="11">
        <v>45056</v>
      </c>
      <c r="S69" s="10" t="s">
        <v>80</v>
      </c>
      <c r="T69" s="3" t="str">
        <f>IF(AND(ProtocolosKL[[#This Row],[STATUS]]="APROVADO",ProtocolosKL[[#This Row],[WAIVER]]=""),"Y","")</f>
        <v/>
      </c>
      <c r="U69" t="s">
        <v>2315</v>
      </c>
      <c r="V69" s="16" t="str">
        <f t="shared" si="1"/>
        <v>VYVSDICORDEIRO KOBAYASHI/ISADORA</v>
      </c>
      <c r="W69">
        <v>68</v>
      </c>
    </row>
    <row r="70" spans="1:23" hidden="1">
      <c r="A70" s="1">
        <v>45063</v>
      </c>
      <c r="B70" t="s">
        <v>10</v>
      </c>
      <c r="C70" t="s">
        <v>2316</v>
      </c>
      <c r="D70" t="s">
        <v>2316</v>
      </c>
      <c r="E70" t="s">
        <v>73</v>
      </c>
      <c r="F70" s="19">
        <v>57564931</v>
      </c>
      <c r="G70" s="53">
        <v>741519111027</v>
      </c>
      <c r="H70" s="52">
        <v>85</v>
      </c>
      <c r="I70" s="5" t="s">
        <v>74</v>
      </c>
      <c r="J70" s="52" cm="1">
        <f t="array" ref="J7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85</v>
      </c>
      <c r="K70" s="56" t="s">
        <v>65</v>
      </c>
      <c r="L70" s="54" t="s">
        <v>172</v>
      </c>
      <c r="M70" t="s">
        <v>43</v>
      </c>
      <c r="N70" s="15" t="s">
        <v>67</v>
      </c>
      <c r="O70" s="5" t="s">
        <v>101</v>
      </c>
      <c r="P70" s="17" t="s">
        <v>46</v>
      </c>
      <c r="Q70" s="10" t="s">
        <v>239</v>
      </c>
      <c r="R70" s="11">
        <v>45063</v>
      </c>
      <c r="S70" s="10" t="s">
        <v>173</v>
      </c>
      <c r="T70" s="3" t="str">
        <f>IF(AND(ProtocolosKL[[#This Row],[STATUS]]="APROVADO",ProtocolosKL[[#This Row],[WAIVER]]=""),"Y","")</f>
        <v/>
      </c>
      <c r="U70" t="s">
        <v>277</v>
      </c>
      <c r="V70" s="16" t="str">
        <f t="shared" si="1"/>
        <v>34DAZQ DEL GIGLIO/AURO</v>
      </c>
    </row>
    <row r="71" spans="1:23" hidden="1">
      <c r="A71" s="1">
        <v>45063</v>
      </c>
      <c r="B71" t="s">
        <v>10</v>
      </c>
      <c r="C71" t="s">
        <v>2316</v>
      </c>
      <c r="D71" t="s">
        <v>2316</v>
      </c>
      <c r="E71" t="s">
        <v>73</v>
      </c>
      <c r="F71" s="19">
        <v>57564931</v>
      </c>
      <c r="G71" s="53">
        <v>741519111028</v>
      </c>
      <c r="H71" s="52">
        <v>85</v>
      </c>
      <c r="I71" s="5" t="s">
        <v>74</v>
      </c>
      <c r="J71" s="52" cm="1">
        <f t="array" ref="J7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85</v>
      </c>
      <c r="K71" s="56" t="s">
        <v>65</v>
      </c>
      <c r="L71" s="54" t="s">
        <v>172</v>
      </c>
      <c r="M71" t="s">
        <v>43</v>
      </c>
      <c r="N71" s="15" t="s">
        <v>67</v>
      </c>
      <c r="O71" s="5" t="s">
        <v>101</v>
      </c>
      <c r="P71" s="17" t="s">
        <v>46</v>
      </c>
      <c r="Q71" s="10" t="s">
        <v>239</v>
      </c>
      <c r="R71" s="11">
        <v>45063</v>
      </c>
      <c r="S71" s="10" t="s">
        <v>173</v>
      </c>
      <c r="T71" s="3" t="str">
        <f>IF(AND(ProtocolosKL[[#This Row],[STATUS]]="APROVADO",ProtocolosKL[[#This Row],[WAIVER]]=""),"Y","")</f>
        <v/>
      </c>
      <c r="U71" t="s">
        <v>277</v>
      </c>
      <c r="V71" s="16" t="str">
        <f t="shared" si="1"/>
        <v>34DAZQ DEL GIGLIO/AURO</v>
      </c>
    </row>
    <row r="72" spans="1:23" hidden="1">
      <c r="A72" s="1">
        <v>45063</v>
      </c>
      <c r="B72" t="s">
        <v>10</v>
      </c>
      <c r="C72" t="s">
        <v>2316</v>
      </c>
      <c r="D72" t="s">
        <v>2316</v>
      </c>
      <c r="E72" t="s">
        <v>73</v>
      </c>
      <c r="F72" s="19">
        <v>57564931</v>
      </c>
      <c r="G72" s="53">
        <v>741519111029</v>
      </c>
      <c r="H72" s="52">
        <v>85</v>
      </c>
      <c r="I72" s="5" t="s">
        <v>74</v>
      </c>
      <c r="J72" s="52" cm="1">
        <f t="array" ref="J7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85</v>
      </c>
      <c r="K72" s="56" t="s">
        <v>65</v>
      </c>
      <c r="L72" s="54" t="s">
        <v>172</v>
      </c>
      <c r="M72" t="s">
        <v>43</v>
      </c>
      <c r="N72" s="15" t="s">
        <v>67</v>
      </c>
      <c r="O72" s="5" t="s">
        <v>101</v>
      </c>
      <c r="P72" s="17" t="s">
        <v>46</v>
      </c>
      <c r="Q72" s="10" t="s">
        <v>239</v>
      </c>
      <c r="R72" s="11">
        <v>45063</v>
      </c>
      <c r="S72" s="10" t="s">
        <v>173</v>
      </c>
      <c r="T72" s="3" t="str">
        <f>IF(AND(ProtocolosKL[[#This Row],[STATUS]]="APROVADO",ProtocolosKL[[#This Row],[WAIVER]]=""),"Y","")</f>
        <v/>
      </c>
      <c r="U72" t="s">
        <v>278</v>
      </c>
      <c r="V72" s="16" t="str">
        <f t="shared" si="1"/>
        <v>34DAZQ YOLES DEL GIGLIO/ANETE</v>
      </c>
    </row>
    <row r="73" spans="1:23" hidden="1">
      <c r="A73" s="1">
        <v>45063</v>
      </c>
      <c r="B73" t="s">
        <v>10</v>
      </c>
      <c r="C73" t="s">
        <v>2316</v>
      </c>
      <c r="D73" t="s">
        <v>2316</v>
      </c>
      <c r="E73" t="s">
        <v>73</v>
      </c>
      <c r="F73" s="19">
        <v>57564931</v>
      </c>
      <c r="G73" s="53">
        <v>741519111030</v>
      </c>
      <c r="H73" s="52">
        <v>85</v>
      </c>
      <c r="I73" s="5" t="s">
        <v>74</v>
      </c>
      <c r="J73" s="52" cm="1">
        <f t="array" ref="J7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85</v>
      </c>
      <c r="K73" s="56" t="s">
        <v>65</v>
      </c>
      <c r="L73" s="54" t="s">
        <v>172</v>
      </c>
      <c r="M73" t="s">
        <v>43</v>
      </c>
      <c r="N73" s="15" t="s">
        <v>67</v>
      </c>
      <c r="O73" s="5" t="s">
        <v>101</v>
      </c>
      <c r="P73" s="17" t="s">
        <v>46</v>
      </c>
      <c r="Q73" s="10" t="s">
        <v>239</v>
      </c>
      <c r="R73" s="11">
        <v>45063</v>
      </c>
      <c r="S73" s="10" t="s">
        <v>173</v>
      </c>
      <c r="T73" s="3" t="str">
        <f>IF(AND(ProtocolosKL[[#This Row],[STATUS]]="APROVADO",ProtocolosKL[[#This Row],[WAIVER]]=""),"Y","")</f>
        <v/>
      </c>
      <c r="U73" t="s">
        <v>278</v>
      </c>
      <c r="V73" s="16" t="str">
        <f t="shared" si="1"/>
        <v>34DAZQ YOLES DEL GIGLIO/ANETE</v>
      </c>
    </row>
    <row r="74" spans="1:23" hidden="1">
      <c r="A74" s="1">
        <v>45064</v>
      </c>
      <c r="B74" t="s">
        <v>11</v>
      </c>
      <c r="C74" t="s">
        <v>2317</v>
      </c>
      <c r="D74" s="23" t="s">
        <v>2317</v>
      </c>
      <c r="E74" t="s">
        <v>41</v>
      </c>
      <c r="F74" s="19"/>
      <c r="G74" s="53"/>
      <c r="H74" s="52">
        <v>193</v>
      </c>
      <c r="I74" s="5">
        <v>0.12</v>
      </c>
      <c r="J74" s="52" t="str" cm="1">
        <f t="array" ref="J7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74" s="15" t="s">
        <v>99</v>
      </c>
      <c r="L74" s="54" t="s">
        <v>76</v>
      </c>
      <c r="M74" t="s">
        <v>217</v>
      </c>
      <c r="N74" s="15" t="s">
        <v>85</v>
      </c>
      <c r="O74" s="5" t="s">
        <v>221</v>
      </c>
      <c r="P74" s="17" t="s">
        <v>146</v>
      </c>
      <c r="Q74" s="10"/>
      <c r="R74" s="11"/>
      <c r="S74" s="10"/>
      <c r="T74" s="3" t="str">
        <f>IF(AND(ProtocolosKL[[#This Row],[STATUS]]="APROVADO",ProtocolosKL[[#This Row],[WAIVER]]=""),"Y","")</f>
        <v/>
      </c>
      <c r="U74" t="s">
        <v>2318</v>
      </c>
      <c r="V74" s="16" t="str">
        <f t="shared" si="1"/>
        <v>45CQ77KHALIL/JAMILE MRS</v>
      </c>
      <c r="W74">
        <v>79</v>
      </c>
    </row>
    <row r="75" spans="1:23" hidden="1">
      <c r="A75" s="1">
        <v>45064</v>
      </c>
      <c r="B75" t="s">
        <v>11</v>
      </c>
      <c r="C75" t="s">
        <v>2317</v>
      </c>
      <c r="D75" s="23" t="s">
        <v>2317</v>
      </c>
      <c r="E75" t="s">
        <v>41</v>
      </c>
      <c r="F75" s="19"/>
      <c r="G75" s="53"/>
      <c r="H75" s="52">
        <v>193</v>
      </c>
      <c r="I75" s="5">
        <v>0.12</v>
      </c>
      <c r="J75" s="52" t="str" cm="1">
        <f t="array" ref="J7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75" s="15" t="s">
        <v>99</v>
      </c>
      <c r="L75" s="54" t="s">
        <v>76</v>
      </c>
      <c r="M75" t="s">
        <v>217</v>
      </c>
      <c r="N75" s="15" t="s">
        <v>85</v>
      </c>
      <c r="O75" s="5" t="s">
        <v>221</v>
      </c>
      <c r="P75" s="17" t="s">
        <v>146</v>
      </c>
      <c r="Q75" s="10"/>
      <c r="R75" s="11"/>
      <c r="S75" s="10"/>
      <c r="T75" s="3" t="str">
        <f>IF(AND(ProtocolosKL[[#This Row],[STATUS]]="APROVADO",ProtocolosKL[[#This Row],[WAIVER]]=""),"Y","")</f>
        <v/>
      </c>
      <c r="U75" t="s">
        <v>2319</v>
      </c>
      <c r="V75" s="16" t="str">
        <f t="shared" si="1"/>
        <v>45CQ77KHALIL/JORGE MR</v>
      </c>
      <c r="W75">
        <v>79</v>
      </c>
    </row>
    <row r="76" spans="1:23" hidden="1">
      <c r="A76" s="1">
        <v>45064</v>
      </c>
      <c r="B76" t="s">
        <v>11</v>
      </c>
      <c r="C76" t="s">
        <v>2317</v>
      </c>
      <c r="D76" s="23" t="s">
        <v>2317</v>
      </c>
      <c r="E76" t="s">
        <v>41</v>
      </c>
      <c r="F76" s="19"/>
      <c r="G76" s="53"/>
      <c r="H76" s="52">
        <v>193</v>
      </c>
      <c r="I76" s="5">
        <v>0.12</v>
      </c>
      <c r="J76" s="52" t="str" cm="1">
        <f t="array" ref="J7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76" s="15" t="s">
        <v>99</v>
      </c>
      <c r="L76" s="54" t="s">
        <v>76</v>
      </c>
      <c r="M76" t="s">
        <v>217</v>
      </c>
      <c r="N76" s="15" t="s">
        <v>85</v>
      </c>
      <c r="O76" s="5" t="s">
        <v>221</v>
      </c>
      <c r="P76" s="17" t="s">
        <v>146</v>
      </c>
      <c r="Q76" s="10"/>
      <c r="R76" s="11"/>
      <c r="S76" s="10"/>
      <c r="T76" s="3" t="str">
        <f>IF(AND(ProtocolosKL[[#This Row],[STATUS]]="APROVADO",ProtocolosKL[[#This Row],[WAIVER]]=""),"Y","")</f>
        <v/>
      </c>
      <c r="U76" t="s">
        <v>2320</v>
      </c>
      <c r="V76" s="16" t="str">
        <f t="shared" si="1"/>
        <v>45CQ77KHALIL/SELMA MRS</v>
      </c>
      <c r="W76">
        <v>79</v>
      </c>
    </row>
    <row r="77" spans="1:23" hidden="1">
      <c r="A77" s="1">
        <v>45064</v>
      </c>
      <c r="B77" t="s">
        <v>11</v>
      </c>
      <c r="C77" t="s">
        <v>2321</v>
      </c>
      <c r="D77" s="23" t="s">
        <v>2321</v>
      </c>
      <c r="E77" t="s">
        <v>41</v>
      </c>
      <c r="F77" s="19">
        <v>57564931</v>
      </c>
      <c r="G77" s="53">
        <v>749285668278</v>
      </c>
      <c r="H77" s="52">
        <v>1822</v>
      </c>
      <c r="I77" s="5">
        <v>0.12</v>
      </c>
      <c r="J77" s="52" cm="1">
        <f t="array" ref="J7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219</v>
      </c>
      <c r="K77" s="15" t="s">
        <v>99</v>
      </c>
      <c r="L77" s="54" t="s">
        <v>76</v>
      </c>
      <c r="M77" t="s">
        <v>43</v>
      </c>
      <c r="N77" s="15" t="s">
        <v>77</v>
      </c>
      <c r="O77" s="5" t="s">
        <v>221</v>
      </c>
      <c r="P77" s="17" t="s">
        <v>146</v>
      </c>
      <c r="Q77" s="10" t="s">
        <v>250</v>
      </c>
      <c r="R77" s="11">
        <v>45065</v>
      </c>
      <c r="S77" s="10" t="s">
        <v>48</v>
      </c>
      <c r="T77" s="3" t="str">
        <f>IF(AND(ProtocolosKL[[#This Row],[STATUS]]="APROVADO",ProtocolosKL[[#This Row],[WAIVER]]=""),"Y","")</f>
        <v/>
      </c>
      <c r="U77" t="s">
        <v>2322</v>
      </c>
      <c r="V77" s="16" t="str">
        <f t="shared" si="1"/>
        <v xml:space="preserve">4BQUEBKHALIL/JAMILLY MRS </v>
      </c>
      <c r="W77">
        <v>81</v>
      </c>
    </row>
    <row r="78" spans="1:23" hidden="1">
      <c r="A78" s="1">
        <v>45064</v>
      </c>
      <c r="B78" t="s">
        <v>11</v>
      </c>
      <c r="C78" t="s">
        <v>2321</v>
      </c>
      <c r="D78" s="23" t="s">
        <v>2321</v>
      </c>
      <c r="E78" t="s">
        <v>41</v>
      </c>
      <c r="F78" s="19">
        <v>57564931</v>
      </c>
      <c r="G78" s="53">
        <v>749285668280</v>
      </c>
      <c r="H78" s="52">
        <v>1822</v>
      </c>
      <c r="I78" s="5">
        <v>0.12</v>
      </c>
      <c r="J78" s="52" cm="1">
        <f t="array" ref="J7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219</v>
      </c>
      <c r="K78" s="15" t="s">
        <v>99</v>
      </c>
      <c r="L78" s="54" t="s">
        <v>76</v>
      </c>
      <c r="M78" t="s">
        <v>43</v>
      </c>
      <c r="N78" s="15" t="s">
        <v>77</v>
      </c>
      <c r="O78" s="5" t="s">
        <v>221</v>
      </c>
      <c r="P78" s="17" t="s">
        <v>146</v>
      </c>
      <c r="Q78" s="10" t="s">
        <v>250</v>
      </c>
      <c r="R78" s="11">
        <v>45065</v>
      </c>
      <c r="S78" s="10" t="s">
        <v>48</v>
      </c>
      <c r="T78" s="3" t="str">
        <f>IF(AND(ProtocolosKL[[#This Row],[STATUS]]="APROVADO",ProtocolosKL[[#This Row],[WAIVER]]=""),"Y","")</f>
        <v/>
      </c>
      <c r="U78" t="s">
        <v>2320</v>
      </c>
      <c r="V78" s="16" t="str">
        <f t="shared" si="1"/>
        <v>4BQUEBKHALIL/SELMA MRS</v>
      </c>
      <c r="W78">
        <v>81</v>
      </c>
    </row>
    <row r="79" spans="1:23" hidden="1">
      <c r="A79" s="1">
        <v>45064</v>
      </c>
      <c r="B79" t="s">
        <v>11</v>
      </c>
      <c r="C79" t="s">
        <v>2323</v>
      </c>
      <c r="D79" s="23" t="s">
        <v>2323</v>
      </c>
      <c r="E79" t="s">
        <v>41</v>
      </c>
      <c r="F79" s="19">
        <v>57564931</v>
      </c>
      <c r="G79" s="53">
        <v>749285668287</v>
      </c>
      <c r="H79" s="52">
        <v>1621</v>
      </c>
      <c r="I79" s="5">
        <v>0.12</v>
      </c>
      <c r="J79" s="52" cm="1">
        <f t="array" ref="J7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195</v>
      </c>
      <c r="K79" s="15" t="s">
        <v>99</v>
      </c>
      <c r="L79" s="54" t="s">
        <v>76</v>
      </c>
      <c r="M79" t="s">
        <v>43</v>
      </c>
      <c r="N79" s="15" t="s">
        <v>77</v>
      </c>
      <c r="O79" s="5" t="s">
        <v>221</v>
      </c>
      <c r="P79" s="17" t="s">
        <v>146</v>
      </c>
      <c r="Q79" s="10" t="s">
        <v>250</v>
      </c>
      <c r="R79" s="11">
        <v>45065</v>
      </c>
      <c r="S79" s="10" t="s">
        <v>48</v>
      </c>
      <c r="T79" s="3" t="str">
        <f>IF(AND(ProtocolosKL[[#This Row],[STATUS]]="APROVADO",ProtocolosKL[[#This Row],[WAIVER]]=""),"Y","")</f>
        <v/>
      </c>
      <c r="U79" t="s">
        <v>2319</v>
      </c>
      <c r="V79" s="16" t="str">
        <f t="shared" si="1"/>
        <v>4BOU8CKHALIL/JORGE MR</v>
      </c>
      <c r="W79">
        <v>80</v>
      </c>
    </row>
    <row r="80" spans="1:23" hidden="1">
      <c r="A80" s="1">
        <v>45070</v>
      </c>
      <c r="B80" t="s">
        <v>11</v>
      </c>
      <c r="C80" t="s">
        <v>2324</v>
      </c>
      <c r="D80" s="23" t="s">
        <v>2324</v>
      </c>
      <c r="E80" t="s">
        <v>41</v>
      </c>
      <c r="F80" s="19">
        <v>57564931</v>
      </c>
      <c r="G80" s="53">
        <v>579285704527</v>
      </c>
      <c r="H80" s="52">
        <v>3000</v>
      </c>
      <c r="I80" s="5">
        <v>0.12</v>
      </c>
      <c r="J80" s="52" cm="1">
        <f t="array" ref="J8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360</v>
      </c>
      <c r="K80" s="15" t="s">
        <v>99</v>
      </c>
      <c r="L80" s="54" t="s">
        <v>76</v>
      </c>
      <c r="M80" t="s">
        <v>43</v>
      </c>
      <c r="N80" s="15" t="s">
        <v>85</v>
      </c>
      <c r="O80" s="5" t="s">
        <v>164</v>
      </c>
      <c r="P80" s="17" t="s">
        <v>46</v>
      </c>
      <c r="Q80" s="10" t="s">
        <v>250</v>
      </c>
      <c r="R80" s="11">
        <v>45086</v>
      </c>
      <c r="S80" s="10" t="s">
        <v>48</v>
      </c>
      <c r="T80" s="3" t="str">
        <f>IF(AND(ProtocolosKL[[#This Row],[STATUS]]="APROVADO",ProtocolosKL[[#This Row],[WAIVER]]=""),"Y","")</f>
        <v/>
      </c>
      <c r="U80" t="s">
        <v>2325</v>
      </c>
      <c r="V80" s="16" t="str">
        <f t="shared" ref="V80:V143" si="2">_xlfn.CONCAT(C80,U80)</f>
        <v xml:space="preserve">2A3VV8GOMES/FELIPPE </v>
      </c>
      <c r="W80">
        <v>87</v>
      </c>
    </row>
    <row r="81" spans="1:23" ht="15.6" hidden="1">
      <c r="A81" s="1">
        <v>45071</v>
      </c>
      <c r="B81" t="s">
        <v>11</v>
      </c>
      <c r="C81" s="59" t="s">
        <v>2326</v>
      </c>
      <c r="D81" s="23" t="s">
        <v>2327</v>
      </c>
      <c r="E81" t="s">
        <v>41</v>
      </c>
      <c r="F81" s="19">
        <v>57564931</v>
      </c>
      <c r="G81" s="53">
        <v>749374931576</v>
      </c>
      <c r="H81" s="52">
        <v>1964</v>
      </c>
      <c r="I81" s="5">
        <v>0.1</v>
      </c>
      <c r="J81" s="52" cm="1">
        <f t="array" ref="J8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197</v>
      </c>
      <c r="K81" s="15" t="s">
        <v>99</v>
      </c>
      <c r="L81" s="54" t="s">
        <v>76</v>
      </c>
      <c r="M81" t="s">
        <v>43</v>
      </c>
      <c r="N81" s="15" t="s">
        <v>85</v>
      </c>
      <c r="O81" s="5" t="s">
        <v>391</v>
      </c>
      <c r="P81" s="17" t="s">
        <v>69</v>
      </c>
      <c r="Q81" s="10" t="s">
        <v>250</v>
      </c>
      <c r="R81" s="11">
        <v>45076</v>
      </c>
      <c r="S81" s="10" t="s">
        <v>48</v>
      </c>
      <c r="T81" s="3" t="str">
        <f>IF(AND(ProtocolosKL[[#This Row],[STATUS]]="APROVADO",ProtocolosKL[[#This Row],[WAIVER]]=""),"Y","")</f>
        <v/>
      </c>
      <c r="U81" t="s">
        <v>2328</v>
      </c>
      <c r="V81" s="16" t="str">
        <f t="shared" si="2"/>
        <v>BOVJLKTEIXEIRA DE CARVALHO FILHO/JOSE EDUARDO MR</v>
      </c>
      <c r="W81">
        <v>88</v>
      </c>
    </row>
    <row r="82" spans="1:23" ht="15.6" hidden="1">
      <c r="A82" s="1">
        <v>45071</v>
      </c>
      <c r="B82" t="s">
        <v>11</v>
      </c>
      <c r="C82" s="59" t="s">
        <v>2326</v>
      </c>
      <c r="D82" s="23" t="s">
        <v>2327</v>
      </c>
      <c r="E82" t="s">
        <v>41</v>
      </c>
      <c r="F82" s="19">
        <v>57564931</v>
      </c>
      <c r="G82" s="53">
        <v>749374931577</v>
      </c>
      <c r="H82" s="52">
        <v>1964</v>
      </c>
      <c r="I82" s="5">
        <v>0.1</v>
      </c>
      <c r="J82" s="52" cm="1">
        <f t="array" ref="J8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197</v>
      </c>
      <c r="K82" s="15" t="s">
        <v>99</v>
      </c>
      <c r="L82" s="54" t="s">
        <v>76</v>
      </c>
      <c r="M82" t="s">
        <v>43</v>
      </c>
      <c r="N82" s="15" t="s">
        <v>85</v>
      </c>
      <c r="O82" s="5" t="s">
        <v>391</v>
      </c>
      <c r="P82" s="17" t="s">
        <v>69</v>
      </c>
      <c r="Q82" s="10" t="s">
        <v>250</v>
      </c>
      <c r="R82" s="11">
        <v>45076</v>
      </c>
      <c r="S82" s="10" t="s">
        <v>48</v>
      </c>
      <c r="T82" s="3" t="str">
        <f>IF(AND(ProtocolosKL[[#This Row],[STATUS]]="APROVADO",ProtocolosKL[[#This Row],[WAIVER]]=""),"Y","")</f>
        <v/>
      </c>
      <c r="U82" t="s">
        <v>2329</v>
      </c>
      <c r="V82" s="16" t="str">
        <f t="shared" si="2"/>
        <v>BOVJLKSOUSA ALBUQUERQUE/EMMANUEL DARTANHAN MR</v>
      </c>
      <c r="W82">
        <v>88</v>
      </c>
    </row>
    <row r="83" spans="1:23" hidden="1">
      <c r="A83" s="1">
        <v>45072</v>
      </c>
      <c r="B83" t="s">
        <v>11</v>
      </c>
      <c r="C83" t="s">
        <v>2330</v>
      </c>
      <c r="D83" s="23" t="s">
        <v>2330</v>
      </c>
      <c r="E83" t="s">
        <v>41</v>
      </c>
      <c r="F83" s="19"/>
      <c r="G83" s="53"/>
      <c r="H83" s="52">
        <v>2348</v>
      </c>
      <c r="I83" s="5">
        <v>0.1</v>
      </c>
      <c r="J83" s="52" t="str" cm="1">
        <f t="array" ref="J8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83" s="15" t="s">
        <v>99</v>
      </c>
      <c r="L83" s="54" t="s">
        <v>76</v>
      </c>
      <c r="M83" t="s">
        <v>217</v>
      </c>
      <c r="N83" s="15" t="s">
        <v>85</v>
      </c>
      <c r="O83" s="5" t="s">
        <v>391</v>
      </c>
      <c r="P83" s="17" t="s">
        <v>146</v>
      </c>
      <c r="Q83" s="10"/>
      <c r="R83" s="11"/>
      <c r="S83" s="10"/>
      <c r="T83" s="3" t="str">
        <f>IF(AND(ProtocolosKL[[#This Row],[STATUS]]="APROVADO",ProtocolosKL[[#This Row],[WAIVER]]=""),"Y","")</f>
        <v/>
      </c>
      <c r="U83" t="s">
        <v>2331</v>
      </c>
      <c r="V83" s="16" t="str">
        <f t="shared" si="2"/>
        <v xml:space="preserve"> 3JY9MWDALMOLIM DE SOUZA/ALEXANDRE WASHINGTON MR</v>
      </c>
      <c r="W83">
        <v>90</v>
      </c>
    </row>
    <row r="84" spans="1:23" hidden="1">
      <c r="A84" s="1">
        <v>45072</v>
      </c>
      <c r="B84" t="s">
        <v>11</v>
      </c>
      <c r="C84" t="s">
        <v>2332</v>
      </c>
      <c r="D84" s="23" t="s">
        <v>2332</v>
      </c>
      <c r="E84" t="s">
        <v>41</v>
      </c>
      <c r="F84" s="19">
        <v>57564931</v>
      </c>
      <c r="G84" s="53">
        <v>749285714300</v>
      </c>
      <c r="H84" s="52">
        <v>2246</v>
      </c>
      <c r="I84" s="5">
        <v>0.1</v>
      </c>
      <c r="J84" s="52" cm="1">
        <f t="array" ref="J8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225</v>
      </c>
      <c r="K84" s="15" t="s">
        <v>99</v>
      </c>
      <c r="L84" s="54" t="s">
        <v>76</v>
      </c>
      <c r="M84" t="s">
        <v>43</v>
      </c>
      <c r="N84" s="15" t="s">
        <v>85</v>
      </c>
      <c r="O84" s="5" t="s">
        <v>391</v>
      </c>
      <c r="P84" s="17" t="s">
        <v>146</v>
      </c>
      <c r="Q84" s="10" t="s">
        <v>250</v>
      </c>
      <c r="R84" s="11">
        <v>45072</v>
      </c>
      <c r="S84" s="10" t="s">
        <v>48</v>
      </c>
      <c r="T84" s="3" t="str">
        <f>IF(AND(ProtocolosKL[[#This Row],[STATUS]]="APROVADO",ProtocolosKL[[#This Row],[WAIVER]]=""),"Y","")</f>
        <v/>
      </c>
      <c r="U84" t="s">
        <v>2331</v>
      </c>
      <c r="V84" s="16" t="str">
        <f t="shared" si="2"/>
        <v>3JY9MWDALMOLIM DE SOUZA/ALEXANDRE WASHINGTON MR</v>
      </c>
      <c r="W84">
        <v>91</v>
      </c>
    </row>
    <row r="85" spans="1:23" hidden="1">
      <c r="A85" s="1">
        <v>45072</v>
      </c>
      <c r="B85" t="s">
        <v>11</v>
      </c>
      <c r="C85" t="s">
        <v>2332</v>
      </c>
      <c r="D85" s="23" t="s">
        <v>2332</v>
      </c>
      <c r="E85" t="s">
        <v>41</v>
      </c>
      <c r="F85" s="19">
        <v>57564931</v>
      </c>
      <c r="G85" s="53">
        <v>749285714301</v>
      </c>
      <c r="H85" s="52">
        <v>2246</v>
      </c>
      <c r="I85" s="5">
        <v>0.1</v>
      </c>
      <c r="J85" s="52" cm="1">
        <f t="array" ref="J8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225</v>
      </c>
      <c r="K85" s="15" t="s">
        <v>99</v>
      </c>
      <c r="L85" s="54" t="s">
        <v>76</v>
      </c>
      <c r="M85" t="s">
        <v>43</v>
      </c>
      <c r="N85" s="15" t="s">
        <v>85</v>
      </c>
      <c r="O85" s="5" t="s">
        <v>391</v>
      </c>
      <c r="P85" s="17" t="s">
        <v>146</v>
      </c>
      <c r="Q85" s="10" t="s">
        <v>250</v>
      </c>
      <c r="R85" s="11">
        <v>45072</v>
      </c>
      <c r="S85" s="10" t="s">
        <v>48</v>
      </c>
      <c r="T85" s="3" t="str">
        <f>IF(AND(ProtocolosKL[[#This Row],[STATUS]]="APROVADO",ProtocolosKL[[#This Row],[WAIVER]]=""),"Y","")</f>
        <v/>
      </c>
      <c r="U85" t="s">
        <v>2333</v>
      </c>
      <c r="V85" s="16" t="str">
        <f t="shared" si="2"/>
        <v>3JY9MWDE ALMEIDA ROSA/FILIPE MR</v>
      </c>
      <c r="W85">
        <v>91</v>
      </c>
    </row>
    <row r="86" spans="1:23" hidden="1">
      <c r="A86" s="1">
        <v>45078</v>
      </c>
      <c r="B86" t="s">
        <v>13</v>
      </c>
      <c r="C86" t="s">
        <v>2334</v>
      </c>
      <c r="D86" s="23" t="s">
        <v>2335</v>
      </c>
      <c r="E86" t="s">
        <v>512</v>
      </c>
      <c r="F86" s="19">
        <v>57564931</v>
      </c>
      <c r="G86" s="53">
        <v>749374948134</v>
      </c>
      <c r="H86" s="52">
        <v>187</v>
      </c>
      <c r="I86" s="5" t="s">
        <v>74</v>
      </c>
      <c r="J86" s="52" cm="1">
        <f t="array" ref="J8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187</v>
      </c>
      <c r="K86" s="15" t="s">
        <v>151</v>
      </c>
      <c r="L86" s="54" t="s">
        <v>488</v>
      </c>
      <c r="M86" t="s">
        <v>43</v>
      </c>
      <c r="N86" s="15" t="s">
        <v>44</v>
      </c>
      <c r="O86" s="5" t="s">
        <v>724</v>
      </c>
      <c r="P86" s="17" t="s">
        <v>146</v>
      </c>
      <c r="Q86" s="10" t="s">
        <v>2220</v>
      </c>
      <c r="R86" s="11">
        <v>45078</v>
      </c>
      <c r="S86" s="10" t="s">
        <v>2336</v>
      </c>
      <c r="T86" s="3" t="str">
        <f>IF(AND(ProtocolosKL[[#This Row],[STATUS]]="APROVADO",ProtocolosKL[[#This Row],[WAIVER]]=""),"Y","")</f>
        <v/>
      </c>
      <c r="U86" t="s">
        <v>2337</v>
      </c>
      <c r="V86" s="16" t="str">
        <f t="shared" si="2"/>
        <v>UOSJQUMOREIRA DOS SANTOS SEVERINE/MARCOS</v>
      </c>
      <c r="W86">
        <v>93</v>
      </c>
    </row>
    <row r="87" spans="1:23" hidden="1">
      <c r="A87" s="1">
        <v>45079</v>
      </c>
      <c r="B87" t="s">
        <v>11</v>
      </c>
      <c r="C87" t="s">
        <v>2338</v>
      </c>
      <c r="D87" s="23" t="s">
        <v>2339</v>
      </c>
      <c r="E87" t="s">
        <v>41</v>
      </c>
      <c r="F87" s="19">
        <v>57564931</v>
      </c>
      <c r="G87" s="53">
        <v>749374954598</v>
      </c>
      <c r="H87" s="52">
        <v>1624</v>
      </c>
      <c r="I87" s="5">
        <v>0.1</v>
      </c>
      <c r="J87" s="52" cm="1">
        <f t="array" ref="J8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163</v>
      </c>
      <c r="K87" s="15" t="s">
        <v>99</v>
      </c>
      <c r="L87" s="54" t="s">
        <v>76</v>
      </c>
      <c r="M87" t="s">
        <v>43</v>
      </c>
      <c r="N87" s="15" t="s">
        <v>67</v>
      </c>
      <c r="O87" s="5" t="s">
        <v>417</v>
      </c>
      <c r="P87" s="17" t="s">
        <v>46</v>
      </c>
      <c r="Q87" s="10" t="s">
        <v>250</v>
      </c>
      <c r="R87" s="11">
        <v>45079</v>
      </c>
      <c r="S87" s="10" t="s">
        <v>48</v>
      </c>
      <c r="T87" s="3" t="str">
        <f>IF(AND(ProtocolosKL[[#This Row],[STATUS]]="APROVADO",ProtocolosKL[[#This Row],[WAIVER]]=""),"Y","")</f>
        <v/>
      </c>
      <c r="U87" t="s">
        <v>2340</v>
      </c>
      <c r="V87" s="16" t="str">
        <f t="shared" si="2"/>
        <v>XYFNYJPAGANO STIPKOVIC/ANDREA MRS</v>
      </c>
      <c r="W87">
        <v>96</v>
      </c>
    </row>
    <row r="88" spans="1:23" hidden="1">
      <c r="A88" s="1">
        <v>45079</v>
      </c>
      <c r="B88" t="s">
        <v>11</v>
      </c>
      <c r="C88" t="s">
        <v>2341</v>
      </c>
      <c r="D88" s="23" t="s">
        <v>2342</v>
      </c>
      <c r="E88" t="s">
        <v>41</v>
      </c>
      <c r="F88" s="19">
        <v>57564931</v>
      </c>
      <c r="G88" s="53">
        <v>749374954596</v>
      </c>
      <c r="H88" s="52">
        <v>1382</v>
      </c>
      <c r="I88" s="5">
        <v>0.1</v>
      </c>
      <c r="J88" s="52" cm="1">
        <f t="array" ref="J8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139</v>
      </c>
      <c r="K88" s="15" t="s">
        <v>99</v>
      </c>
      <c r="L88" s="54" t="s">
        <v>76</v>
      </c>
      <c r="M88" t="s">
        <v>43</v>
      </c>
      <c r="N88" s="15" t="s">
        <v>67</v>
      </c>
      <c r="O88" s="5" t="s">
        <v>417</v>
      </c>
      <c r="P88" s="17" t="s">
        <v>46</v>
      </c>
      <c r="Q88" s="10" t="s">
        <v>250</v>
      </c>
      <c r="R88" s="11">
        <v>45079</v>
      </c>
      <c r="S88" s="10" t="s">
        <v>48</v>
      </c>
      <c r="T88" s="3" t="str">
        <f>IF(AND(ProtocolosKL[[#This Row],[STATUS]]="APROVADO",ProtocolosKL[[#This Row],[WAIVER]]=""),"Y","")</f>
        <v/>
      </c>
      <c r="U88" t="s">
        <v>2343</v>
      </c>
      <c r="V88" s="16" t="str">
        <f t="shared" si="2"/>
        <v>VVJSFKPAGANO STIPKOVIC/MIRELLA MRS</v>
      </c>
      <c r="W88">
        <v>97</v>
      </c>
    </row>
    <row r="89" spans="1:23" hidden="1">
      <c r="A89" s="1">
        <v>45079</v>
      </c>
      <c r="B89" t="s">
        <v>11</v>
      </c>
      <c r="C89" t="s">
        <v>2344</v>
      </c>
      <c r="D89" s="23" t="s">
        <v>2345</v>
      </c>
      <c r="E89" t="s">
        <v>41</v>
      </c>
      <c r="F89" s="19">
        <v>57564931</v>
      </c>
      <c r="G89" s="53">
        <v>749374954618</v>
      </c>
      <c r="H89" s="52">
        <v>1641</v>
      </c>
      <c r="I89" s="5">
        <v>0.1</v>
      </c>
      <c r="J89" s="52" cm="1">
        <f t="array" ref="J8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165</v>
      </c>
      <c r="K89" s="15" t="s">
        <v>99</v>
      </c>
      <c r="L89" s="54" t="s">
        <v>76</v>
      </c>
      <c r="M89" t="s">
        <v>43</v>
      </c>
      <c r="N89" s="15" t="s">
        <v>67</v>
      </c>
      <c r="O89" s="5" t="s">
        <v>417</v>
      </c>
      <c r="P89" s="17" t="s">
        <v>46</v>
      </c>
      <c r="Q89" s="10" t="s">
        <v>250</v>
      </c>
      <c r="R89" s="11">
        <v>45079</v>
      </c>
      <c r="S89" s="10" t="s">
        <v>48</v>
      </c>
      <c r="T89" s="3" t="str">
        <f>IF(AND(ProtocolosKL[[#This Row],[STATUS]]="APROVADO",ProtocolosKL[[#This Row],[WAIVER]]=""),"Y","")</f>
        <v/>
      </c>
      <c r="U89" t="s">
        <v>2346</v>
      </c>
      <c r="V89" s="16" t="str">
        <f t="shared" si="2"/>
        <v>VUHGKGPAGANO STIPKOVIC/LUCCA MR</v>
      </c>
      <c r="W89">
        <v>98</v>
      </c>
    </row>
    <row r="90" spans="1:23" hidden="1">
      <c r="A90" s="1">
        <v>45079</v>
      </c>
      <c r="B90" t="s">
        <v>13</v>
      </c>
      <c r="C90" t="s">
        <v>2347</v>
      </c>
      <c r="D90" s="23" t="s">
        <v>2347</v>
      </c>
      <c r="E90" t="s">
        <v>41</v>
      </c>
      <c r="F90" s="19"/>
      <c r="G90" s="53"/>
      <c r="H90" s="52">
        <v>1921</v>
      </c>
      <c r="I90" s="5">
        <v>0.1</v>
      </c>
      <c r="J90" s="52" t="str" cm="1">
        <f t="array" ref="J9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90" s="15" t="s">
        <v>151</v>
      </c>
      <c r="L90" s="54" t="s">
        <v>76</v>
      </c>
      <c r="M90" t="s">
        <v>100</v>
      </c>
      <c r="N90" s="15" t="s">
        <v>44</v>
      </c>
      <c r="O90" s="5" t="s">
        <v>395</v>
      </c>
      <c r="P90" s="17" t="s">
        <v>69</v>
      </c>
      <c r="Q90" s="10"/>
      <c r="R90" s="11"/>
      <c r="S90" s="10"/>
      <c r="T90" s="3" t="str">
        <f>IF(AND(ProtocolosKL[[#This Row],[STATUS]]="APROVADO",ProtocolosKL[[#This Row],[WAIVER]]=""),"Y","")</f>
        <v/>
      </c>
      <c r="U90" t="s">
        <v>2348</v>
      </c>
      <c r="V90" s="16" t="str">
        <f t="shared" si="2"/>
        <v>2EUY8IFOLLADOR/SEBASTIAO RENATO MR</v>
      </c>
      <c r="W90">
        <v>99</v>
      </c>
    </row>
    <row r="91" spans="1:23" hidden="1">
      <c r="A91" s="1">
        <v>45079</v>
      </c>
      <c r="B91" t="s">
        <v>10</v>
      </c>
      <c r="C91" t="s">
        <v>2349</v>
      </c>
      <c r="D91" s="23" t="s">
        <v>2350</v>
      </c>
      <c r="E91" t="s">
        <v>41</v>
      </c>
      <c r="F91" s="19">
        <v>57564931</v>
      </c>
      <c r="G91" s="53">
        <v>749374956397</v>
      </c>
      <c r="H91" s="52">
        <v>1772</v>
      </c>
      <c r="I91" s="5">
        <v>0.1</v>
      </c>
      <c r="J91" s="52" cm="1">
        <f t="array" ref="J9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178</v>
      </c>
      <c r="K91" s="15" t="s">
        <v>306</v>
      </c>
      <c r="L91" s="54" t="s">
        <v>76</v>
      </c>
      <c r="M91" t="s">
        <v>43</v>
      </c>
      <c r="N91" s="15" t="s">
        <v>67</v>
      </c>
      <c r="O91" s="5" t="s">
        <v>2351</v>
      </c>
      <c r="P91" s="17" t="s">
        <v>69</v>
      </c>
      <c r="Q91" s="10" t="s">
        <v>1402</v>
      </c>
      <c r="R91" s="11">
        <v>45079</v>
      </c>
      <c r="S91" s="10" t="s">
        <v>48</v>
      </c>
      <c r="T91" s="3" t="str">
        <f>IF(AND(ProtocolosKL[[#This Row],[STATUS]]="APROVADO",ProtocolosKL[[#This Row],[WAIVER]]=""),"Y","")</f>
        <v/>
      </c>
      <c r="U91" t="s">
        <v>2352</v>
      </c>
      <c r="V91" s="16" t="str">
        <f t="shared" si="2"/>
        <v>UZXONRFLECKNER EVANGELISTA/GUSTAVO</v>
      </c>
      <c r="W91">
        <v>101</v>
      </c>
    </row>
    <row r="92" spans="1:23" hidden="1">
      <c r="A92" s="1">
        <v>45079</v>
      </c>
      <c r="B92" t="s">
        <v>10</v>
      </c>
      <c r="C92" t="s">
        <v>2353</v>
      </c>
      <c r="D92" s="23" t="s">
        <v>2354</v>
      </c>
      <c r="E92" t="s">
        <v>41</v>
      </c>
      <c r="F92" s="19">
        <v>57564931</v>
      </c>
      <c r="G92" s="53">
        <v>749374956403</v>
      </c>
      <c r="H92" s="52">
        <v>1662</v>
      </c>
      <c r="I92" s="5">
        <v>0.1</v>
      </c>
      <c r="J92" s="52" cm="1">
        <f t="array" ref="J9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167</v>
      </c>
      <c r="K92" s="15" t="s">
        <v>306</v>
      </c>
      <c r="L92" s="54" t="s">
        <v>76</v>
      </c>
      <c r="M92" t="s">
        <v>43</v>
      </c>
      <c r="N92" s="15" t="s">
        <v>67</v>
      </c>
      <c r="O92" s="5" t="s">
        <v>2351</v>
      </c>
      <c r="P92" s="17" t="s">
        <v>69</v>
      </c>
      <c r="Q92" s="10" t="s">
        <v>1402</v>
      </c>
      <c r="R92" s="11">
        <v>45079</v>
      </c>
      <c r="S92" s="10" t="s">
        <v>48</v>
      </c>
      <c r="T92" s="3" t="str">
        <f>IF(AND(ProtocolosKL[[#This Row],[STATUS]]="APROVADO",ProtocolosKL[[#This Row],[WAIVER]]=""),"Y","")</f>
        <v/>
      </c>
      <c r="U92" t="s">
        <v>2355</v>
      </c>
      <c r="V92" s="16" t="str">
        <f t="shared" si="2"/>
        <v>XJQEGQMARCONDES LOPES/MAICON</v>
      </c>
      <c r="W92">
        <v>102</v>
      </c>
    </row>
    <row r="93" spans="1:23" ht="15.95" hidden="1">
      <c r="A93" s="1">
        <v>45079</v>
      </c>
      <c r="B93" t="s">
        <v>10</v>
      </c>
      <c r="C93" t="s">
        <v>2356</v>
      </c>
      <c r="D93" s="23" t="s">
        <v>2357</v>
      </c>
      <c r="E93" t="s">
        <v>41</v>
      </c>
      <c r="F93" s="58">
        <v>57564931</v>
      </c>
      <c r="G93" s="53">
        <v>749374956420</v>
      </c>
      <c r="H93" s="52">
        <v>1772</v>
      </c>
      <c r="I93" s="5">
        <v>0.1</v>
      </c>
      <c r="J93" s="52" cm="1">
        <f t="array" ref="J9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178</v>
      </c>
      <c r="K93" s="15" t="s">
        <v>306</v>
      </c>
      <c r="L93" s="54" t="s">
        <v>76</v>
      </c>
      <c r="M93" t="s">
        <v>43</v>
      </c>
      <c r="N93" s="15" t="s">
        <v>67</v>
      </c>
      <c r="O93" s="5" t="s">
        <v>2351</v>
      </c>
      <c r="P93" s="17" t="s">
        <v>69</v>
      </c>
      <c r="Q93" s="10" t="s">
        <v>1402</v>
      </c>
      <c r="R93" s="11">
        <v>45079</v>
      </c>
      <c r="S93" s="10" t="s">
        <v>48</v>
      </c>
      <c r="T93" s="3" t="str">
        <f>IF(AND(ProtocolosKL[[#This Row],[STATUS]]="APROVADO",ProtocolosKL[[#This Row],[WAIVER]]=""),"Y","")</f>
        <v/>
      </c>
      <c r="U93" t="s">
        <v>2358</v>
      </c>
      <c r="V93" s="16" t="str">
        <f t="shared" si="2"/>
        <v>YHCTNMLEAL MUNIZ/LETICIA</v>
      </c>
      <c r="W93">
        <v>103</v>
      </c>
    </row>
    <row r="94" spans="1:23" hidden="1">
      <c r="A94" s="1">
        <v>45083</v>
      </c>
      <c r="B94" t="s">
        <v>13</v>
      </c>
      <c r="C94" t="s">
        <v>2359</v>
      </c>
      <c r="D94" s="23" t="s">
        <v>2360</v>
      </c>
      <c r="E94" t="s">
        <v>41</v>
      </c>
      <c r="F94" s="19">
        <v>57564931</v>
      </c>
      <c r="G94" s="53">
        <v>749374974228</v>
      </c>
      <c r="H94" s="52">
        <v>1054</v>
      </c>
      <c r="I94" s="5">
        <v>0.15</v>
      </c>
      <c r="J94" s="52" cm="1">
        <f t="array" ref="J9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159</v>
      </c>
      <c r="K94" s="15" t="s">
        <v>151</v>
      </c>
      <c r="L94" s="54" t="s">
        <v>76</v>
      </c>
      <c r="M94" t="s">
        <v>43</v>
      </c>
      <c r="N94" s="15" t="s">
        <v>44</v>
      </c>
      <c r="O94" s="5" t="s">
        <v>1539</v>
      </c>
      <c r="P94" s="17" t="s">
        <v>46</v>
      </c>
      <c r="Q94" s="10" t="s">
        <v>2361</v>
      </c>
      <c r="R94" s="11">
        <v>45083</v>
      </c>
      <c r="S94" s="10" t="s">
        <v>48</v>
      </c>
      <c r="T94" s="3" t="str">
        <f>IF(AND(ProtocolosKL[[#This Row],[STATUS]]="APROVADO",ProtocolosKL[[#This Row],[WAIVER]]=""),"Y","")</f>
        <v/>
      </c>
      <c r="U94" t="s">
        <v>2362</v>
      </c>
      <c r="V94" s="16" t="str">
        <f t="shared" si="2"/>
        <v>BSHKAYVANDOROS QUILICI/LUIZA</v>
      </c>
      <c r="W94">
        <v>104</v>
      </c>
    </row>
    <row r="95" spans="1:23" ht="15.95" hidden="1">
      <c r="A95" s="1">
        <v>45083</v>
      </c>
      <c r="B95" t="s">
        <v>13</v>
      </c>
      <c r="C95" t="s">
        <v>2363</v>
      </c>
      <c r="D95" s="23" t="s">
        <v>2364</v>
      </c>
      <c r="E95" t="s">
        <v>41</v>
      </c>
      <c r="F95" s="60"/>
      <c r="G95" s="53"/>
      <c r="H95" s="52">
        <v>1209</v>
      </c>
      <c r="I95" s="5">
        <v>0.15</v>
      </c>
      <c r="J95" s="52" t="str" cm="1">
        <f t="array" ref="J9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95" s="15" t="s">
        <v>151</v>
      </c>
      <c r="L95" s="54" t="s">
        <v>76</v>
      </c>
      <c r="M95" t="s">
        <v>100</v>
      </c>
      <c r="N95" s="15" t="s">
        <v>44</v>
      </c>
      <c r="O95" s="5" t="s">
        <v>167</v>
      </c>
      <c r="P95" s="17" t="s">
        <v>46</v>
      </c>
      <c r="Q95" s="10"/>
      <c r="R95" s="11"/>
      <c r="S95" s="10"/>
      <c r="T95" s="3" t="str">
        <f>IF(AND(ProtocolosKL[[#This Row],[STATUS]]="APROVADO",ProtocolosKL[[#This Row],[WAIVER]]=""),"Y","")</f>
        <v/>
      </c>
      <c r="U95" t="s">
        <v>2365</v>
      </c>
      <c r="V95" s="16" t="str">
        <f t="shared" si="2"/>
        <v>DVLDEFBENATTI/PRISCILLA</v>
      </c>
      <c r="W95">
        <v>105</v>
      </c>
    </row>
    <row r="96" spans="1:23" hidden="1">
      <c r="A96" s="1">
        <v>45086</v>
      </c>
      <c r="B96" t="s">
        <v>15</v>
      </c>
      <c r="C96" t="s">
        <v>2366</v>
      </c>
      <c r="D96" s="23" t="s">
        <v>2367</v>
      </c>
      <c r="E96" t="s">
        <v>41</v>
      </c>
      <c r="F96" s="19">
        <v>57564931</v>
      </c>
      <c r="G96" s="53">
        <v>749374992517</v>
      </c>
      <c r="H96" s="52">
        <v>2253</v>
      </c>
      <c r="I96" s="5">
        <v>0.1</v>
      </c>
      <c r="J96" s="52" cm="1">
        <f t="array" ref="J9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226</v>
      </c>
      <c r="K96" s="15" t="s">
        <v>177</v>
      </c>
      <c r="L96" s="54" t="s">
        <v>76</v>
      </c>
      <c r="M96" t="s">
        <v>43</v>
      </c>
      <c r="N96" s="15" t="s">
        <v>77</v>
      </c>
      <c r="O96" s="5" t="s">
        <v>391</v>
      </c>
      <c r="P96" s="17" t="s">
        <v>69</v>
      </c>
      <c r="Q96" s="10" t="s">
        <v>396</v>
      </c>
      <c r="R96" s="11">
        <v>45086</v>
      </c>
      <c r="S96" s="10" t="s">
        <v>48</v>
      </c>
      <c r="T96" s="3" t="str">
        <f>IF(AND(ProtocolosKL[[#This Row],[STATUS]]="APROVADO",ProtocolosKL[[#This Row],[WAIVER]]=""),"Y","")</f>
        <v/>
      </c>
      <c r="U96" t="s">
        <v>2368</v>
      </c>
      <c r="V96" s="16" t="str">
        <f t="shared" si="2"/>
        <v>FNIUHGROSADO JUNIOR/CARLOS ALBERTO</v>
      </c>
      <c r="W96">
        <v>107</v>
      </c>
    </row>
    <row r="97" spans="1:23" hidden="1">
      <c r="A97" s="1">
        <v>45091</v>
      </c>
      <c r="B97" t="s">
        <v>15</v>
      </c>
      <c r="C97" t="s">
        <v>2369</v>
      </c>
      <c r="D97" s="23" t="s">
        <v>2370</v>
      </c>
      <c r="E97" t="s">
        <v>41</v>
      </c>
      <c r="F97" s="19">
        <v>57564931</v>
      </c>
      <c r="G97" s="53">
        <v>749375019474</v>
      </c>
      <c r="H97" s="52">
        <v>2249</v>
      </c>
      <c r="I97" s="5">
        <v>0.1</v>
      </c>
      <c r="J97" s="52" cm="1">
        <f t="array" ref="J9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225</v>
      </c>
      <c r="K97" s="15" t="s">
        <v>75</v>
      </c>
      <c r="L97" s="54" t="s">
        <v>76</v>
      </c>
      <c r="M97" t="s">
        <v>43</v>
      </c>
      <c r="N97" s="15" t="s">
        <v>77</v>
      </c>
      <c r="O97" s="5" t="s">
        <v>391</v>
      </c>
      <c r="P97" s="17" t="s">
        <v>69</v>
      </c>
      <c r="Q97" s="10" t="s">
        <v>79</v>
      </c>
      <c r="R97" s="11">
        <v>45092</v>
      </c>
      <c r="S97" s="10" t="s">
        <v>48</v>
      </c>
      <c r="T97" s="3" t="str">
        <f>IF(AND(ProtocolosKL[[#This Row],[STATUS]]="APROVADO",ProtocolosKL[[#This Row],[WAIVER]]=""),"Y","")</f>
        <v/>
      </c>
      <c r="U97" t="s">
        <v>2371</v>
      </c>
      <c r="V97" s="16" t="str">
        <f t="shared" si="2"/>
        <v>SEVZFF1.1BOTTINO/AURELIO</v>
      </c>
      <c r="W97">
        <v>114</v>
      </c>
    </row>
    <row r="98" spans="1:23" hidden="1">
      <c r="A98" s="1">
        <v>45091</v>
      </c>
      <c r="B98" t="s">
        <v>15</v>
      </c>
      <c r="C98" t="s">
        <v>2369</v>
      </c>
      <c r="D98" s="23" t="s">
        <v>2370</v>
      </c>
      <c r="E98" t="s">
        <v>41</v>
      </c>
      <c r="F98" s="19">
        <v>57564931</v>
      </c>
      <c r="G98" s="53">
        <v>749375023050</v>
      </c>
      <c r="H98" s="52">
        <v>2249</v>
      </c>
      <c r="I98" s="5">
        <v>0.1</v>
      </c>
      <c r="J98" s="52" cm="1">
        <f t="array" ref="J9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225</v>
      </c>
      <c r="K98" s="15" t="s">
        <v>75</v>
      </c>
      <c r="L98" s="54" t="s">
        <v>76</v>
      </c>
      <c r="M98" t="s">
        <v>43</v>
      </c>
      <c r="N98" s="15" t="s">
        <v>77</v>
      </c>
      <c r="O98" s="5" t="s">
        <v>391</v>
      </c>
      <c r="P98" s="17" t="s">
        <v>69</v>
      </c>
      <c r="Q98" s="10" t="s">
        <v>79</v>
      </c>
      <c r="R98" s="11">
        <v>45092</v>
      </c>
      <c r="S98" s="10" t="s">
        <v>48</v>
      </c>
      <c r="T98" s="3" t="str">
        <f>IF(AND(ProtocolosKL[[#This Row],[STATUS]]="APROVADO",ProtocolosKL[[#This Row],[WAIVER]]=""),"Y","")</f>
        <v/>
      </c>
      <c r="U98" t="s">
        <v>2372</v>
      </c>
      <c r="V98" s="16" t="str">
        <f t="shared" si="2"/>
        <v>SEVZFF2.1DANON/LUIZ ALBERTO</v>
      </c>
      <c r="W98">
        <v>114</v>
      </c>
    </row>
    <row r="99" spans="1:23" hidden="1">
      <c r="A99" s="1">
        <v>45092</v>
      </c>
      <c r="B99" t="s">
        <v>13</v>
      </c>
      <c r="C99" t="s">
        <v>2373</v>
      </c>
      <c r="D99" s="23" t="s">
        <v>2374</v>
      </c>
      <c r="E99" t="s">
        <v>41</v>
      </c>
      <c r="F99" s="19"/>
      <c r="G99" s="53"/>
      <c r="H99" s="52">
        <v>1673</v>
      </c>
      <c r="I99" s="5">
        <v>0.1</v>
      </c>
      <c r="J99" s="52" t="str" cm="1">
        <f t="array" ref="J9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99" s="15" t="s">
        <v>151</v>
      </c>
      <c r="L99" s="54" t="s">
        <v>76</v>
      </c>
      <c r="M99" t="s">
        <v>100</v>
      </c>
      <c r="N99" s="15" t="s">
        <v>44</v>
      </c>
      <c r="O99" s="5" t="s">
        <v>78</v>
      </c>
      <c r="P99" s="17" t="s">
        <v>69</v>
      </c>
      <c r="Q99" s="10"/>
      <c r="R99" s="11"/>
      <c r="S99" s="10"/>
      <c r="T99" s="3" t="str">
        <f>IF(AND(ProtocolosKL[[#This Row],[STATUS]]="APROVADO",ProtocolosKL[[#This Row],[WAIVER]]=""),"Y","")</f>
        <v/>
      </c>
      <c r="U99" t="s">
        <v>2375</v>
      </c>
      <c r="V99" s="16" t="str">
        <f t="shared" si="2"/>
        <v>QFBGCGPEDRON FIGUEIROA/CARLOS VINICIUS</v>
      </c>
      <c r="W99">
        <v>116</v>
      </c>
    </row>
    <row r="100" spans="1:23" hidden="1">
      <c r="A100" s="1">
        <v>45092</v>
      </c>
      <c r="B100" t="s">
        <v>13</v>
      </c>
      <c r="C100" t="s">
        <v>2373</v>
      </c>
      <c r="D100" s="23" t="s">
        <v>2374</v>
      </c>
      <c r="E100" t="s">
        <v>41</v>
      </c>
      <c r="F100" s="19"/>
      <c r="G100" s="53"/>
      <c r="H100" s="52">
        <v>1673</v>
      </c>
      <c r="I100" s="5">
        <v>0.1</v>
      </c>
      <c r="J100" s="52" t="str" cm="1">
        <f t="array" ref="J10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100" s="15" t="s">
        <v>151</v>
      </c>
      <c r="L100" s="54" t="s">
        <v>76</v>
      </c>
      <c r="M100" t="s">
        <v>100</v>
      </c>
      <c r="N100" s="15" t="s">
        <v>44</v>
      </c>
      <c r="O100" s="5" t="s">
        <v>78</v>
      </c>
      <c r="P100" s="17" t="s">
        <v>69</v>
      </c>
      <c r="Q100" s="10"/>
      <c r="R100" s="11"/>
      <c r="S100" s="10"/>
      <c r="T100" s="3" t="str">
        <f>IF(AND(ProtocolosKL[[#This Row],[STATUS]]="APROVADO",ProtocolosKL[[#This Row],[WAIVER]]=""),"Y","")</f>
        <v/>
      </c>
      <c r="U100" t="s">
        <v>2376</v>
      </c>
      <c r="V100" s="16" t="str">
        <f t="shared" si="2"/>
        <v>QFBGCGCRUZ BUENO FIGUEIROA/MARIANA</v>
      </c>
      <c r="W100">
        <v>116</v>
      </c>
    </row>
    <row r="101" spans="1:23" hidden="1">
      <c r="A101" s="1">
        <v>45092</v>
      </c>
      <c r="B101" t="s">
        <v>13</v>
      </c>
      <c r="C101" t="s">
        <v>2373</v>
      </c>
      <c r="D101" s="23" t="s">
        <v>2374</v>
      </c>
      <c r="E101" t="s">
        <v>41</v>
      </c>
      <c r="F101" s="19"/>
      <c r="G101" s="53"/>
      <c r="H101" s="52">
        <v>1673</v>
      </c>
      <c r="I101" s="5">
        <v>0.1</v>
      </c>
      <c r="J101" s="52" t="str" cm="1">
        <f t="array" ref="J10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101" s="15" t="s">
        <v>151</v>
      </c>
      <c r="L101" s="54" t="s">
        <v>76</v>
      </c>
      <c r="M101" t="s">
        <v>100</v>
      </c>
      <c r="N101" s="15" t="s">
        <v>44</v>
      </c>
      <c r="O101" s="5" t="s">
        <v>78</v>
      </c>
      <c r="P101" s="17" t="s">
        <v>69</v>
      </c>
      <c r="Q101" s="10"/>
      <c r="R101" s="11"/>
      <c r="S101" s="10"/>
      <c r="T101" s="3" t="str">
        <f>IF(AND(ProtocolosKL[[#This Row],[STATUS]]="APROVADO",ProtocolosKL[[#This Row],[WAIVER]]=""),"Y","")</f>
        <v/>
      </c>
      <c r="U101" t="s">
        <v>2377</v>
      </c>
      <c r="V101" s="16" t="str">
        <f t="shared" si="2"/>
        <v>QFBGCGDE SOUZA FIGUEIROA/LUIZA BEATRIZ</v>
      </c>
      <c r="W101">
        <v>116</v>
      </c>
    </row>
    <row r="102" spans="1:23" hidden="1">
      <c r="A102" s="1">
        <v>45092</v>
      </c>
      <c r="B102" t="s">
        <v>13</v>
      </c>
      <c r="C102" t="s">
        <v>2373</v>
      </c>
      <c r="D102" s="23" t="s">
        <v>2374</v>
      </c>
      <c r="E102" t="s">
        <v>41</v>
      </c>
      <c r="F102" s="19"/>
      <c r="G102" s="53"/>
      <c r="H102" s="52">
        <v>1673</v>
      </c>
      <c r="I102" s="5">
        <v>0.1</v>
      </c>
      <c r="J102" s="52" t="str" cm="1">
        <f t="array" ref="J10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102" s="15" t="s">
        <v>151</v>
      </c>
      <c r="L102" s="54" t="s">
        <v>76</v>
      </c>
      <c r="M102" t="s">
        <v>100</v>
      </c>
      <c r="N102" s="15" t="s">
        <v>44</v>
      </c>
      <c r="O102" s="5" t="s">
        <v>78</v>
      </c>
      <c r="P102" s="17" t="s">
        <v>69</v>
      </c>
      <c r="Q102" s="10"/>
      <c r="R102" s="11"/>
      <c r="S102" s="10"/>
      <c r="T102" s="3" t="str">
        <f>IF(AND(ProtocolosKL[[#This Row],[STATUS]]="APROVADO",ProtocolosKL[[#This Row],[WAIVER]]=""),"Y","")</f>
        <v/>
      </c>
      <c r="U102" t="s">
        <v>2378</v>
      </c>
      <c r="V102" s="16" t="str">
        <f t="shared" si="2"/>
        <v>QFBGCGDE SOUZA FIGUEIROA/LYGIA HELENA</v>
      </c>
      <c r="W102">
        <v>116</v>
      </c>
    </row>
    <row r="103" spans="1:23" hidden="1">
      <c r="A103" s="1">
        <v>45103</v>
      </c>
      <c r="B103" t="s">
        <v>15</v>
      </c>
      <c r="C103" t="s">
        <v>2379</v>
      </c>
      <c r="D103" s="23" t="s">
        <v>2380</v>
      </c>
      <c r="E103" t="s">
        <v>41</v>
      </c>
      <c r="F103" s="19">
        <v>57565476</v>
      </c>
      <c r="G103" s="53">
        <v>749375062124</v>
      </c>
      <c r="H103" s="52">
        <v>2709</v>
      </c>
      <c r="I103" s="5">
        <v>0.1</v>
      </c>
      <c r="J103" s="52" cm="1">
        <f t="array" ref="J10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271</v>
      </c>
      <c r="K103" s="15" t="s">
        <v>75</v>
      </c>
      <c r="L103" s="54" t="s">
        <v>76</v>
      </c>
      <c r="M103" t="s">
        <v>43</v>
      </c>
      <c r="N103" s="15" t="s">
        <v>77</v>
      </c>
      <c r="O103" s="5" t="s">
        <v>1573</v>
      </c>
      <c r="P103" s="17" t="s">
        <v>46</v>
      </c>
      <c r="Q103" s="10" t="s">
        <v>79</v>
      </c>
      <c r="R103" s="11">
        <v>45103</v>
      </c>
      <c r="S103" s="10" t="s">
        <v>48</v>
      </c>
      <c r="T103" s="3" t="str">
        <f>IF(AND(ProtocolosKL[[#This Row],[STATUS]]="APROVADO",ProtocolosKL[[#This Row],[WAIVER]]=""),"Y","")</f>
        <v/>
      </c>
      <c r="U103" t="s">
        <v>2381</v>
      </c>
      <c r="V103" s="16" t="str">
        <f t="shared" si="2"/>
        <v>SGBAEATALHARI/ANETTE</v>
      </c>
      <c r="W103">
        <v>121</v>
      </c>
    </row>
    <row r="104" spans="1:23" hidden="1">
      <c r="A104" s="1">
        <v>45103</v>
      </c>
      <c r="B104" t="s">
        <v>15</v>
      </c>
      <c r="C104" t="s">
        <v>2379</v>
      </c>
      <c r="D104" s="23" t="s">
        <v>2380</v>
      </c>
      <c r="E104" t="s">
        <v>41</v>
      </c>
      <c r="F104" s="19">
        <v>57565476</v>
      </c>
      <c r="G104" s="53">
        <v>749375062122</v>
      </c>
      <c r="H104" s="52">
        <v>2709</v>
      </c>
      <c r="I104" s="5">
        <v>0.1</v>
      </c>
      <c r="J104" s="52" cm="1">
        <f t="array" ref="J10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271</v>
      </c>
      <c r="K104" s="15" t="s">
        <v>75</v>
      </c>
      <c r="L104" s="54" t="s">
        <v>76</v>
      </c>
      <c r="M104" t="s">
        <v>43</v>
      </c>
      <c r="N104" s="15" t="s">
        <v>77</v>
      </c>
      <c r="O104" s="5" t="s">
        <v>1573</v>
      </c>
      <c r="P104" s="17" t="s">
        <v>46</v>
      </c>
      <c r="Q104" s="10" t="s">
        <v>79</v>
      </c>
      <c r="R104" s="11">
        <v>45103</v>
      </c>
      <c r="S104" s="10" t="s">
        <v>48</v>
      </c>
      <c r="T104" s="3" t="str">
        <f>IF(AND(ProtocolosKL[[#This Row],[STATUS]]="APROVADO",ProtocolosKL[[#This Row],[WAIVER]]=""),"Y","")</f>
        <v/>
      </c>
      <c r="U104" t="s">
        <v>2382</v>
      </c>
      <c r="V104" s="16" t="str">
        <f t="shared" si="2"/>
        <v>SGBAEABITTENCOURT/FLAVIA</v>
      </c>
      <c r="W104">
        <v>121</v>
      </c>
    </row>
    <row r="105" spans="1:23" hidden="1">
      <c r="A105" s="1">
        <v>45104</v>
      </c>
      <c r="B105" t="s">
        <v>16</v>
      </c>
      <c r="C105" t="s">
        <v>2383</v>
      </c>
      <c r="D105" s="23" t="s">
        <v>2383</v>
      </c>
      <c r="E105" t="s">
        <v>41</v>
      </c>
      <c r="F105" s="19"/>
      <c r="G105" s="53"/>
      <c r="H105" s="52">
        <v>1019</v>
      </c>
      <c r="I105" s="5">
        <v>0.1</v>
      </c>
      <c r="J105" s="52" t="str" cm="1">
        <f t="array" ref="J10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105" s="15" t="s">
        <v>177</v>
      </c>
      <c r="L105" s="54" t="s">
        <v>76</v>
      </c>
      <c r="M105" t="s">
        <v>100</v>
      </c>
      <c r="N105" s="15" t="s">
        <v>77</v>
      </c>
      <c r="O105" s="5" t="s">
        <v>539</v>
      </c>
      <c r="P105" s="17" t="s">
        <v>46</v>
      </c>
      <c r="Q105" s="10"/>
      <c r="R105" s="11"/>
      <c r="S105" s="10"/>
      <c r="T105" s="3" t="str">
        <f>IF(AND(ProtocolosKL[[#This Row],[STATUS]]="APROVADO",ProtocolosKL[[#This Row],[WAIVER]]=""),"Y","")</f>
        <v/>
      </c>
      <c r="U105" t="s">
        <v>2384</v>
      </c>
      <c r="V105" s="16" t="str">
        <f t="shared" si="2"/>
        <v>47NZZ2DE OLIVEIRA RAVAZZI / TIAGO</v>
      </c>
      <c r="W105">
        <v>124</v>
      </c>
    </row>
    <row r="106" spans="1:23" hidden="1">
      <c r="A106" s="1">
        <v>45104</v>
      </c>
      <c r="B106" t="s">
        <v>12</v>
      </c>
      <c r="C106" t="s">
        <v>2385</v>
      </c>
      <c r="D106" s="23" t="s">
        <v>2385</v>
      </c>
      <c r="E106" t="s">
        <v>41</v>
      </c>
      <c r="F106" s="19"/>
      <c r="G106" s="53"/>
      <c r="H106" s="52">
        <v>3498</v>
      </c>
      <c r="I106" s="5">
        <v>0.15</v>
      </c>
      <c r="J106" s="52" t="str" cm="1">
        <f t="array" ref="J10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106" s="15" t="s">
        <v>227</v>
      </c>
      <c r="L106" s="54" t="s">
        <v>172</v>
      </c>
      <c r="M106" t="s">
        <v>100</v>
      </c>
      <c r="N106" s="15" t="s">
        <v>44</v>
      </c>
      <c r="O106" s="5" t="s">
        <v>45</v>
      </c>
      <c r="P106" s="17" t="s">
        <v>46</v>
      </c>
      <c r="Q106" s="10"/>
      <c r="R106" s="11"/>
      <c r="S106" s="10"/>
      <c r="T106" s="3" t="str">
        <f>IF(AND(ProtocolosKL[[#This Row],[STATUS]]="APROVADO",ProtocolosKL[[#This Row],[WAIVER]]=""),"Y","")</f>
        <v/>
      </c>
      <c r="U106" t="s">
        <v>2386</v>
      </c>
      <c r="V106" s="16" t="str">
        <f t="shared" si="2"/>
        <v>48UIPKROCHA COUTO/ROGERIO</v>
      </c>
      <c r="W106">
        <v>125</v>
      </c>
    </row>
    <row r="107" spans="1:23" hidden="1">
      <c r="A107" s="1">
        <v>45104</v>
      </c>
      <c r="B107" t="s">
        <v>12</v>
      </c>
      <c r="C107" t="s">
        <v>2385</v>
      </c>
      <c r="D107" s="23" t="s">
        <v>2385</v>
      </c>
      <c r="E107" t="s">
        <v>41</v>
      </c>
      <c r="F107" s="19"/>
      <c r="G107" s="53"/>
      <c r="H107" s="52">
        <v>3498</v>
      </c>
      <c r="I107" s="5">
        <v>0.15</v>
      </c>
      <c r="J107" s="52" t="str" cm="1">
        <f t="array" ref="J10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107" s="15" t="s">
        <v>227</v>
      </c>
      <c r="L107" s="54" t="s">
        <v>172</v>
      </c>
      <c r="M107" t="s">
        <v>100</v>
      </c>
      <c r="N107" s="15" t="s">
        <v>44</v>
      </c>
      <c r="O107" s="5" t="s">
        <v>45</v>
      </c>
      <c r="P107" s="17" t="s">
        <v>46</v>
      </c>
      <c r="Q107" s="10"/>
      <c r="R107" s="11"/>
      <c r="S107" s="10"/>
      <c r="T107" s="3" t="str">
        <f>IF(AND(ProtocolosKL[[#This Row],[STATUS]]="APROVADO",ProtocolosKL[[#This Row],[WAIVER]]=""),"Y","")</f>
        <v/>
      </c>
      <c r="U107" t="s">
        <v>2387</v>
      </c>
      <c r="V107" s="16" t="str">
        <f t="shared" si="2"/>
        <v>48UIPKROHDEN/ANGELA</v>
      </c>
      <c r="W107">
        <v>125</v>
      </c>
    </row>
    <row r="108" spans="1:23" hidden="1">
      <c r="A108" s="1">
        <v>45105</v>
      </c>
      <c r="B108" t="s">
        <v>11</v>
      </c>
      <c r="C108" t="s">
        <v>2388</v>
      </c>
      <c r="D108" s="23" t="s">
        <v>2389</v>
      </c>
      <c r="E108" t="s">
        <v>41</v>
      </c>
      <c r="F108" s="19">
        <v>57564931</v>
      </c>
      <c r="G108" s="53">
        <v>749375092130</v>
      </c>
      <c r="H108" s="52">
        <v>3329</v>
      </c>
      <c r="I108" s="5">
        <v>0.15</v>
      </c>
      <c r="J108" s="52" cm="1">
        <f t="array" ref="J10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500</v>
      </c>
      <c r="K108" s="15" t="s">
        <v>99</v>
      </c>
      <c r="L108" s="54" t="s">
        <v>76</v>
      </c>
      <c r="M108" t="s">
        <v>43</v>
      </c>
      <c r="N108" s="15" t="s">
        <v>85</v>
      </c>
      <c r="O108" s="5" t="s">
        <v>417</v>
      </c>
      <c r="P108" s="17" t="s">
        <v>46</v>
      </c>
      <c r="Q108" s="10" t="s">
        <v>250</v>
      </c>
      <c r="R108" s="11">
        <v>45105</v>
      </c>
      <c r="S108" s="10" t="s">
        <v>48</v>
      </c>
      <c r="T108" s="3" t="str">
        <f>IF(AND(ProtocolosKL[[#This Row],[STATUS]]="APROVADO",ProtocolosKL[[#This Row],[WAIVER]]=""),"Y","")</f>
        <v/>
      </c>
      <c r="U108" t="s">
        <v>2390</v>
      </c>
      <c r="V108" s="16" t="str">
        <f t="shared" si="2"/>
        <v>XBMDJQCHAVES/ADRIANO MR</v>
      </c>
      <c r="W108">
        <v>127</v>
      </c>
    </row>
    <row r="109" spans="1:23" hidden="1">
      <c r="A109" s="1">
        <v>45106</v>
      </c>
      <c r="B109" t="s">
        <v>11</v>
      </c>
      <c r="C109" t="s">
        <v>2391</v>
      </c>
      <c r="D109" s="23" t="s">
        <v>2392</v>
      </c>
      <c r="E109" t="s">
        <v>41</v>
      </c>
      <c r="F109" s="19">
        <v>57564931</v>
      </c>
      <c r="G109" s="53">
        <v>749375098628</v>
      </c>
      <c r="H109" s="52">
        <v>2219</v>
      </c>
      <c r="I109" s="5">
        <v>0.15</v>
      </c>
      <c r="J109" s="52" cm="1">
        <f t="array" ref="J10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333</v>
      </c>
      <c r="K109" s="15" t="s">
        <v>99</v>
      </c>
      <c r="L109" s="54" t="s">
        <v>76</v>
      </c>
      <c r="M109" t="s">
        <v>43</v>
      </c>
      <c r="N109" s="15" t="s">
        <v>85</v>
      </c>
      <c r="O109" s="5" t="s">
        <v>372</v>
      </c>
      <c r="P109" s="17" t="s">
        <v>69</v>
      </c>
      <c r="Q109" s="10" t="s">
        <v>250</v>
      </c>
      <c r="R109" s="11">
        <v>45106</v>
      </c>
      <c r="S109" s="10" t="s">
        <v>48</v>
      </c>
      <c r="T109" s="3" t="str">
        <f>IF(AND(ProtocolosKL[[#This Row],[STATUS]]="APROVADO",ProtocolosKL[[#This Row],[WAIVER]]=""),"Y","")</f>
        <v/>
      </c>
      <c r="U109" t="s">
        <v>2393</v>
      </c>
      <c r="V109" s="16" t="str">
        <f t="shared" si="2"/>
        <v>DIPLABBARROSO/ROBERTO LUIZ MR</v>
      </c>
      <c r="W109">
        <v>132</v>
      </c>
    </row>
    <row r="110" spans="1:23" hidden="1">
      <c r="A110" s="1">
        <v>45106</v>
      </c>
      <c r="B110" t="s">
        <v>11</v>
      </c>
      <c r="C110" t="s">
        <v>2391</v>
      </c>
      <c r="D110" s="23" t="s">
        <v>2392</v>
      </c>
      <c r="E110" t="s">
        <v>41</v>
      </c>
      <c r="F110" s="19">
        <v>57564931</v>
      </c>
      <c r="G110" s="53">
        <v>749375098629</v>
      </c>
      <c r="H110" s="52">
        <v>2219</v>
      </c>
      <c r="I110" s="5">
        <v>0.15</v>
      </c>
      <c r="J110" s="52" cm="1">
        <f t="array" ref="J11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333</v>
      </c>
      <c r="K110" s="15" t="s">
        <v>99</v>
      </c>
      <c r="L110" s="54" t="s">
        <v>76</v>
      </c>
      <c r="M110" t="s">
        <v>43</v>
      </c>
      <c r="N110" s="15" t="s">
        <v>85</v>
      </c>
      <c r="O110" s="5" t="s">
        <v>372</v>
      </c>
      <c r="P110" s="17" t="s">
        <v>69</v>
      </c>
      <c r="Q110" s="10" t="s">
        <v>250</v>
      </c>
      <c r="R110" s="11">
        <v>45106</v>
      </c>
      <c r="S110" s="10" t="s">
        <v>48</v>
      </c>
      <c r="T110" s="3" t="str">
        <f>IF(AND(ProtocolosKL[[#This Row],[STATUS]]="APROVADO",ProtocolosKL[[#This Row],[WAIVER]]=""),"Y","")</f>
        <v/>
      </c>
      <c r="U110" t="s">
        <v>2394</v>
      </c>
      <c r="V110" s="16" t="str">
        <f t="shared" si="2"/>
        <v>DIPLABBARROSO/ISA MARIA MRS</v>
      </c>
      <c r="W110">
        <v>132</v>
      </c>
    </row>
    <row r="111" spans="1:23" hidden="1">
      <c r="A111" s="1">
        <v>45107</v>
      </c>
      <c r="B111" t="s">
        <v>13</v>
      </c>
      <c r="C111" t="s">
        <v>2395</v>
      </c>
      <c r="D111" s="23" t="s">
        <v>2396</v>
      </c>
      <c r="E111" t="s">
        <v>41</v>
      </c>
      <c r="F111" s="19">
        <v>57564931</v>
      </c>
      <c r="G111" s="53">
        <v>749375106307</v>
      </c>
      <c r="H111" s="52">
        <v>1506</v>
      </c>
      <c r="I111" s="5">
        <v>0.15</v>
      </c>
      <c r="J111" s="52" cm="1">
        <f t="array" ref="J11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226</v>
      </c>
      <c r="K111" s="15" t="s">
        <v>151</v>
      </c>
      <c r="L111" s="54" t="s">
        <v>66</v>
      </c>
      <c r="M111" t="s">
        <v>43</v>
      </c>
      <c r="N111" s="15" t="s">
        <v>44</v>
      </c>
      <c r="O111" s="5" t="s">
        <v>2397</v>
      </c>
      <c r="P111" s="17" t="s">
        <v>69</v>
      </c>
      <c r="Q111" s="10" t="s">
        <v>168</v>
      </c>
      <c r="R111" s="11">
        <v>45110</v>
      </c>
      <c r="S111" s="10" t="s">
        <v>48</v>
      </c>
      <c r="T111" s="3" t="str">
        <f>IF(AND(ProtocolosKL[[#This Row],[STATUS]]="APROVADO",ProtocolosKL[[#This Row],[WAIVER]]=""),"Y","")</f>
        <v/>
      </c>
      <c r="U111" t="s">
        <v>2398</v>
      </c>
      <c r="V111" s="16" t="str">
        <f t="shared" si="2"/>
        <v>AZRKNCFERREIRA/JOSUE</v>
      </c>
      <c r="W111">
        <v>133</v>
      </c>
    </row>
    <row r="112" spans="1:23" hidden="1">
      <c r="A112" s="1">
        <v>45107</v>
      </c>
      <c r="B112" t="s">
        <v>15</v>
      </c>
      <c r="C112" t="s">
        <v>2399</v>
      </c>
      <c r="D112" s="23" t="s">
        <v>2400</v>
      </c>
      <c r="E112" t="s">
        <v>41</v>
      </c>
      <c r="F112" s="19">
        <v>57564931</v>
      </c>
      <c r="G112" s="53">
        <v>749375104449</v>
      </c>
      <c r="H112" s="52">
        <v>1057</v>
      </c>
      <c r="I112" s="5">
        <v>0.15</v>
      </c>
      <c r="J112" s="52" cm="1">
        <f t="array" ref="J11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159</v>
      </c>
      <c r="K112" s="15" t="s">
        <v>75</v>
      </c>
      <c r="L112" s="54" t="s">
        <v>172</v>
      </c>
      <c r="M112" t="s">
        <v>43</v>
      </c>
      <c r="N112" s="15" t="s">
        <v>77</v>
      </c>
      <c r="O112" s="5" t="s">
        <v>1772</v>
      </c>
      <c r="P112" s="17" t="s">
        <v>69</v>
      </c>
      <c r="Q112" s="10" t="s">
        <v>79</v>
      </c>
      <c r="R112" s="11">
        <v>45107</v>
      </c>
      <c r="S112" s="10" t="s">
        <v>48</v>
      </c>
      <c r="T112" s="3" t="str">
        <f>IF(AND(ProtocolosKL[[#This Row],[STATUS]]="APROVADO",ProtocolosKL[[#This Row],[WAIVER]]=""),"Y","")</f>
        <v/>
      </c>
      <c r="U112" t="s">
        <v>2401</v>
      </c>
      <c r="V112" s="16" t="str">
        <f t="shared" si="2"/>
        <v>REMHDEELIAS FRAGA/MARCELO</v>
      </c>
      <c r="W112">
        <v>134</v>
      </c>
    </row>
    <row r="113" spans="1:23" hidden="1">
      <c r="A113" s="1">
        <v>45107</v>
      </c>
      <c r="B113" t="s">
        <v>12</v>
      </c>
      <c r="C113" t="s">
        <v>2402</v>
      </c>
      <c r="D113" s="23" t="s">
        <v>2403</v>
      </c>
      <c r="E113" t="s">
        <v>41</v>
      </c>
      <c r="F113" s="19">
        <v>57564931</v>
      </c>
      <c r="G113" s="53">
        <v>749375106329</v>
      </c>
      <c r="H113" s="52">
        <v>1323</v>
      </c>
      <c r="I113" s="5">
        <v>0.15</v>
      </c>
      <c r="J113" s="52" cm="1">
        <f t="array" ref="J11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199</v>
      </c>
      <c r="K113" s="15" t="s">
        <v>227</v>
      </c>
      <c r="L113" s="54" t="s">
        <v>172</v>
      </c>
      <c r="M113" t="s">
        <v>43</v>
      </c>
      <c r="N113" s="15" t="s">
        <v>44</v>
      </c>
      <c r="O113" s="5" t="s">
        <v>167</v>
      </c>
      <c r="P113" s="17" t="s">
        <v>255</v>
      </c>
      <c r="Q113" s="10" t="s">
        <v>229</v>
      </c>
      <c r="R113" s="11">
        <v>45110</v>
      </c>
      <c r="S113" s="10" t="s">
        <v>48</v>
      </c>
      <c r="T113" s="3" t="str">
        <f>IF(AND(ProtocolosKL[[#This Row],[STATUS]]="APROVADO",ProtocolosKL[[#This Row],[WAIVER]]=""),"Y","")</f>
        <v/>
      </c>
      <c r="U113" t="s">
        <v>2404</v>
      </c>
      <c r="V113" s="16" t="str">
        <f t="shared" si="2"/>
        <v>DDWDEBZAZULA/ANA DENISE</v>
      </c>
      <c r="W113">
        <v>135</v>
      </c>
    </row>
    <row r="114" spans="1:23" hidden="1">
      <c r="A114" s="1">
        <v>45107</v>
      </c>
      <c r="B114" t="s">
        <v>12</v>
      </c>
      <c r="C114" t="s">
        <v>2402</v>
      </c>
      <c r="D114" s="23" t="s">
        <v>2403</v>
      </c>
      <c r="E114" t="s">
        <v>41</v>
      </c>
      <c r="F114" s="19">
        <v>57564931</v>
      </c>
      <c r="G114" s="53">
        <v>749375106331</v>
      </c>
      <c r="H114" s="52">
        <v>1323</v>
      </c>
      <c r="I114" s="5">
        <v>0.15</v>
      </c>
      <c r="J114" s="52" cm="1">
        <f t="array" ref="J11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199</v>
      </c>
      <c r="K114" s="15" t="s">
        <v>227</v>
      </c>
      <c r="L114" s="54" t="s">
        <v>172</v>
      </c>
      <c r="M114" t="s">
        <v>43</v>
      </c>
      <c r="N114" s="15" t="s">
        <v>44</v>
      </c>
      <c r="O114" s="5" t="s">
        <v>167</v>
      </c>
      <c r="P114" s="17" t="s">
        <v>255</v>
      </c>
      <c r="Q114" s="10" t="s">
        <v>229</v>
      </c>
      <c r="R114" s="11">
        <v>45110</v>
      </c>
      <c r="S114" s="10" t="s">
        <v>48</v>
      </c>
      <c r="T114" s="3" t="str">
        <f>IF(AND(ProtocolosKL[[#This Row],[STATUS]]="APROVADO",ProtocolosKL[[#This Row],[WAIVER]]=""),"Y","")</f>
        <v/>
      </c>
      <c r="U114" t="s">
        <v>2405</v>
      </c>
      <c r="V114" s="16" t="str">
        <f t="shared" si="2"/>
        <v>DDWDEBSANTOS/WAGNER</v>
      </c>
      <c r="W114">
        <v>135</v>
      </c>
    </row>
    <row r="115" spans="1:23" hidden="1">
      <c r="A115" s="1">
        <v>45110</v>
      </c>
      <c r="B115" t="s">
        <v>13</v>
      </c>
      <c r="C115" t="s">
        <v>2406</v>
      </c>
      <c r="D115" s="23" t="s">
        <v>2407</v>
      </c>
      <c r="E115" t="s">
        <v>41</v>
      </c>
      <c r="F115" s="19"/>
      <c r="G115" s="53"/>
      <c r="H115" s="52">
        <v>4496</v>
      </c>
      <c r="I115" s="5">
        <v>0.1</v>
      </c>
      <c r="J115" s="52" t="str" cm="1">
        <f t="array" ref="J11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115" s="15" t="s">
        <v>151</v>
      </c>
      <c r="L115" s="54" t="s">
        <v>66</v>
      </c>
      <c r="M115" t="s">
        <v>100</v>
      </c>
      <c r="N115" s="15" t="s">
        <v>67</v>
      </c>
      <c r="O115" s="5" t="s">
        <v>1539</v>
      </c>
      <c r="P115" s="17" t="s">
        <v>46</v>
      </c>
      <c r="Q115" s="10"/>
      <c r="R115" s="11"/>
      <c r="S115" s="10"/>
      <c r="T115" s="3" t="str">
        <f>IF(AND(ProtocolosKL[[#This Row],[STATUS]]="APROVADO",ProtocolosKL[[#This Row],[WAIVER]]=""),"Y","")</f>
        <v/>
      </c>
      <c r="U115" t="s">
        <v>2408</v>
      </c>
      <c r="V115" s="16" t="str">
        <f t="shared" si="2"/>
        <v>FIHSVWCHREIM/NISSIM</v>
      </c>
      <c r="W115">
        <v>138</v>
      </c>
    </row>
    <row r="116" spans="1:23" hidden="1">
      <c r="A116" s="1">
        <v>45110</v>
      </c>
      <c r="B116" t="s">
        <v>13</v>
      </c>
      <c r="C116" t="s">
        <v>2406</v>
      </c>
      <c r="D116" s="23" t="s">
        <v>2407</v>
      </c>
      <c r="E116" t="s">
        <v>41</v>
      </c>
      <c r="F116" s="19"/>
      <c r="G116" s="53"/>
      <c r="H116" s="52">
        <v>4496</v>
      </c>
      <c r="I116" s="5">
        <v>0.1</v>
      </c>
      <c r="J116" s="52" t="str" cm="1">
        <f t="array" ref="J11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116" s="15" t="s">
        <v>151</v>
      </c>
      <c r="L116" s="54" t="s">
        <v>66</v>
      </c>
      <c r="M116" t="s">
        <v>100</v>
      </c>
      <c r="N116" s="15" t="s">
        <v>67</v>
      </c>
      <c r="O116" s="5" t="s">
        <v>1539</v>
      </c>
      <c r="P116" s="17" t="s">
        <v>46</v>
      </c>
      <c r="Q116" s="10"/>
      <c r="R116" s="11"/>
      <c r="S116" s="10"/>
      <c r="T116" s="3" t="str">
        <f>IF(AND(ProtocolosKL[[#This Row],[STATUS]]="APROVADO",ProtocolosKL[[#This Row],[WAIVER]]=""),"Y","")</f>
        <v/>
      </c>
      <c r="U116" t="s">
        <v>2409</v>
      </c>
      <c r="V116" s="16" t="str">
        <f t="shared" si="2"/>
        <v>FIHSVWCHREIM/THANIA</v>
      </c>
      <c r="W116">
        <v>138</v>
      </c>
    </row>
    <row r="117" spans="1:23" hidden="1">
      <c r="A117" s="1">
        <v>45112</v>
      </c>
      <c r="B117" t="s">
        <v>10</v>
      </c>
      <c r="C117" t="s">
        <v>2410</v>
      </c>
      <c r="D117" s="23" t="s">
        <v>2411</v>
      </c>
      <c r="E117" t="s">
        <v>73</v>
      </c>
      <c r="F117" s="19">
        <v>57490484</v>
      </c>
      <c r="G117" s="53">
        <v>744100124826</v>
      </c>
      <c r="H117" s="52">
        <v>170</v>
      </c>
      <c r="I117" s="5" t="s">
        <v>74</v>
      </c>
      <c r="J117" s="52" cm="1">
        <f t="array" ref="J11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170</v>
      </c>
      <c r="K117" s="15" t="s">
        <v>144</v>
      </c>
      <c r="L117" s="54" t="s">
        <v>172</v>
      </c>
      <c r="M117" t="s">
        <v>43</v>
      </c>
      <c r="N117" s="15" t="s">
        <v>67</v>
      </c>
      <c r="O117" s="5" t="s">
        <v>436</v>
      </c>
      <c r="P117" s="17" t="s">
        <v>69</v>
      </c>
      <c r="Q117" s="10" t="s">
        <v>222</v>
      </c>
      <c r="R117" s="11">
        <v>45114</v>
      </c>
      <c r="S117" s="10" t="s">
        <v>173</v>
      </c>
      <c r="T117" s="3" t="str">
        <f>IF(AND(ProtocolosKL[[#This Row],[STATUS]]="APROVADO",ProtocolosKL[[#This Row],[WAIVER]]=""),"Y","")</f>
        <v/>
      </c>
      <c r="U117" t="s">
        <v>2412</v>
      </c>
      <c r="V117" s="16" t="str">
        <f t="shared" si="2"/>
        <v>TVXTBU1.1SILVA TELES/MARIANA</v>
      </c>
      <c r="W117">
        <v>140</v>
      </c>
    </row>
    <row r="118" spans="1:23" hidden="1">
      <c r="A118" s="1">
        <v>45112</v>
      </c>
      <c r="B118" t="s">
        <v>10</v>
      </c>
      <c r="C118" t="s">
        <v>2413</v>
      </c>
      <c r="D118" s="23" t="s">
        <v>2414</v>
      </c>
      <c r="E118" t="s">
        <v>73</v>
      </c>
      <c r="F118" s="19">
        <v>57490484</v>
      </c>
      <c r="G118" s="53">
        <v>744100124824</v>
      </c>
      <c r="H118" s="52">
        <v>170</v>
      </c>
      <c r="I118" s="5" t="s">
        <v>74</v>
      </c>
      <c r="J118" s="52" cm="1">
        <f t="array" ref="J11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170</v>
      </c>
      <c r="K118" s="15" t="s">
        <v>144</v>
      </c>
      <c r="L118" s="54" t="s">
        <v>172</v>
      </c>
      <c r="M118" t="s">
        <v>43</v>
      </c>
      <c r="N118" s="15" t="s">
        <v>67</v>
      </c>
      <c r="O118" s="5" t="s">
        <v>436</v>
      </c>
      <c r="P118" s="17" t="s">
        <v>69</v>
      </c>
      <c r="Q118" s="10" t="s">
        <v>222</v>
      </c>
      <c r="R118" s="11">
        <v>45114</v>
      </c>
      <c r="S118" s="10" t="s">
        <v>173</v>
      </c>
      <c r="T118" s="3" t="str">
        <f>IF(AND(ProtocolosKL[[#This Row],[STATUS]]="APROVADO",ProtocolosKL[[#This Row],[WAIVER]]=""),"Y","")</f>
        <v/>
      </c>
      <c r="U118" t="s">
        <v>2415</v>
      </c>
      <c r="V118" s="16" t="str">
        <f t="shared" si="2"/>
        <v>TUKKFI1.1DELASCIO LOPES/RENATO</v>
      </c>
      <c r="W118">
        <v>139</v>
      </c>
    </row>
    <row r="119" spans="1:23" hidden="1">
      <c r="A119" s="1">
        <v>45113</v>
      </c>
      <c r="B119" t="s">
        <v>10</v>
      </c>
      <c r="C119" t="s">
        <v>2416</v>
      </c>
      <c r="D119" s="23" t="s">
        <v>2417</v>
      </c>
      <c r="E119" t="s">
        <v>41</v>
      </c>
      <c r="F119" s="19">
        <v>57564931</v>
      </c>
      <c r="G119" s="53">
        <v>749375141958</v>
      </c>
      <c r="H119" s="52">
        <v>2042</v>
      </c>
      <c r="I119" s="5">
        <v>0.15</v>
      </c>
      <c r="J119" s="52" cm="1">
        <f t="array" ref="J11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307</v>
      </c>
      <c r="K119" s="15" t="s">
        <v>903</v>
      </c>
      <c r="L119" s="54" t="s">
        <v>76</v>
      </c>
      <c r="M119" t="s">
        <v>43</v>
      </c>
      <c r="N119" s="15" t="s">
        <v>67</v>
      </c>
      <c r="O119" s="5" t="s">
        <v>167</v>
      </c>
      <c r="P119" s="17" t="s">
        <v>46</v>
      </c>
      <c r="Q119" s="10" t="s">
        <v>1333</v>
      </c>
      <c r="R119" s="11">
        <v>45113</v>
      </c>
      <c r="S119" s="10" t="s">
        <v>48</v>
      </c>
      <c r="T119" s="3" t="str">
        <f>IF(AND(ProtocolosKL[[#This Row],[STATUS]]="APROVADO",ProtocolosKL[[#This Row],[WAIVER]]=""),"Y","")</f>
        <v/>
      </c>
      <c r="U119" t="s">
        <v>2418</v>
      </c>
      <c r="V119" s="16" t="str">
        <f t="shared" si="2"/>
        <v>RRMYJAGALLERANI CORREA/VITOR</v>
      </c>
      <c r="W119">
        <v>141</v>
      </c>
    </row>
    <row r="120" spans="1:23" hidden="1">
      <c r="A120" s="1">
        <v>45120</v>
      </c>
      <c r="B120" t="s">
        <v>16</v>
      </c>
      <c r="C120" t="s">
        <v>2419</v>
      </c>
      <c r="D120" s="23" t="s">
        <v>2420</v>
      </c>
      <c r="E120" t="s">
        <v>41</v>
      </c>
      <c r="F120" s="19"/>
      <c r="G120" s="53"/>
      <c r="H120" s="52">
        <v>831</v>
      </c>
      <c r="I120" s="5">
        <v>0.1</v>
      </c>
      <c r="J120" s="52" t="str" cm="1">
        <f t="array" ref="J12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120" s="15" t="s">
        <v>177</v>
      </c>
      <c r="L120" s="54" t="s">
        <v>76</v>
      </c>
      <c r="M120" t="s">
        <v>100</v>
      </c>
      <c r="N120" s="15" t="s">
        <v>77</v>
      </c>
      <c r="O120" s="5" t="s">
        <v>2421</v>
      </c>
      <c r="P120" s="17" t="s">
        <v>46</v>
      </c>
      <c r="Q120" s="10"/>
      <c r="R120" s="11"/>
      <c r="S120" s="10"/>
      <c r="T120" s="3" t="str">
        <f>IF(AND(ProtocolosKL[[#This Row],[STATUS]]="APROVADO",ProtocolosKL[[#This Row],[WAIVER]]=""),"Y","")</f>
        <v/>
      </c>
      <c r="U120" t="s">
        <v>2422</v>
      </c>
      <c r="V120" s="16" t="str">
        <f t="shared" si="2"/>
        <v xml:space="preserve">51PVCMSANTOS SILVA / CONSUELO </v>
      </c>
      <c r="W120">
        <v>155</v>
      </c>
    </row>
    <row r="121" spans="1:23" hidden="1">
      <c r="A121" s="1">
        <v>45122</v>
      </c>
      <c r="B121" t="s">
        <v>10</v>
      </c>
      <c r="C121" t="s">
        <v>2423</v>
      </c>
      <c r="D121" s="23" t="s">
        <v>2423</v>
      </c>
      <c r="E121" t="s">
        <v>41</v>
      </c>
      <c r="F121" s="19">
        <v>57564931</v>
      </c>
      <c r="G121" s="53">
        <v>749057350496</v>
      </c>
      <c r="H121" s="52">
        <v>987</v>
      </c>
      <c r="I121" s="5">
        <v>0.1</v>
      </c>
      <c r="J121" s="52" cm="1">
        <f t="array" ref="J12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99</v>
      </c>
      <c r="K121" s="15" t="s">
        <v>189</v>
      </c>
      <c r="L121" s="54" t="s">
        <v>76</v>
      </c>
      <c r="M121" t="s">
        <v>43</v>
      </c>
      <c r="N121" s="15" t="s">
        <v>67</v>
      </c>
      <c r="O121" s="5" t="s">
        <v>164</v>
      </c>
      <c r="P121" s="17" t="s">
        <v>69</v>
      </c>
      <c r="Q121" s="10" t="s">
        <v>940</v>
      </c>
      <c r="R121" s="11">
        <v>45490</v>
      </c>
      <c r="S121" s="10" t="s">
        <v>48</v>
      </c>
      <c r="T121" s="3" t="str">
        <f>IF(AND(ProtocolosKL[[#This Row],[STATUS]]="APROVADO",ProtocolosKL[[#This Row],[WAIVER]]=""),"Y","")</f>
        <v/>
      </c>
      <c r="U121" t="s">
        <v>2424</v>
      </c>
      <c r="V121" s="16" t="str">
        <f t="shared" si="2"/>
        <v>4CV4CACAMPOS FILHO/JOSE LUIZ MR</v>
      </c>
      <c r="W121">
        <v>157</v>
      </c>
    </row>
    <row r="122" spans="1:23" hidden="1">
      <c r="A122" s="1">
        <v>45122</v>
      </c>
      <c r="B122" t="s">
        <v>10</v>
      </c>
      <c r="C122" t="s">
        <v>2423</v>
      </c>
      <c r="D122" s="23" t="s">
        <v>2423</v>
      </c>
      <c r="E122" t="s">
        <v>41</v>
      </c>
      <c r="F122" s="19">
        <v>57564931</v>
      </c>
      <c r="G122" s="53">
        <v>749057350497</v>
      </c>
      <c r="H122" s="52">
        <v>987</v>
      </c>
      <c r="I122" s="5">
        <v>0.1</v>
      </c>
      <c r="J122" s="52" cm="1">
        <f t="array" ref="J12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99</v>
      </c>
      <c r="K122" s="15" t="s">
        <v>189</v>
      </c>
      <c r="L122" s="54" t="s">
        <v>76</v>
      </c>
      <c r="M122" t="s">
        <v>43</v>
      </c>
      <c r="N122" s="15" t="s">
        <v>67</v>
      </c>
      <c r="O122" s="5" t="s">
        <v>164</v>
      </c>
      <c r="P122" s="17" t="s">
        <v>69</v>
      </c>
      <c r="Q122" s="10" t="s">
        <v>940</v>
      </c>
      <c r="R122" s="11">
        <v>45490</v>
      </c>
      <c r="S122" s="10" t="s">
        <v>48</v>
      </c>
      <c r="T122" s="3" t="str">
        <f>IF(AND(ProtocolosKL[[#This Row],[STATUS]]="APROVADO",ProtocolosKL[[#This Row],[WAIVER]]=""),"Y","")</f>
        <v/>
      </c>
      <c r="U122" t="s">
        <v>2425</v>
      </c>
      <c r="V122" s="16" t="str">
        <f t="shared" si="2"/>
        <v>4CV4CANUNES GARCIA/NANCI MRS</v>
      </c>
      <c r="W122">
        <v>157</v>
      </c>
    </row>
    <row r="123" spans="1:23" hidden="1">
      <c r="A123" s="1">
        <v>45126</v>
      </c>
      <c r="B123" t="s">
        <v>10</v>
      </c>
      <c r="C123" t="s">
        <v>2426</v>
      </c>
      <c r="D123" s="23" t="s">
        <v>2427</v>
      </c>
      <c r="E123" t="s">
        <v>41</v>
      </c>
      <c r="F123" s="19"/>
      <c r="G123" s="53"/>
      <c r="H123" s="52">
        <v>1873</v>
      </c>
      <c r="I123" s="5">
        <v>0.15</v>
      </c>
      <c r="J123" s="52" t="str" cm="1">
        <f t="array" ref="J12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123" s="15" t="s">
        <v>189</v>
      </c>
      <c r="L123" s="54" t="s">
        <v>76</v>
      </c>
      <c r="M123" t="s">
        <v>100</v>
      </c>
      <c r="N123" s="15" t="s">
        <v>67</v>
      </c>
      <c r="O123" s="5" t="s">
        <v>160</v>
      </c>
      <c r="P123" s="17" t="s">
        <v>255</v>
      </c>
      <c r="Q123" s="10"/>
      <c r="R123" s="11"/>
      <c r="S123" s="10"/>
      <c r="T123" s="3" t="str">
        <f>IF(AND(ProtocolosKL[[#This Row],[STATUS]]="APROVADO",ProtocolosKL[[#This Row],[WAIVER]]=""),"Y","")</f>
        <v/>
      </c>
      <c r="U123" t="s">
        <v>2428</v>
      </c>
      <c r="V123" s="16" t="str">
        <f t="shared" si="2"/>
        <v>QMRBHWKONIG/MARIO MR</v>
      </c>
      <c r="W123">
        <v>158</v>
      </c>
    </row>
    <row r="124" spans="1:23" hidden="1">
      <c r="A124" s="1">
        <v>45126</v>
      </c>
      <c r="B124" t="s">
        <v>10</v>
      </c>
      <c r="C124" t="s">
        <v>2426</v>
      </c>
      <c r="D124" s="23" t="s">
        <v>2427</v>
      </c>
      <c r="E124" t="s">
        <v>41</v>
      </c>
      <c r="F124" s="19"/>
      <c r="G124" s="53"/>
      <c r="H124" s="52">
        <v>1873</v>
      </c>
      <c r="I124" s="5">
        <v>0.15</v>
      </c>
      <c r="J124" s="52" t="str" cm="1">
        <f t="array" ref="J12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124" s="15" t="s">
        <v>189</v>
      </c>
      <c r="L124" s="54" t="s">
        <v>76</v>
      </c>
      <c r="M124" t="s">
        <v>100</v>
      </c>
      <c r="N124" s="15" t="s">
        <v>67</v>
      </c>
      <c r="O124" s="5" t="s">
        <v>160</v>
      </c>
      <c r="P124" s="17" t="s">
        <v>255</v>
      </c>
      <c r="Q124" s="10"/>
      <c r="R124" s="11"/>
      <c r="S124" s="10"/>
      <c r="T124" s="3" t="str">
        <f>IF(AND(ProtocolosKL[[#This Row],[STATUS]]="APROVADO",ProtocolosKL[[#This Row],[WAIVER]]=""),"Y","")</f>
        <v/>
      </c>
      <c r="U124" t="s">
        <v>2429</v>
      </c>
      <c r="V124" s="16" t="str">
        <f t="shared" si="2"/>
        <v>QMRBHWADLER/CLAUDIA MRS</v>
      </c>
      <c r="W124">
        <v>158</v>
      </c>
    </row>
    <row r="125" spans="1:23" hidden="1">
      <c r="A125" s="1">
        <v>45127</v>
      </c>
      <c r="B125" t="s">
        <v>15</v>
      </c>
      <c r="C125" t="s">
        <v>2430</v>
      </c>
      <c r="D125" s="23" t="s">
        <v>2431</v>
      </c>
      <c r="E125" t="s">
        <v>512</v>
      </c>
      <c r="F125" s="19">
        <v>57565476</v>
      </c>
      <c r="G125" s="53">
        <v>749375218884</v>
      </c>
      <c r="H125" s="52">
        <v>178</v>
      </c>
      <c r="I125" s="5" t="s">
        <v>74</v>
      </c>
      <c r="J125" s="52" cm="1">
        <f t="array" ref="J12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178</v>
      </c>
      <c r="K125" s="15" t="s">
        <v>75</v>
      </c>
      <c r="L125" s="54" t="s">
        <v>529</v>
      </c>
      <c r="M125" t="s">
        <v>43</v>
      </c>
      <c r="N125" s="15" t="s">
        <v>67</v>
      </c>
      <c r="O125" s="5" t="s">
        <v>140</v>
      </c>
      <c r="P125" s="17" t="s">
        <v>69</v>
      </c>
      <c r="Q125" s="10" t="s">
        <v>79</v>
      </c>
      <c r="R125" s="11">
        <v>45128</v>
      </c>
      <c r="S125" s="10" t="s">
        <v>2432</v>
      </c>
      <c r="T125" s="3" t="str">
        <f>IF(AND(ProtocolosKL[[#This Row],[STATUS]]="APROVADO",ProtocolosKL[[#This Row],[WAIVER]]=""),"Y","")</f>
        <v/>
      </c>
      <c r="U125" t="s">
        <v>2433</v>
      </c>
      <c r="V125" s="16" t="str">
        <f t="shared" si="2"/>
        <v>YKHAFKARAUJO/ALCILENE</v>
      </c>
      <c r="W125">
        <v>166</v>
      </c>
    </row>
    <row r="126" spans="1:23" hidden="1">
      <c r="A126" s="1">
        <v>45127</v>
      </c>
      <c r="B126" t="s">
        <v>15</v>
      </c>
      <c r="C126" t="s">
        <v>2434</v>
      </c>
      <c r="D126" s="23" t="s">
        <v>2435</v>
      </c>
      <c r="E126" t="s">
        <v>512</v>
      </c>
      <c r="F126" s="19">
        <v>57565476</v>
      </c>
      <c r="G126" s="53">
        <v>749375218882</v>
      </c>
      <c r="H126" s="52">
        <v>178</v>
      </c>
      <c r="I126" s="5" t="s">
        <v>74</v>
      </c>
      <c r="J126" s="52" cm="1">
        <f t="array" ref="J12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178</v>
      </c>
      <c r="K126" s="15" t="s">
        <v>75</v>
      </c>
      <c r="L126" s="54" t="s">
        <v>529</v>
      </c>
      <c r="M126" t="s">
        <v>43</v>
      </c>
      <c r="N126" s="15" t="s">
        <v>67</v>
      </c>
      <c r="O126" s="5" t="s">
        <v>140</v>
      </c>
      <c r="P126" s="17" t="s">
        <v>69</v>
      </c>
      <c r="Q126" s="10" t="s">
        <v>79</v>
      </c>
      <c r="R126" s="11">
        <v>45128</v>
      </c>
      <c r="S126" s="10" t="s">
        <v>2436</v>
      </c>
      <c r="T126" s="3" t="str">
        <f>IF(AND(ProtocolosKL[[#This Row],[STATUS]]="APROVADO",ProtocolosKL[[#This Row],[WAIVER]]=""),"Y","")</f>
        <v/>
      </c>
      <c r="U126" t="s">
        <v>2437</v>
      </c>
      <c r="V126" s="16" t="str">
        <f t="shared" si="2"/>
        <v>OYXCGETOME/MARIA CANDIDA</v>
      </c>
      <c r="W126">
        <v>165</v>
      </c>
    </row>
    <row r="127" spans="1:23" hidden="1">
      <c r="A127" s="1">
        <v>45127</v>
      </c>
      <c r="B127" t="s">
        <v>15</v>
      </c>
      <c r="C127" t="s">
        <v>2438</v>
      </c>
      <c r="D127" s="23" t="s">
        <v>2439</v>
      </c>
      <c r="E127" t="s">
        <v>512</v>
      </c>
      <c r="F127" s="19">
        <v>57564931</v>
      </c>
      <c r="G127" s="53">
        <v>749375231109</v>
      </c>
      <c r="H127" s="52">
        <v>178</v>
      </c>
      <c r="I127" s="5" t="s">
        <v>74</v>
      </c>
      <c r="J127" s="52" cm="1">
        <f t="array" ref="J12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178</v>
      </c>
      <c r="K127" s="15" t="s">
        <v>75</v>
      </c>
      <c r="L127" s="54" t="s">
        <v>529</v>
      </c>
      <c r="M127" t="s">
        <v>43</v>
      </c>
      <c r="N127" s="15" t="s">
        <v>67</v>
      </c>
      <c r="O127" s="5" t="s">
        <v>140</v>
      </c>
      <c r="P127" s="17" t="s">
        <v>69</v>
      </c>
      <c r="Q127" s="10" t="s">
        <v>79</v>
      </c>
      <c r="R127" s="11">
        <v>45128</v>
      </c>
      <c r="S127" s="10" t="s">
        <v>2440</v>
      </c>
      <c r="T127" s="3" t="str">
        <f>IF(AND(ProtocolosKL[[#This Row],[STATUS]]="APROVADO",ProtocolosKL[[#This Row],[WAIVER]]=""),"Y","")</f>
        <v/>
      </c>
      <c r="U127" t="s">
        <v>2441</v>
      </c>
      <c r="V127" s="16" t="str">
        <f t="shared" si="2"/>
        <v>UMIANNFERREIRA/AMANDA</v>
      </c>
      <c r="W127">
        <v>164</v>
      </c>
    </row>
    <row r="128" spans="1:23" hidden="1">
      <c r="A128" s="1">
        <v>45133</v>
      </c>
      <c r="B128" t="s">
        <v>11</v>
      </c>
      <c r="C128" t="s">
        <v>2442</v>
      </c>
      <c r="D128" s="23" t="s">
        <v>2443</v>
      </c>
      <c r="E128" t="s">
        <v>41</v>
      </c>
      <c r="F128" s="19">
        <v>57519652</v>
      </c>
      <c r="G128" s="53">
        <v>749375249292</v>
      </c>
      <c r="H128" s="52">
        <v>4626</v>
      </c>
      <c r="I128" s="5">
        <v>0.2</v>
      </c>
      <c r="J128" s="52" cm="1">
        <f t="array" ref="J12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926</v>
      </c>
      <c r="K128" s="15" t="s">
        <v>99</v>
      </c>
      <c r="L128" s="54" t="s">
        <v>76</v>
      </c>
      <c r="M128" t="s">
        <v>43</v>
      </c>
      <c r="N128" s="15" t="s">
        <v>85</v>
      </c>
      <c r="O128" s="5" t="s">
        <v>2444</v>
      </c>
      <c r="P128" s="17" t="s">
        <v>46</v>
      </c>
      <c r="Q128" s="10" t="s">
        <v>250</v>
      </c>
      <c r="R128" s="11">
        <v>45134</v>
      </c>
      <c r="S128" s="10" t="s">
        <v>48</v>
      </c>
      <c r="T128" s="3" t="str">
        <f>IF(AND(ProtocolosKL[[#This Row],[STATUS]]="APROVADO",ProtocolosKL[[#This Row],[WAIVER]]=""),"Y","")</f>
        <v/>
      </c>
      <c r="U128" t="s">
        <v>2445</v>
      </c>
      <c r="V128" s="16" t="str">
        <f t="shared" si="2"/>
        <v>XCUWUOKOSTIC/VELIBOR MR</v>
      </c>
      <c r="W128">
        <v>170</v>
      </c>
    </row>
    <row r="129" spans="1:23" hidden="1">
      <c r="A129" s="1">
        <v>45133</v>
      </c>
      <c r="B129" t="s">
        <v>11</v>
      </c>
      <c r="C129" t="s">
        <v>2442</v>
      </c>
      <c r="D129" s="23" t="s">
        <v>2443</v>
      </c>
      <c r="E129" t="s">
        <v>41</v>
      </c>
      <c r="F129" s="19">
        <v>57519652</v>
      </c>
      <c r="G129" s="53">
        <v>749375249294</v>
      </c>
      <c r="H129" s="52">
        <v>4626</v>
      </c>
      <c r="I129" s="5">
        <v>0.2</v>
      </c>
      <c r="J129" s="52" cm="1">
        <f t="array" ref="J12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926</v>
      </c>
      <c r="K129" s="15" t="s">
        <v>99</v>
      </c>
      <c r="L129" s="54" t="s">
        <v>76</v>
      </c>
      <c r="M129" t="s">
        <v>43</v>
      </c>
      <c r="N129" s="15" t="s">
        <v>85</v>
      </c>
      <c r="O129" s="5" t="s">
        <v>2444</v>
      </c>
      <c r="P129" s="17" t="s">
        <v>46</v>
      </c>
      <c r="Q129" s="10" t="s">
        <v>250</v>
      </c>
      <c r="R129" s="11">
        <v>45134</v>
      </c>
      <c r="S129" s="10" t="s">
        <v>48</v>
      </c>
      <c r="T129" s="3" t="str">
        <f>IF(AND(ProtocolosKL[[#This Row],[STATUS]]="APROVADO",ProtocolosKL[[#This Row],[WAIVER]]=""),"Y","")</f>
        <v/>
      </c>
      <c r="U129" t="s">
        <v>2446</v>
      </c>
      <c r="V129" s="16" t="str">
        <f t="shared" si="2"/>
        <v>XCUWUOKOSTIC/GIOVANA MRS</v>
      </c>
      <c r="W129">
        <v>170</v>
      </c>
    </row>
    <row r="130" spans="1:23" hidden="1">
      <c r="A130" s="1">
        <v>45134</v>
      </c>
      <c r="B130" t="s">
        <v>10</v>
      </c>
      <c r="C130" t="s">
        <v>2447</v>
      </c>
      <c r="D130" s="23" t="s">
        <v>2448</v>
      </c>
      <c r="E130" t="s">
        <v>73</v>
      </c>
      <c r="F130" s="19">
        <v>57492702</v>
      </c>
      <c r="G130" s="53">
        <v>744101707371</v>
      </c>
      <c r="H130" s="52">
        <v>170</v>
      </c>
      <c r="I130" s="5" t="s">
        <v>74</v>
      </c>
      <c r="J130" s="52" cm="1">
        <f t="array" ref="J13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170</v>
      </c>
      <c r="K130" s="15" t="s">
        <v>144</v>
      </c>
      <c r="L130" s="54" t="s">
        <v>172</v>
      </c>
      <c r="M130" t="s">
        <v>43</v>
      </c>
      <c r="N130" s="15" t="s">
        <v>67</v>
      </c>
      <c r="O130" s="5" t="s">
        <v>436</v>
      </c>
      <c r="P130" s="17" t="s">
        <v>46</v>
      </c>
      <c r="Q130" s="10" t="s">
        <v>222</v>
      </c>
      <c r="R130" s="11">
        <v>45135</v>
      </c>
      <c r="S130" s="10" t="s">
        <v>48</v>
      </c>
      <c r="T130" s="3" t="str">
        <f>IF(AND(ProtocolosKL[[#This Row],[STATUS]]="APROVADO",ProtocolosKL[[#This Row],[WAIVER]]=""),"Y","")</f>
        <v/>
      </c>
      <c r="U130" t="s">
        <v>2449</v>
      </c>
      <c r="V130" s="16" t="str">
        <f t="shared" si="2"/>
        <v>LRUKSF1.1ALMEIDA/JESSICA MRS</v>
      </c>
      <c r="W130">
        <v>171</v>
      </c>
    </row>
    <row r="131" spans="1:23" hidden="1">
      <c r="A131" s="1">
        <v>45148</v>
      </c>
      <c r="B131" t="s">
        <v>10</v>
      </c>
      <c r="C131" t="s">
        <v>2450</v>
      </c>
      <c r="D131" s="23" t="s">
        <v>2451</v>
      </c>
      <c r="E131" t="s">
        <v>207</v>
      </c>
      <c r="F131" s="19">
        <v>57490484</v>
      </c>
      <c r="G131" s="53">
        <v>744101707722</v>
      </c>
      <c r="H131" s="52">
        <v>85</v>
      </c>
      <c r="I131" s="5" t="s">
        <v>74</v>
      </c>
      <c r="J131" s="52" cm="1">
        <f t="array" ref="J13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85</v>
      </c>
      <c r="K131" t="s">
        <v>2452</v>
      </c>
      <c r="L131" s="54" t="s">
        <v>172</v>
      </c>
      <c r="M131" t="s">
        <v>43</v>
      </c>
      <c r="N131" s="15" t="s">
        <v>67</v>
      </c>
      <c r="O131" s="5" t="s">
        <v>436</v>
      </c>
      <c r="P131" s="17" t="s">
        <v>69</v>
      </c>
      <c r="Q131" s="10" t="s">
        <v>222</v>
      </c>
      <c r="R131" s="11">
        <v>45148</v>
      </c>
      <c r="S131" s="10" t="s">
        <v>2453</v>
      </c>
      <c r="T131" s="3" t="str">
        <f>IF(AND(ProtocolosKL[[#This Row],[STATUS]]="APROVADO",ProtocolosKL[[#This Row],[WAIVER]]=""),"Y","")</f>
        <v/>
      </c>
      <c r="U131" t="s">
        <v>2454</v>
      </c>
      <c r="V131" s="16" t="str">
        <f t="shared" si="2"/>
        <v>GDVAYTSCHULMAN/CARL ERIK MARTIN</v>
      </c>
    </row>
    <row r="132" spans="1:23" hidden="1">
      <c r="A132" s="1">
        <v>45149</v>
      </c>
      <c r="B132" t="s">
        <v>10</v>
      </c>
      <c r="C132" t="s">
        <v>2455</v>
      </c>
      <c r="D132" s="23" t="s">
        <v>2456</v>
      </c>
      <c r="E132" t="s">
        <v>41</v>
      </c>
      <c r="F132" s="19">
        <v>57564931</v>
      </c>
      <c r="G132" s="53">
        <v>749375328026</v>
      </c>
      <c r="H132" s="52">
        <v>1560</v>
      </c>
      <c r="I132" s="5">
        <v>0.15</v>
      </c>
      <c r="J132" s="52" cm="1">
        <f t="array" ref="J13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234</v>
      </c>
      <c r="K132" s="15" t="s">
        <v>903</v>
      </c>
      <c r="L132" s="54" t="s">
        <v>76</v>
      </c>
      <c r="M132" t="s">
        <v>43</v>
      </c>
      <c r="N132" s="15" t="s">
        <v>67</v>
      </c>
      <c r="O132" s="5" t="s">
        <v>2457</v>
      </c>
      <c r="P132" s="17" t="s">
        <v>46</v>
      </c>
      <c r="Q132" s="10" t="s">
        <v>239</v>
      </c>
      <c r="R132" s="11">
        <v>45149</v>
      </c>
      <c r="S132" s="10" t="s">
        <v>48</v>
      </c>
      <c r="T132" s="3" t="str">
        <f>IF(AND(ProtocolosKL[[#This Row],[STATUS]]="APROVADO",ProtocolosKL[[#This Row],[WAIVER]]=""),"Y","")</f>
        <v/>
      </c>
      <c r="U132" t="s">
        <v>2458</v>
      </c>
      <c r="V132" s="16" t="str">
        <f t="shared" si="2"/>
        <v xml:space="preserve">FHKPPWBIANCHI DE PALMA/RODRIGO </v>
      </c>
      <c r="W132">
        <v>182</v>
      </c>
    </row>
    <row r="133" spans="1:23" hidden="1">
      <c r="A133" s="1">
        <v>45153</v>
      </c>
      <c r="B133" t="s">
        <v>11</v>
      </c>
      <c r="C133" t="s">
        <v>2459</v>
      </c>
      <c r="D133" s="23" t="s">
        <v>2459</v>
      </c>
      <c r="E133" t="s">
        <v>73</v>
      </c>
      <c r="F133" s="19">
        <v>57564931</v>
      </c>
      <c r="G133" s="53">
        <v>744101707759</v>
      </c>
      <c r="H133" s="52">
        <v>12</v>
      </c>
      <c r="I133" s="5" t="s">
        <v>74</v>
      </c>
      <c r="J133" s="52" cm="1">
        <f t="array" ref="J13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12</v>
      </c>
      <c r="K133" s="15" t="s">
        <v>2460</v>
      </c>
      <c r="L133" s="54" t="s">
        <v>172</v>
      </c>
      <c r="M133" t="s">
        <v>43</v>
      </c>
      <c r="N133" s="15" t="s">
        <v>85</v>
      </c>
      <c r="O133" s="5" t="s">
        <v>436</v>
      </c>
      <c r="P133" s="17" t="s">
        <v>69</v>
      </c>
      <c r="Q133" s="10" t="s">
        <v>2308</v>
      </c>
      <c r="R133" s="11">
        <v>45153</v>
      </c>
      <c r="S133" s="10" t="s">
        <v>173</v>
      </c>
      <c r="T133" s="3" t="str">
        <f>IF(AND(ProtocolosKL[[#This Row],[STATUS]]="APROVADO",ProtocolosKL[[#This Row],[WAIVER]]=""),"Y","")</f>
        <v/>
      </c>
      <c r="U133" t="s">
        <v>2461</v>
      </c>
      <c r="V133" s="16" t="str">
        <f t="shared" si="2"/>
        <v>47LTIWDE SIQUEIRA BISINELI/GESE MEIRI12</v>
      </c>
      <c r="W133">
        <v>185</v>
      </c>
    </row>
    <row r="134" spans="1:23" hidden="1">
      <c r="A134" s="1">
        <v>45153</v>
      </c>
      <c r="B134" t="s">
        <v>11</v>
      </c>
      <c r="C134" t="s">
        <v>2462</v>
      </c>
      <c r="D134" s="23" t="s">
        <v>2462</v>
      </c>
      <c r="E134" t="s">
        <v>73</v>
      </c>
      <c r="F134" s="19">
        <v>57564931</v>
      </c>
      <c r="G134" s="53">
        <v>744101707768</v>
      </c>
      <c r="H134" s="52">
        <v>12</v>
      </c>
      <c r="I134" s="5" t="s">
        <v>74</v>
      </c>
      <c r="J134" s="52" cm="1">
        <f t="array" ref="J13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12</v>
      </c>
      <c r="K134" s="15" t="s">
        <v>2460</v>
      </c>
      <c r="L134" s="54" t="s">
        <v>172</v>
      </c>
      <c r="M134" t="s">
        <v>43</v>
      </c>
      <c r="N134" s="15" t="s">
        <v>85</v>
      </c>
      <c r="O134" s="5" t="s">
        <v>167</v>
      </c>
      <c r="P134" s="17" t="s">
        <v>69</v>
      </c>
      <c r="Q134" s="10" t="s">
        <v>2308</v>
      </c>
      <c r="R134" s="11">
        <v>45153</v>
      </c>
      <c r="S134" s="10" t="s">
        <v>173</v>
      </c>
      <c r="T134" s="3" t="str">
        <f>IF(AND(ProtocolosKL[[#This Row],[STATUS]]="APROVADO",ProtocolosKL[[#This Row],[WAIVER]]=""),"Y","")</f>
        <v/>
      </c>
      <c r="U134" t="s">
        <v>2463</v>
      </c>
      <c r="V134" s="16" t="str">
        <f t="shared" si="2"/>
        <v>47KGS3DE SIQUEIRA BISINELI/GESE MEIRI</v>
      </c>
      <c r="W134">
        <v>184</v>
      </c>
    </row>
    <row r="135" spans="1:23" hidden="1">
      <c r="A135" s="1">
        <v>45153</v>
      </c>
      <c r="B135" t="s">
        <v>10</v>
      </c>
      <c r="C135" t="s">
        <v>2464</v>
      </c>
      <c r="D135" s="23" t="s">
        <v>2465</v>
      </c>
      <c r="E135" t="s">
        <v>41</v>
      </c>
      <c r="F135" s="19">
        <v>57564931</v>
      </c>
      <c r="G135" s="53">
        <v>749375348687</v>
      </c>
      <c r="H135" s="52">
        <v>1751</v>
      </c>
      <c r="I135" s="5">
        <v>0.12</v>
      </c>
      <c r="J135" s="52" cm="1">
        <f t="array" ref="J13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211</v>
      </c>
      <c r="K135" s="15" t="s">
        <v>189</v>
      </c>
      <c r="L135" s="54" t="s">
        <v>76</v>
      </c>
      <c r="M135" t="s">
        <v>43</v>
      </c>
      <c r="N135" s="15" t="s">
        <v>67</v>
      </c>
      <c r="O135" s="5" t="s">
        <v>164</v>
      </c>
      <c r="P135" s="17" t="s">
        <v>69</v>
      </c>
      <c r="Q135" s="10" t="s">
        <v>222</v>
      </c>
      <c r="R135" s="11">
        <v>45154</v>
      </c>
      <c r="S135" s="10" t="s">
        <v>48</v>
      </c>
      <c r="T135" s="3" t="str">
        <f>IF(AND(ProtocolosKL[[#This Row],[STATUS]]="APROVADO",ProtocolosKL[[#This Row],[WAIVER]]=""),"Y","")</f>
        <v/>
      </c>
      <c r="U135" t="s">
        <v>2466</v>
      </c>
      <c r="V135" s="16" t="str">
        <f t="shared" si="2"/>
        <v>NCCWOSFASSINA TOBAL/ANA CAROLINA</v>
      </c>
      <c r="W135">
        <v>186</v>
      </c>
    </row>
    <row r="136" spans="1:23" hidden="1">
      <c r="A136" s="1">
        <v>45153</v>
      </c>
      <c r="B136" t="s">
        <v>10</v>
      </c>
      <c r="C136" t="s">
        <v>2464</v>
      </c>
      <c r="D136" s="23" t="s">
        <v>2465</v>
      </c>
      <c r="E136" t="s">
        <v>41</v>
      </c>
      <c r="F136" s="19">
        <v>57564931</v>
      </c>
      <c r="G136" s="53">
        <v>749375348688</v>
      </c>
      <c r="H136" s="52">
        <v>1751</v>
      </c>
      <c r="I136" s="5">
        <v>0.12</v>
      </c>
      <c r="J136" s="52" cm="1">
        <f t="array" ref="J13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211</v>
      </c>
      <c r="K136" s="15" t="s">
        <v>189</v>
      </c>
      <c r="L136" s="54" t="s">
        <v>76</v>
      </c>
      <c r="M136" t="s">
        <v>43</v>
      </c>
      <c r="N136" s="15" t="s">
        <v>67</v>
      </c>
      <c r="O136" s="5" t="s">
        <v>164</v>
      </c>
      <c r="P136" s="17" t="s">
        <v>69</v>
      </c>
      <c r="Q136" s="10" t="s">
        <v>222</v>
      </c>
      <c r="R136" s="11">
        <v>45154</v>
      </c>
      <c r="S136" s="10" t="s">
        <v>48</v>
      </c>
      <c r="T136" s="3" t="str">
        <f>IF(AND(ProtocolosKL[[#This Row],[STATUS]]="APROVADO",ProtocolosKL[[#This Row],[WAIVER]]=""),"Y","")</f>
        <v/>
      </c>
      <c r="U136" t="s">
        <v>2467</v>
      </c>
      <c r="V136" s="16" t="str">
        <f t="shared" si="2"/>
        <v>NCCWOSTOBAL JUNIOR/MARCO ANTONIO</v>
      </c>
      <c r="W136">
        <v>186</v>
      </c>
    </row>
    <row r="137" spans="1:23" hidden="1">
      <c r="A137" s="1">
        <v>45153</v>
      </c>
      <c r="B137" t="s">
        <v>10</v>
      </c>
      <c r="C137" t="s">
        <v>2464</v>
      </c>
      <c r="D137" s="23" t="s">
        <v>2465</v>
      </c>
      <c r="E137" t="s">
        <v>41</v>
      </c>
      <c r="F137" s="19">
        <v>57564931</v>
      </c>
      <c r="G137" s="53">
        <v>749375348689</v>
      </c>
      <c r="H137" s="52">
        <v>1751</v>
      </c>
      <c r="I137" s="5">
        <v>0.12</v>
      </c>
      <c r="J137" s="52" cm="1">
        <f t="array" ref="J13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211</v>
      </c>
      <c r="K137" s="15" t="s">
        <v>189</v>
      </c>
      <c r="L137" s="54" t="s">
        <v>76</v>
      </c>
      <c r="M137" t="s">
        <v>43</v>
      </c>
      <c r="N137" s="15" t="s">
        <v>67</v>
      </c>
      <c r="O137" s="5" t="s">
        <v>164</v>
      </c>
      <c r="P137" s="17" t="s">
        <v>69</v>
      </c>
      <c r="Q137" s="10" t="s">
        <v>222</v>
      </c>
      <c r="R137" s="11">
        <v>45154</v>
      </c>
      <c r="S137" s="10" t="s">
        <v>48</v>
      </c>
      <c r="T137" s="3" t="str">
        <f>IF(AND(ProtocolosKL[[#This Row],[STATUS]]="APROVADO",ProtocolosKL[[#This Row],[WAIVER]]=""),"Y","")</f>
        <v/>
      </c>
      <c r="U137" t="s">
        <v>2468</v>
      </c>
      <c r="V137" s="16" t="str">
        <f t="shared" si="2"/>
        <v>NCCWOSFASSINA TOBAL/GABRIELA</v>
      </c>
      <c r="W137">
        <v>186</v>
      </c>
    </row>
    <row r="138" spans="1:23" hidden="1">
      <c r="A138" s="1">
        <v>45153</v>
      </c>
      <c r="B138" t="s">
        <v>10</v>
      </c>
      <c r="C138" t="s">
        <v>2464</v>
      </c>
      <c r="D138" s="23" t="s">
        <v>2465</v>
      </c>
      <c r="E138" t="s">
        <v>41</v>
      </c>
      <c r="F138" s="19">
        <v>57564931</v>
      </c>
      <c r="G138" s="53">
        <v>749375348690</v>
      </c>
      <c r="H138" s="52">
        <v>1751</v>
      </c>
      <c r="I138" s="5">
        <v>0.12</v>
      </c>
      <c r="J138" s="52" cm="1">
        <f t="array" ref="J13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211</v>
      </c>
      <c r="K138" s="15" t="s">
        <v>189</v>
      </c>
      <c r="L138" s="54" t="s">
        <v>76</v>
      </c>
      <c r="M138" t="s">
        <v>43</v>
      </c>
      <c r="N138" s="15" t="s">
        <v>67</v>
      </c>
      <c r="O138" s="5" t="s">
        <v>164</v>
      </c>
      <c r="P138" s="17" t="s">
        <v>69</v>
      </c>
      <c r="Q138" s="10" t="s">
        <v>222</v>
      </c>
      <c r="R138" s="11">
        <v>45154</v>
      </c>
      <c r="S138" s="10" t="s">
        <v>48</v>
      </c>
      <c r="T138" s="3" t="str">
        <f>IF(AND(ProtocolosKL[[#This Row],[STATUS]]="APROVADO",ProtocolosKL[[#This Row],[WAIVER]]=""),"Y","")</f>
        <v/>
      </c>
      <c r="U138" t="s">
        <v>2468</v>
      </c>
      <c r="V138" s="16" t="str">
        <f t="shared" si="2"/>
        <v>NCCWOSFASSINA TOBAL/GABRIELA</v>
      </c>
      <c r="W138">
        <v>186</v>
      </c>
    </row>
    <row r="139" spans="1:23" hidden="1">
      <c r="A139" s="1">
        <v>45153</v>
      </c>
      <c r="B139" t="s">
        <v>10</v>
      </c>
      <c r="C139" t="s">
        <v>2464</v>
      </c>
      <c r="D139" s="23" t="s">
        <v>2465</v>
      </c>
      <c r="E139" t="s">
        <v>41</v>
      </c>
      <c r="F139" s="19">
        <v>57564931</v>
      </c>
      <c r="G139" s="53">
        <v>749375348691</v>
      </c>
      <c r="H139" s="52">
        <v>1751</v>
      </c>
      <c r="I139" s="5">
        <v>0.12</v>
      </c>
      <c r="J139" s="52" cm="1">
        <f t="array" ref="J13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211</v>
      </c>
      <c r="K139" s="15" t="s">
        <v>189</v>
      </c>
      <c r="L139" s="54" t="s">
        <v>76</v>
      </c>
      <c r="M139" t="s">
        <v>43</v>
      </c>
      <c r="N139" s="15" t="s">
        <v>67</v>
      </c>
      <c r="O139" s="5" t="s">
        <v>164</v>
      </c>
      <c r="P139" s="17" t="s">
        <v>69</v>
      </c>
      <c r="Q139" s="10" t="s">
        <v>222</v>
      </c>
      <c r="R139" s="11">
        <v>45154</v>
      </c>
      <c r="S139" s="10" t="s">
        <v>48</v>
      </c>
      <c r="T139" s="3" t="str">
        <f>IF(AND(ProtocolosKL[[#This Row],[STATUS]]="APROVADO",ProtocolosKL[[#This Row],[WAIVER]]=""),"Y","")</f>
        <v/>
      </c>
      <c r="U139" t="s">
        <v>2469</v>
      </c>
      <c r="V139" s="16" t="str">
        <f t="shared" si="2"/>
        <v>NCCWOSFASSINA TOBAL/SOPHIA</v>
      </c>
      <c r="W139">
        <v>186</v>
      </c>
    </row>
    <row r="140" spans="1:23" hidden="1">
      <c r="A140" s="1">
        <v>45154</v>
      </c>
      <c r="B140" t="s">
        <v>10</v>
      </c>
      <c r="C140" t="s">
        <v>2470</v>
      </c>
      <c r="D140" s="23" t="s">
        <v>2471</v>
      </c>
      <c r="E140" t="s">
        <v>73</v>
      </c>
      <c r="F140" s="19">
        <v>57490484</v>
      </c>
      <c r="G140" s="53">
        <v>744101707790</v>
      </c>
      <c r="H140" s="52">
        <v>174</v>
      </c>
      <c r="I140" s="5" t="s">
        <v>74</v>
      </c>
      <c r="J140" s="52" cm="1">
        <f t="array" ref="J14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174</v>
      </c>
      <c r="K140" s="15" t="s">
        <v>2472</v>
      </c>
      <c r="L140" s="54" t="s">
        <v>172</v>
      </c>
      <c r="M140" t="s">
        <v>43</v>
      </c>
      <c r="N140" s="15" t="s">
        <v>67</v>
      </c>
      <c r="O140" s="5" t="s">
        <v>564</v>
      </c>
      <c r="P140" s="17" t="s">
        <v>146</v>
      </c>
      <c r="Q140" s="10" t="s">
        <v>222</v>
      </c>
      <c r="R140" s="11">
        <v>45159</v>
      </c>
      <c r="S140" s="10" t="s">
        <v>173</v>
      </c>
      <c r="T140" s="3" t="str">
        <f>IF(AND(ProtocolosKL[[#This Row],[STATUS]]="APROVADO",ProtocolosKL[[#This Row],[WAIVER]]=""),"Y","")</f>
        <v/>
      </c>
      <c r="U140" t="s">
        <v>2473</v>
      </c>
      <c r="V140" s="16" t="str">
        <f t="shared" si="2"/>
        <v>LZOFJHOLIVEIRA/WENDER</v>
      </c>
      <c r="W140">
        <v>187</v>
      </c>
    </row>
    <row r="141" spans="1:23" hidden="1">
      <c r="A141" s="1">
        <v>45154</v>
      </c>
      <c r="B141" t="s">
        <v>10</v>
      </c>
      <c r="C141" t="s">
        <v>2474</v>
      </c>
      <c r="D141" s="23" t="s">
        <v>2475</v>
      </c>
      <c r="E141" t="s">
        <v>73</v>
      </c>
      <c r="F141" s="19">
        <v>57490484</v>
      </c>
      <c r="G141" s="53">
        <v>574200484317</v>
      </c>
      <c r="H141" s="52">
        <v>174</v>
      </c>
      <c r="I141" s="5" t="s">
        <v>74</v>
      </c>
      <c r="J141" s="52" cm="1">
        <f t="array" ref="J14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174</v>
      </c>
      <c r="K141" s="15" t="s">
        <v>2472</v>
      </c>
      <c r="L141" s="54" t="s">
        <v>172</v>
      </c>
      <c r="M141" t="s">
        <v>43</v>
      </c>
      <c r="N141" s="15" t="s">
        <v>67</v>
      </c>
      <c r="O141" s="5" t="s">
        <v>564</v>
      </c>
      <c r="P141" s="17" t="s">
        <v>69</v>
      </c>
      <c r="Q141" s="10" t="s">
        <v>222</v>
      </c>
      <c r="R141" s="11">
        <v>45159</v>
      </c>
      <c r="S141" s="10" t="s">
        <v>173</v>
      </c>
      <c r="T141" s="3" t="str">
        <f>IF(AND(ProtocolosKL[[#This Row],[STATUS]]="APROVADO",ProtocolosKL[[#This Row],[WAIVER]]=""),"Y","")</f>
        <v/>
      </c>
      <c r="U141" t="s">
        <v>2476</v>
      </c>
      <c r="V141" s="16" t="str">
        <f t="shared" si="2"/>
        <v>ITAOIHASPRINO PINHEIRO/PERSIO</v>
      </c>
      <c r="W141">
        <v>188</v>
      </c>
    </row>
    <row r="142" spans="1:23" hidden="1">
      <c r="A142" s="1">
        <v>45155</v>
      </c>
      <c r="B142" t="s">
        <v>10</v>
      </c>
      <c r="C142" t="s">
        <v>2477</v>
      </c>
      <c r="D142" s="23" t="s">
        <v>2478</v>
      </c>
      <c r="E142" t="s">
        <v>41</v>
      </c>
      <c r="F142" s="19">
        <v>57564931</v>
      </c>
      <c r="G142" s="53">
        <v>749375360169</v>
      </c>
      <c r="H142" s="52">
        <v>1912</v>
      </c>
      <c r="I142" s="5">
        <v>0.18</v>
      </c>
      <c r="J142" s="52" cm="1">
        <f t="array" ref="J14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345</v>
      </c>
      <c r="K142" s="15" t="s">
        <v>189</v>
      </c>
      <c r="L142" s="54" t="s">
        <v>76</v>
      </c>
      <c r="M142" t="s">
        <v>43</v>
      </c>
      <c r="N142" s="15" t="s">
        <v>67</v>
      </c>
      <c r="O142" s="5" t="s">
        <v>134</v>
      </c>
      <c r="P142" s="17" t="s">
        <v>69</v>
      </c>
      <c r="Q142" s="10" t="s">
        <v>222</v>
      </c>
      <c r="R142" s="11">
        <v>45156</v>
      </c>
      <c r="S142" s="10" t="s">
        <v>48</v>
      </c>
      <c r="T142" s="3" t="str">
        <f>IF(AND(ProtocolosKL[[#This Row],[STATUS]]="APROVADO",ProtocolosKL[[#This Row],[WAIVER]]=""),"Y","")</f>
        <v/>
      </c>
      <c r="U142" t="s">
        <v>2479</v>
      </c>
      <c r="V142" s="16" t="str">
        <f t="shared" si="2"/>
        <v>IPZZUPCARVALHO TEIXEIRA/PEDRO PAULO</v>
      </c>
      <c r="W142">
        <v>191</v>
      </c>
    </row>
    <row r="143" spans="1:23" hidden="1">
      <c r="A143" s="1">
        <v>45155</v>
      </c>
      <c r="B143" t="s">
        <v>10</v>
      </c>
      <c r="C143" t="s">
        <v>2477</v>
      </c>
      <c r="D143" s="23" t="s">
        <v>2478</v>
      </c>
      <c r="E143" t="s">
        <v>41</v>
      </c>
      <c r="F143" s="19"/>
      <c r="G143" s="53"/>
      <c r="H143" s="52">
        <v>338</v>
      </c>
      <c r="I143" s="5">
        <v>0.12</v>
      </c>
      <c r="J143" s="52" t="str" cm="1">
        <f t="array" ref="J14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143" s="15" t="s">
        <v>189</v>
      </c>
      <c r="L143" s="54" t="s">
        <v>76</v>
      </c>
      <c r="M143" t="s">
        <v>217</v>
      </c>
      <c r="N143" s="15" t="s">
        <v>67</v>
      </c>
      <c r="O143" s="5" t="s">
        <v>134</v>
      </c>
      <c r="P143" s="17" t="s">
        <v>69</v>
      </c>
      <c r="Q143" s="10"/>
      <c r="R143" s="11"/>
      <c r="S143" s="10"/>
      <c r="T143" s="3" t="str">
        <f>IF(AND(ProtocolosKL[[#This Row],[STATUS]]="APROVADO",ProtocolosKL[[#This Row],[WAIVER]]=""),"Y","")</f>
        <v/>
      </c>
      <c r="U143" t="s">
        <v>2480</v>
      </c>
      <c r="V143" s="16" t="str">
        <f t="shared" si="2"/>
        <v>IPZZUP1CARVALHO TEIXEIRA/PEDRO PAULO</v>
      </c>
      <c r="W143">
        <v>190</v>
      </c>
    </row>
    <row r="144" spans="1:23" hidden="1">
      <c r="A144" s="1">
        <v>45156</v>
      </c>
      <c r="B144" t="s">
        <v>11</v>
      </c>
      <c r="C144" t="s">
        <v>2481</v>
      </c>
      <c r="D144" s="23" t="s">
        <v>2481</v>
      </c>
      <c r="E144" t="s">
        <v>41</v>
      </c>
      <c r="F144" s="19">
        <v>57564931</v>
      </c>
      <c r="G144" s="53">
        <v>749057549525</v>
      </c>
      <c r="H144" s="52">
        <v>3569</v>
      </c>
      <c r="I144" s="5">
        <v>0.1</v>
      </c>
      <c r="J144" s="52" cm="1">
        <f t="array" ref="J14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357</v>
      </c>
      <c r="K144" s="15" t="s">
        <v>84</v>
      </c>
      <c r="L144" s="54" t="s">
        <v>76</v>
      </c>
      <c r="M144" t="s">
        <v>43</v>
      </c>
      <c r="N144" s="15" t="s">
        <v>85</v>
      </c>
      <c r="O144" s="5" t="s">
        <v>682</v>
      </c>
      <c r="P144" s="17" t="s">
        <v>146</v>
      </c>
      <c r="Q144" s="10" t="s">
        <v>353</v>
      </c>
      <c r="R144" s="11">
        <v>45159</v>
      </c>
      <c r="S144" s="10" t="s">
        <v>48</v>
      </c>
      <c r="T144" s="3" t="str">
        <f>IF(AND(ProtocolosKL[[#This Row],[STATUS]]="APROVADO",ProtocolosKL[[#This Row],[WAIVER]]=""),"Y","")</f>
        <v/>
      </c>
      <c r="U144" t="s">
        <v>2482</v>
      </c>
      <c r="V144" s="16" t="str">
        <f t="shared" ref="V144:V207" si="3">_xlfn.CONCAT(C144,U144)</f>
        <v>3HWUXEDE SOUZA MARANGONI/FERNANDO JOSE</v>
      </c>
      <c r="W144">
        <v>192</v>
      </c>
    </row>
    <row r="145" spans="1:23" hidden="1">
      <c r="A145" s="1">
        <v>45156</v>
      </c>
      <c r="B145" t="s">
        <v>12</v>
      </c>
      <c r="C145" t="s">
        <v>2483</v>
      </c>
      <c r="D145" s="23" t="s">
        <v>2483</v>
      </c>
      <c r="E145" t="s">
        <v>41</v>
      </c>
      <c r="F145" s="19">
        <v>57564931</v>
      </c>
      <c r="G145" s="53">
        <v>749057554292</v>
      </c>
      <c r="H145" s="52">
        <v>1914</v>
      </c>
      <c r="I145" s="5">
        <v>0.12</v>
      </c>
      <c r="J145" s="52" cm="1">
        <f t="array" ref="J14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230</v>
      </c>
      <c r="K145" s="15" t="s">
        <v>1795</v>
      </c>
      <c r="L145" s="54" t="s">
        <v>76</v>
      </c>
      <c r="M145" t="s">
        <v>43</v>
      </c>
      <c r="N145" s="15" t="s">
        <v>44</v>
      </c>
      <c r="O145" s="5" t="s">
        <v>915</v>
      </c>
      <c r="P145" s="17" t="s">
        <v>69</v>
      </c>
      <c r="Q145" s="10" t="s">
        <v>229</v>
      </c>
      <c r="R145" s="11">
        <v>45159</v>
      </c>
      <c r="S145" s="10" t="s">
        <v>48</v>
      </c>
      <c r="T145" s="3" t="str">
        <f>IF(AND(ProtocolosKL[[#This Row],[STATUS]]="APROVADO",ProtocolosKL[[#This Row],[WAIVER]]=""),"Y","")</f>
        <v/>
      </c>
      <c r="U145" t="s">
        <v>2484</v>
      </c>
      <c r="V145" s="16" t="str">
        <f t="shared" si="3"/>
        <v>3JEHZKMORAES MARCONDES/GISLAINE</v>
      </c>
      <c r="W145">
        <v>193</v>
      </c>
    </row>
    <row r="146" spans="1:23" hidden="1">
      <c r="A146" s="1">
        <v>45156</v>
      </c>
      <c r="B146" t="s">
        <v>12</v>
      </c>
      <c r="C146" t="s">
        <v>2483</v>
      </c>
      <c r="D146" s="23" t="s">
        <v>2483</v>
      </c>
      <c r="E146" t="s">
        <v>41</v>
      </c>
      <c r="F146" s="19">
        <v>57564931</v>
      </c>
      <c r="G146" s="53">
        <v>749057554293</v>
      </c>
      <c r="H146" s="52">
        <v>1914</v>
      </c>
      <c r="I146" s="5">
        <v>0.12</v>
      </c>
      <c r="J146" s="52" cm="1">
        <f t="array" ref="J14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230</v>
      </c>
      <c r="K146" s="15" t="s">
        <v>1795</v>
      </c>
      <c r="L146" s="54" t="s">
        <v>76</v>
      </c>
      <c r="M146" t="s">
        <v>43</v>
      </c>
      <c r="N146" s="15" t="s">
        <v>44</v>
      </c>
      <c r="O146" s="5" t="s">
        <v>915</v>
      </c>
      <c r="P146" s="17" t="s">
        <v>69</v>
      </c>
      <c r="Q146" s="10" t="s">
        <v>229</v>
      </c>
      <c r="R146" s="11">
        <v>45159</v>
      </c>
      <c r="S146" s="10" t="s">
        <v>48</v>
      </c>
      <c r="T146" s="3" t="str">
        <f>IF(AND(ProtocolosKL[[#This Row],[STATUS]]="APROVADO",ProtocolosKL[[#This Row],[WAIVER]]=""),"Y","")</f>
        <v/>
      </c>
      <c r="U146" t="s">
        <v>2485</v>
      </c>
      <c r="V146" s="16" t="str">
        <f t="shared" si="3"/>
        <v>3JEHZKPEREIRA DE SOUZA/VINILTON CEZAR</v>
      </c>
      <c r="W146">
        <v>193</v>
      </c>
    </row>
    <row r="147" spans="1:23" hidden="1">
      <c r="A147" s="1">
        <v>45159</v>
      </c>
      <c r="B147" t="s">
        <v>15</v>
      </c>
      <c r="C147" t="s">
        <v>2486</v>
      </c>
      <c r="D147" s="23" t="s">
        <v>2487</v>
      </c>
      <c r="E147" t="s">
        <v>41</v>
      </c>
      <c r="F147" s="19"/>
      <c r="G147" s="53"/>
      <c r="H147" s="52">
        <v>724</v>
      </c>
      <c r="I147" s="5">
        <v>0.15</v>
      </c>
      <c r="J147" s="52" t="str" cm="1">
        <f t="array" ref="J14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147" s="15" t="s">
        <v>177</v>
      </c>
      <c r="L147" s="54" t="s">
        <v>76</v>
      </c>
      <c r="M147" t="s">
        <v>217</v>
      </c>
      <c r="N147" s="15" t="s">
        <v>77</v>
      </c>
      <c r="O147" s="5" t="s">
        <v>145</v>
      </c>
      <c r="P147" s="17" t="s">
        <v>69</v>
      </c>
      <c r="Q147" s="10"/>
      <c r="R147" s="11"/>
      <c r="S147" s="10"/>
      <c r="T147" s="3" t="str">
        <f>IF(AND(ProtocolosKL[[#This Row],[STATUS]]="APROVADO",ProtocolosKL[[#This Row],[WAIVER]]=""),"Y","")</f>
        <v/>
      </c>
      <c r="U147" t="s">
        <v>2488</v>
      </c>
      <c r="V147" s="16" t="str">
        <f t="shared" si="3"/>
        <v>NQQVOHLEITE DE OLIVEIRA FILHO/WELLINGTON MR</v>
      </c>
      <c r="W147">
        <v>195</v>
      </c>
    </row>
    <row r="148" spans="1:23" hidden="1">
      <c r="A148" s="1">
        <v>45159</v>
      </c>
      <c r="B148" t="s">
        <v>15</v>
      </c>
      <c r="C148" t="s">
        <v>2486</v>
      </c>
      <c r="D148" s="23" t="s">
        <v>2487</v>
      </c>
      <c r="E148" t="s">
        <v>41</v>
      </c>
      <c r="F148" s="19"/>
      <c r="G148" s="53"/>
      <c r="H148" s="52">
        <v>850</v>
      </c>
      <c r="I148" s="5">
        <v>0.15</v>
      </c>
      <c r="J148" s="52" t="str" cm="1">
        <f t="array" ref="J14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148" s="15" t="s">
        <v>177</v>
      </c>
      <c r="L148" s="54" t="s">
        <v>76</v>
      </c>
      <c r="M148" t="s">
        <v>100</v>
      </c>
      <c r="N148" s="15" t="s">
        <v>77</v>
      </c>
      <c r="O148" s="5" t="s">
        <v>145</v>
      </c>
      <c r="P148" s="17" t="s">
        <v>69</v>
      </c>
      <c r="Q148" s="10"/>
      <c r="R148" s="11"/>
      <c r="S148" s="10"/>
      <c r="T148" s="3" t="str">
        <f>IF(AND(ProtocolosKL[[#This Row],[STATUS]]="APROVADO",ProtocolosKL[[#This Row],[WAIVER]]=""),"Y","")</f>
        <v/>
      </c>
      <c r="U148" t="s">
        <v>2488</v>
      </c>
      <c r="V148" s="16" t="str">
        <f t="shared" si="3"/>
        <v>NQQVOHLEITE DE OLIVEIRA FILHO/WELLINGTON MR</v>
      </c>
      <c r="W148">
        <v>198</v>
      </c>
    </row>
    <row r="149" spans="1:23" hidden="1">
      <c r="A149" s="1">
        <v>45160</v>
      </c>
      <c r="B149" t="s">
        <v>10</v>
      </c>
      <c r="C149" t="s">
        <v>2489</v>
      </c>
      <c r="D149" s="23" t="s">
        <v>2490</v>
      </c>
      <c r="E149" t="s">
        <v>73</v>
      </c>
      <c r="F149" s="19">
        <v>57490484</v>
      </c>
      <c r="G149" s="53">
        <v>744101707922</v>
      </c>
      <c r="H149" s="52">
        <v>85</v>
      </c>
      <c r="I149" s="5" t="s">
        <v>74</v>
      </c>
      <c r="J149" s="52" cm="1">
        <f t="array" ref="J14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85</v>
      </c>
      <c r="K149" s="15" t="s">
        <v>144</v>
      </c>
      <c r="L149" s="54" t="s">
        <v>172</v>
      </c>
      <c r="M149" t="s">
        <v>43</v>
      </c>
      <c r="N149" s="15" t="s">
        <v>67</v>
      </c>
      <c r="O149" s="5" t="s">
        <v>1192</v>
      </c>
      <c r="P149" s="17" t="s">
        <v>146</v>
      </c>
      <c r="Q149" s="10" t="s">
        <v>1249</v>
      </c>
      <c r="R149" s="11">
        <v>45161</v>
      </c>
      <c r="S149" s="10" t="s">
        <v>173</v>
      </c>
      <c r="T149" s="3" t="str">
        <f>IF(AND(ProtocolosKL[[#This Row],[STATUS]]="APROVADO",ProtocolosKL[[#This Row],[WAIVER]]=""),"Y","")</f>
        <v/>
      </c>
      <c r="U149" t="s">
        <v>2491</v>
      </c>
      <c r="V149" s="16" t="str">
        <f t="shared" si="3"/>
        <v>KIFPQH1.1GUIMARAES RODRIGUEZ MOURA/BRUNO</v>
      </c>
      <c r="W149">
        <v>200</v>
      </c>
    </row>
    <row r="150" spans="1:23" hidden="1">
      <c r="A150" s="1">
        <v>45163</v>
      </c>
      <c r="B150" t="s">
        <v>11</v>
      </c>
      <c r="C150" t="s">
        <v>2492</v>
      </c>
      <c r="D150" s="23" t="s">
        <v>2493</v>
      </c>
      <c r="E150" t="s">
        <v>41</v>
      </c>
      <c r="F150" s="19">
        <v>57564931</v>
      </c>
      <c r="G150" s="53">
        <v>749057600529</v>
      </c>
      <c r="H150" s="52">
        <v>1446</v>
      </c>
      <c r="I150" s="5">
        <v>0.1</v>
      </c>
      <c r="J150" s="52" cm="1">
        <f t="array" ref="J15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145</v>
      </c>
      <c r="K150" s="15" t="s">
        <v>84</v>
      </c>
      <c r="L150" s="54" t="s">
        <v>76</v>
      </c>
      <c r="M150" t="s">
        <v>43</v>
      </c>
      <c r="N150" s="15" t="s">
        <v>85</v>
      </c>
      <c r="O150" s="5" t="s">
        <v>597</v>
      </c>
      <c r="P150" s="17" t="s">
        <v>69</v>
      </c>
      <c r="Q150" s="10" t="s">
        <v>353</v>
      </c>
      <c r="R150" s="11">
        <v>45170</v>
      </c>
      <c r="S150" s="10" t="s">
        <v>48</v>
      </c>
      <c r="T150" s="3" t="str">
        <f>IF(AND(ProtocolosKL[[#This Row],[STATUS]]="APROVADO",ProtocolosKL[[#This Row],[WAIVER]]=""),"Y","")</f>
        <v/>
      </c>
      <c r="U150" t="s">
        <v>2494</v>
      </c>
      <c r="V150" s="16" t="str">
        <f t="shared" si="3"/>
        <v>4JQDWDCHANGSHENG/SHU</v>
      </c>
      <c r="W150">
        <v>204</v>
      </c>
    </row>
    <row r="151" spans="1:23" hidden="1">
      <c r="A151" s="1">
        <v>45173</v>
      </c>
      <c r="B151" t="s">
        <v>11</v>
      </c>
      <c r="C151" t="s">
        <v>2495</v>
      </c>
      <c r="D151" s="23" t="s">
        <v>2495</v>
      </c>
      <c r="E151" t="s">
        <v>41</v>
      </c>
      <c r="F151" s="19">
        <v>57564931</v>
      </c>
      <c r="G151" s="53">
        <v>749057644358</v>
      </c>
      <c r="H151" s="52">
        <v>1360</v>
      </c>
      <c r="I151" s="5">
        <v>0.1</v>
      </c>
      <c r="J151" s="52" cm="1">
        <f t="array" ref="J15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136</v>
      </c>
      <c r="K151" s="15" t="s">
        <v>84</v>
      </c>
      <c r="L151" s="54" t="s">
        <v>76</v>
      </c>
      <c r="M151" t="s">
        <v>43</v>
      </c>
      <c r="N151" s="15" t="s">
        <v>85</v>
      </c>
      <c r="O151" s="5" t="s">
        <v>2496</v>
      </c>
      <c r="P151" s="17" t="s">
        <v>69</v>
      </c>
      <c r="Q151" s="10" t="s">
        <v>353</v>
      </c>
      <c r="R151" s="11">
        <v>45181</v>
      </c>
      <c r="S151" s="10" t="s">
        <v>48</v>
      </c>
      <c r="T151" s="3" t="str">
        <f>IF(AND(ProtocolosKL[[#This Row],[STATUS]]="APROVADO",ProtocolosKL[[#This Row],[WAIVER]]=""),"Y","")</f>
        <v/>
      </c>
      <c r="U151" t="s">
        <v>2497</v>
      </c>
      <c r="V151" s="16" t="str">
        <f t="shared" si="3"/>
        <v>3EJEA2BARBOSA LIMA/ADSO</v>
      </c>
      <c r="W151">
        <v>219</v>
      </c>
    </row>
    <row r="152" spans="1:23" hidden="1">
      <c r="A152" s="1">
        <v>45174</v>
      </c>
      <c r="B152" t="s">
        <v>13</v>
      </c>
      <c r="C152" t="s">
        <v>2498</v>
      </c>
      <c r="D152" s="23" t="s">
        <v>2499</v>
      </c>
      <c r="E152" t="s">
        <v>207</v>
      </c>
      <c r="F152" s="19"/>
      <c r="G152" s="53"/>
      <c r="H152" s="52">
        <v>84</v>
      </c>
      <c r="I152" s="5" t="s">
        <v>74</v>
      </c>
      <c r="J152" s="52" t="str" cm="1">
        <f t="array" ref="J15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152" s="15" t="s">
        <v>1095</v>
      </c>
      <c r="L152" s="54" t="s">
        <v>513</v>
      </c>
      <c r="M152" t="s">
        <v>100</v>
      </c>
      <c r="N152" s="15" t="s">
        <v>44</v>
      </c>
      <c r="O152" s="5" t="s">
        <v>2500</v>
      </c>
      <c r="P152" s="17" t="s">
        <v>146</v>
      </c>
      <c r="Q152" s="10"/>
      <c r="R152" s="11"/>
      <c r="S152" s="10"/>
      <c r="T152" s="3" t="str">
        <f>IF(AND(ProtocolosKL[[#This Row],[STATUS]]="APROVADO",ProtocolosKL[[#This Row],[WAIVER]]=""),"Y","")</f>
        <v/>
      </c>
      <c r="U152" t="s">
        <v>2501</v>
      </c>
      <c r="V152" s="16" t="str">
        <f t="shared" si="3"/>
        <v>55KS33GODOI/SORAIA DE FATIMA</v>
      </c>
      <c r="W152">
        <v>220</v>
      </c>
    </row>
    <row r="153" spans="1:23" hidden="1">
      <c r="A153" s="1">
        <v>45174</v>
      </c>
      <c r="B153" t="s">
        <v>13</v>
      </c>
      <c r="C153" t="s">
        <v>2502</v>
      </c>
      <c r="D153" s="23" t="s">
        <v>2503</v>
      </c>
      <c r="E153" t="s">
        <v>207</v>
      </c>
      <c r="F153" s="19"/>
      <c r="G153" s="53"/>
      <c r="H153" s="52">
        <v>84</v>
      </c>
      <c r="I153" s="5" t="s">
        <v>74</v>
      </c>
      <c r="J153" s="52" t="str" cm="1">
        <f t="array" ref="J15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153" s="15" t="s">
        <v>1095</v>
      </c>
      <c r="L153" s="54" t="s">
        <v>513</v>
      </c>
      <c r="M153" t="s">
        <v>100</v>
      </c>
      <c r="N153" s="15" t="s">
        <v>44</v>
      </c>
      <c r="O153" s="5" t="s">
        <v>2504</v>
      </c>
      <c r="P153" s="17" t="s">
        <v>146</v>
      </c>
      <c r="Q153" s="10"/>
      <c r="R153" s="11"/>
      <c r="S153" s="10"/>
      <c r="T153" s="3" t="str">
        <f>IF(AND(ProtocolosKL[[#This Row],[STATUS]]="APROVADO",ProtocolosKL[[#This Row],[WAIVER]]=""),"Y","")</f>
        <v/>
      </c>
      <c r="U153" t="s">
        <v>2505</v>
      </c>
      <c r="V153" s="16" t="str">
        <f t="shared" si="3"/>
        <v>55L27PPORTELLA DE MELLO LIMA/VANESSA</v>
      </c>
      <c r="W153">
        <v>221</v>
      </c>
    </row>
    <row r="154" spans="1:23" hidden="1">
      <c r="A154" s="1">
        <v>45174</v>
      </c>
      <c r="B154" t="s">
        <v>13</v>
      </c>
      <c r="C154" t="s">
        <v>2506</v>
      </c>
      <c r="D154" s="23" t="s">
        <v>2506</v>
      </c>
      <c r="E154" t="s">
        <v>512</v>
      </c>
      <c r="F154" s="19">
        <v>57564931</v>
      </c>
      <c r="G154" s="53">
        <v>749057653374</v>
      </c>
      <c r="H154" s="52">
        <v>186</v>
      </c>
      <c r="I154" s="5" t="s">
        <v>74</v>
      </c>
      <c r="J154" s="52" cm="1">
        <f t="array" ref="J15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186</v>
      </c>
      <c r="K154" s="15" t="s">
        <v>1095</v>
      </c>
      <c r="L154" s="54" t="s">
        <v>513</v>
      </c>
      <c r="M154" t="s">
        <v>43</v>
      </c>
      <c r="N154" s="15" t="s">
        <v>44</v>
      </c>
      <c r="O154" s="5" t="s">
        <v>2507</v>
      </c>
      <c r="P154" s="17" t="s">
        <v>146</v>
      </c>
      <c r="Q154" s="10" t="s">
        <v>291</v>
      </c>
      <c r="R154" s="11">
        <v>45174</v>
      </c>
      <c r="S154" s="10" t="s">
        <v>2508</v>
      </c>
      <c r="T154" s="3" t="str">
        <f>IF(AND(ProtocolosKL[[#This Row],[STATUS]]="APROVADO",ProtocolosKL[[#This Row],[WAIVER]]=""),"Y","")</f>
        <v/>
      </c>
      <c r="U154" t="s">
        <v>2505</v>
      </c>
      <c r="V154" s="16" t="str">
        <f t="shared" si="3"/>
        <v>3KJVKYPORTELLA DE MELLO LIMA/VANESSA</v>
      </c>
      <c r="W154">
        <v>223</v>
      </c>
    </row>
    <row r="155" spans="1:23" hidden="1">
      <c r="A155" s="1">
        <v>45174</v>
      </c>
      <c r="B155" t="s">
        <v>13</v>
      </c>
      <c r="C155" t="s">
        <v>2509</v>
      </c>
      <c r="D155" s="23" t="s">
        <v>2509</v>
      </c>
      <c r="E155" t="s">
        <v>512</v>
      </c>
      <c r="F155" s="19">
        <v>57564931</v>
      </c>
      <c r="G155" s="53">
        <v>749057653373</v>
      </c>
      <c r="H155" s="52">
        <v>186</v>
      </c>
      <c r="I155" s="5" t="s">
        <v>74</v>
      </c>
      <c r="J155" s="52" cm="1">
        <f t="array" ref="J15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186</v>
      </c>
      <c r="K155" s="15" t="s">
        <v>1095</v>
      </c>
      <c r="L155" s="54" t="s">
        <v>513</v>
      </c>
      <c r="M155" t="s">
        <v>43</v>
      </c>
      <c r="N155" s="15" t="s">
        <v>44</v>
      </c>
      <c r="O155" s="5" t="s">
        <v>2510</v>
      </c>
      <c r="P155" s="17" t="s">
        <v>146</v>
      </c>
      <c r="Q155" s="10" t="s">
        <v>291</v>
      </c>
      <c r="R155" s="11">
        <v>45174</v>
      </c>
      <c r="S155" s="10" t="s">
        <v>2511</v>
      </c>
      <c r="T155" s="3" t="str">
        <f>IF(AND(ProtocolosKL[[#This Row],[STATUS]]="APROVADO",ProtocolosKL[[#This Row],[WAIVER]]=""),"Y","")</f>
        <v/>
      </c>
      <c r="U155" t="s">
        <v>2501</v>
      </c>
      <c r="V155" s="16" t="str">
        <f t="shared" si="3"/>
        <v>3KLTRFGODOI/SORAIA DE FATIMA</v>
      </c>
      <c r="W155">
        <v>224</v>
      </c>
    </row>
    <row r="156" spans="1:23" hidden="1">
      <c r="A156" s="1">
        <v>45175</v>
      </c>
      <c r="B156" t="s">
        <v>11</v>
      </c>
      <c r="C156" t="s">
        <v>2223</v>
      </c>
      <c r="D156" s="23" t="s">
        <v>2512</v>
      </c>
      <c r="E156" t="s">
        <v>41</v>
      </c>
      <c r="F156" s="19">
        <v>57564931</v>
      </c>
      <c r="G156" s="53">
        <v>749375457607</v>
      </c>
      <c r="H156" s="52">
        <v>1440</v>
      </c>
      <c r="I156" s="5">
        <v>0.1</v>
      </c>
      <c r="J156" s="52" cm="1">
        <f t="array" ref="J15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144</v>
      </c>
      <c r="K156" s="15" t="s">
        <v>99</v>
      </c>
      <c r="L156" s="54" t="s">
        <v>76</v>
      </c>
      <c r="M156" t="s">
        <v>43</v>
      </c>
      <c r="N156" s="15" t="s">
        <v>67</v>
      </c>
      <c r="O156" s="5" t="s">
        <v>2513</v>
      </c>
      <c r="P156" s="17" t="s">
        <v>146</v>
      </c>
      <c r="Q156" s="10" t="s">
        <v>250</v>
      </c>
      <c r="R156" s="11">
        <v>45175</v>
      </c>
      <c r="S156" s="10" t="s">
        <v>48</v>
      </c>
      <c r="T156" s="3" t="str">
        <f>IF(AND(ProtocolosKL[[#This Row],[STATUS]]="APROVADO",ProtocolosKL[[#This Row],[WAIVER]]=""),"Y","")</f>
        <v/>
      </c>
      <c r="U156" t="s">
        <v>2514</v>
      </c>
      <c r="V156" s="16" t="str">
        <f t="shared" si="3"/>
        <v>FSSBVYATHAYDE/MAURY MR</v>
      </c>
      <c r="W156">
        <v>225</v>
      </c>
    </row>
    <row r="157" spans="1:23" hidden="1">
      <c r="A157" s="1">
        <v>45181</v>
      </c>
      <c r="B157" t="s">
        <v>11</v>
      </c>
      <c r="C157" t="s">
        <v>2515</v>
      </c>
      <c r="D157" s="23" t="s">
        <v>2515</v>
      </c>
      <c r="E157" t="s">
        <v>41</v>
      </c>
      <c r="F157" s="19">
        <v>57564931</v>
      </c>
      <c r="G157" s="53">
        <v>749057682778</v>
      </c>
      <c r="H157" s="52">
        <v>1297</v>
      </c>
      <c r="I157" s="5">
        <v>0.12</v>
      </c>
      <c r="J157" s="52" cm="1">
        <f t="array" ref="J15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156</v>
      </c>
      <c r="K157" s="15" t="s">
        <v>99</v>
      </c>
      <c r="L157" s="54" t="s">
        <v>76</v>
      </c>
      <c r="M157" t="s">
        <v>43</v>
      </c>
      <c r="N157" s="15" t="s">
        <v>85</v>
      </c>
      <c r="O157" s="5" t="s">
        <v>1242</v>
      </c>
      <c r="P157" s="17" t="s">
        <v>146</v>
      </c>
      <c r="Q157" s="10" t="s">
        <v>250</v>
      </c>
      <c r="R157" s="11">
        <v>45184</v>
      </c>
      <c r="S157" s="10" t="s">
        <v>48</v>
      </c>
      <c r="T157" s="3" t="str">
        <f>IF(AND(ProtocolosKL[[#This Row],[STATUS]]="APROVADO",ProtocolosKL[[#This Row],[WAIVER]]=""),"Y","")</f>
        <v/>
      </c>
      <c r="U157" t="s">
        <v>2516</v>
      </c>
      <c r="V157" s="16" t="str">
        <f t="shared" si="3"/>
        <v>4QKDZSCENCI/DIEGO MR</v>
      </c>
      <c r="W157">
        <v>229</v>
      </c>
    </row>
    <row r="158" spans="1:23" hidden="1">
      <c r="A158" s="1">
        <v>45182</v>
      </c>
      <c r="B158" t="s">
        <v>11</v>
      </c>
      <c r="C158" t="s">
        <v>2517</v>
      </c>
      <c r="D158" s="23" t="s">
        <v>2517</v>
      </c>
      <c r="E158" t="s">
        <v>41</v>
      </c>
      <c r="F158" s="19">
        <v>57564931</v>
      </c>
      <c r="G158" s="53">
        <v>749057688913</v>
      </c>
      <c r="H158" s="52">
        <v>4217</v>
      </c>
      <c r="I158" s="5">
        <v>0.12</v>
      </c>
      <c r="J158" s="52" cm="1">
        <f t="array" ref="J15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507</v>
      </c>
      <c r="K158" s="15" t="s">
        <v>99</v>
      </c>
      <c r="L158" s="54" t="s">
        <v>76</v>
      </c>
      <c r="M158" t="s">
        <v>43</v>
      </c>
      <c r="N158" s="15" t="s">
        <v>67</v>
      </c>
      <c r="O158" s="5" t="s">
        <v>134</v>
      </c>
      <c r="P158" s="17" t="s">
        <v>69</v>
      </c>
      <c r="Q158" s="10" t="s">
        <v>250</v>
      </c>
      <c r="R158" s="11">
        <v>45183</v>
      </c>
      <c r="S158" s="10" t="s">
        <v>48</v>
      </c>
      <c r="T158" s="3" t="str">
        <f>IF(AND(ProtocolosKL[[#This Row],[STATUS]]="APROVADO",ProtocolosKL[[#This Row],[WAIVER]]=""),"Y","")</f>
        <v/>
      </c>
      <c r="U158" t="s">
        <v>2518</v>
      </c>
      <c r="V158" s="16" t="str">
        <f t="shared" si="3"/>
        <v>4U5TDYDAL ZOTTO/ANNALISA</v>
      </c>
      <c r="W158">
        <v>231</v>
      </c>
    </row>
    <row r="159" spans="1:23" hidden="1">
      <c r="A159" s="1">
        <v>45182</v>
      </c>
      <c r="B159" t="s">
        <v>11</v>
      </c>
      <c r="C159" t="s">
        <v>2519</v>
      </c>
      <c r="D159" s="23" t="s">
        <v>2519</v>
      </c>
      <c r="E159" t="s">
        <v>41</v>
      </c>
      <c r="F159" s="19">
        <v>57564931</v>
      </c>
      <c r="G159" s="53">
        <v>749057688971</v>
      </c>
      <c r="H159" s="52">
        <v>1644</v>
      </c>
      <c r="I159" s="5">
        <v>0.12</v>
      </c>
      <c r="J159" s="52" cm="1">
        <f t="array" ref="J15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198</v>
      </c>
      <c r="K159" s="15" t="s">
        <v>99</v>
      </c>
      <c r="L159" s="54" t="s">
        <v>76</v>
      </c>
      <c r="M159" t="s">
        <v>43</v>
      </c>
      <c r="N159" s="15" t="s">
        <v>67</v>
      </c>
      <c r="O159" s="5" t="s">
        <v>134</v>
      </c>
      <c r="P159" s="17" t="s">
        <v>69</v>
      </c>
      <c r="Q159" s="10" t="s">
        <v>250</v>
      </c>
      <c r="R159" s="11">
        <v>45183</v>
      </c>
      <c r="S159" s="10" t="s">
        <v>48</v>
      </c>
      <c r="T159" s="3" t="str">
        <f>IF(AND(ProtocolosKL[[#This Row],[STATUS]]="APROVADO",ProtocolosKL[[#This Row],[WAIVER]]=""),"Y","")</f>
        <v/>
      </c>
      <c r="U159" t="s">
        <v>2520</v>
      </c>
      <c r="V159" s="16" t="str">
        <f t="shared" si="3"/>
        <v>4U7KZQDAL ZOTTO/ENZO</v>
      </c>
      <c r="W159">
        <v>233</v>
      </c>
    </row>
    <row r="160" spans="1:23" hidden="1">
      <c r="A160" s="1">
        <v>45182</v>
      </c>
      <c r="B160" t="s">
        <v>11</v>
      </c>
      <c r="C160" t="s">
        <v>2521</v>
      </c>
      <c r="D160" s="23" t="s">
        <v>2521</v>
      </c>
      <c r="E160" t="s">
        <v>41</v>
      </c>
      <c r="F160" s="19">
        <v>57564931</v>
      </c>
      <c r="G160" s="53">
        <v>749057688923</v>
      </c>
      <c r="H160" s="52">
        <v>4217</v>
      </c>
      <c r="I160" s="5">
        <v>0.12</v>
      </c>
      <c r="J160" s="52" cm="1">
        <f t="array" ref="J16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507</v>
      </c>
      <c r="K160" s="15" t="s">
        <v>99</v>
      </c>
      <c r="L160" s="54" t="s">
        <v>76</v>
      </c>
      <c r="M160" t="s">
        <v>43</v>
      </c>
      <c r="N160" s="15" t="s">
        <v>67</v>
      </c>
      <c r="O160" s="5" t="s">
        <v>134</v>
      </c>
      <c r="P160" s="17" t="s">
        <v>69</v>
      </c>
      <c r="Q160" s="10" t="s">
        <v>250</v>
      </c>
      <c r="R160" s="11">
        <v>45183</v>
      </c>
      <c r="S160" s="10" t="s">
        <v>48</v>
      </c>
      <c r="T160" s="3" t="str">
        <f>IF(AND(ProtocolosKL[[#This Row],[STATUS]]="APROVADO",ProtocolosKL[[#This Row],[WAIVER]]=""),"Y","")</f>
        <v/>
      </c>
      <c r="U160" t="s">
        <v>2522</v>
      </c>
      <c r="V160" s="16" t="str">
        <f t="shared" si="3"/>
        <v>4U6RULDAL ZOTTO/RENAN</v>
      </c>
      <c r="W160">
        <v>232</v>
      </c>
    </row>
    <row r="161" spans="1:23" hidden="1">
      <c r="A161" s="1">
        <v>45183</v>
      </c>
      <c r="B161" t="s">
        <v>11</v>
      </c>
      <c r="C161" t="s">
        <v>2523</v>
      </c>
      <c r="D161" s="23" t="s">
        <v>2523</v>
      </c>
      <c r="E161" t="s">
        <v>73</v>
      </c>
      <c r="F161" s="19">
        <v>57564931</v>
      </c>
      <c r="G161" s="53">
        <v>744102734642</v>
      </c>
      <c r="H161" s="52">
        <v>494</v>
      </c>
      <c r="I161" s="5" t="s">
        <v>74</v>
      </c>
      <c r="J161" s="52" cm="1">
        <f t="array" ref="J16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494</v>
      </c>
      <c r="K161" s="15" t="s">
        <v>84</v>
      </c>
      <c r="L161" s="54" t="s">
        <v>172</v>
      </c>
      <c r="M161" t="s">
        <v>43</v>
      </c>
      <c r="N161" s="15" t="s">
        <v>85</v>
      </c>
      <c r="O161" s="5" t="s">
        <v>1546</v>
      </c>
      <c r="P161" s="17" t="s">
        <v>503</v>
      </c>
      <c r="Q161" s="10" t="s">
        <v>353</v>
      </c>
      <c r="R161" s="11">
        <v>45184</v>
      </c>
      <c r="S161" s="10" t="s">
        <v>520</v>
      </c>
      <c r="T161" s="3" t="str">
        <f>IF(AND(ProtocolosKL[[#This Row],[STATUS]]="APROVADO",ProtocolosKL[[#This Row],[WAIVER]]=""),"Y","")</f>
        <v/>
      </c>
      <c r="U161" t="s">
        <v>2524</v>
      </c>
      <c r="V161" s="16" t="str">
        <f t="shared" si="3"/>
        <v>4L4PD8VEEN/NICOLAS(CHD)</v>
      </c>
      <c r="W161">
        <v>235</v>
      </c>
    </row>
    <row r="162" spans="1:23" hidden="1">
      <c r="A162" s="1">
        <v>45183</v>
      </c>
      <c r="B162" t="s">
        <v>15</v>
      </c>
      <c r="C162" t="s">
        <v>2525</v>
      </c>
      <c r="D162" s="23" t="s">
        <v>2526</v>
      </c>
      <c r="E162" t="s">
        <v>41</v>
      </c>
      <c r="F162" s="19">
        <v>57519652</v>
      </c>
      <c r="G162" s="53">
        <v>749375494580</v>
      </c>
      <c r="H162" s="52">
        <v>1566</v>
      </c>
      <c r="I162" s="5">
        <v>0.14000000000000001</v>
      </c>
      <c r="J162" s="52" cm="1">
        <f t="array" ref="J16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220</v>
      </c>
      <c r="K162" s="15" t="s">
        <v>75</v>
      </c>
      <c r="L162" s="54" t="s">
        <v>76</v>
      </c>
      <c r="M162" t="s">
        <v>43</v>
      </c>
      <c r="N162" s="15" t="s">
        <v>77</v>
      </c>
      <c r="O162" s="5" t="s">
        <v>973</v>
      </c>
      <c r="P162" s="17" t="s">
        <v>146</v>
      </c>
      <c r="Q162" s="10" t="s">
        <v>79</v>
      </c>
      <c r="R162" s="11">
        <v>45184</v>
      </c>
      <c r="S162" s="10" t="s">
        <v>48</v>
      </c>
      <c r="T162" s="3" t="str">
        <f>IF(AND(ProtocolosKL[[#This Row],[STATUS]]="APROVADO",ProtocolosKL[[#This Row],[WAIVER]]=""),"Y","")</f>
        <v/>
      </c>
      <c r="U162" t="s">
        <v>2527</v>
      </c>
      <c r="V162" s="16" t="str">
        <f t="shared" si="3"/>
        <v>LOBQEQOSWALD/LUIZA</v>
      </c>
      <c r="W162">
        <v>238</v>
      </c>
    </row>
    <row r="163" spans="1:23" hidden="1">
      <c r="A163" s="1">
        <v>45183</v>
      </c>
      <c r="B163" t="s">
        <v>11</v>
      </c>
      <c r="C163" t="s">
        <v>2528</v>
      </c>
      <c r="D163" s="23" t="s">
        <v>2529</v>
      </c>
      <c r="E163" t="s">
        <v>41</v>
      </c>
      <c r="F163" s="19">
        <v>57564931</v>
      </c>
      <c r="G163" s="53">
        <v>749375494199</v>
      </c>
      <c r="H163" s="52">
        <v>6281</v>
      </c>
      <c r="I163" s="5">
        <v>0.12</v>
      </c>
      <c r="J163" s="52" cm="1">
        <f t="array" ref="J16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754</v>
      </c>
      <c r="K163" s="15" t="s">
        <v>99</v>
      </c>
      <c r="L163" s="54" t="s">
        <v>76</v>
      </c>
      <c r="M163" t="s">
        <v>43</v>
      </c>
      <c r="N163" s="15" t="s">
        <v>67</v>
      </c>
      <c r="O163" s="5" t="s">
        <v>2530</v>
      </c>
      <c r="P163" s="17" t="s">
        <v>69</v>
      </c>
      <c r="Q163" s="10" t="s">
        <v>250</v>
      </c>
      <c r="R163" s="11">
        <v>45184</v>
      </c>
      <c r="S163" s="10" t="s">
        <v>48</v>
      </c>
      <c r="T163" s="3" t="str">
        <f>IF(AND(ProtocolosKL[[#This Row],[STATUS]]="APROVADO",ProtocolosKL[[#This Row],[WAIVER]]=""),"Y","")</f>
        <v/>
      </c>
      <c r="U163" t="s">
        <v>2531</v>
      </c>
      <c r="V163" s="16" t="str">
        <f t="shared" si="3"/>
        <v>NJPHQQMORGENSZTERN/GIL MR</v>
      </c>
      <c r="W163">
        <v>239</v>
      </c>
    </row>
    <row r="164" spans="1:23" hidden="1">
      <c r="A164" s="1">
        <v>45184</v>
      </c>
      <c r="B164" t="s">
        <v>11</v>
      </c>
      <c r="C164" t="s">
        <v>2532</v>
      </c>
      <c r="D164" s="23" t="s">
        <v>2533</v>
      </c>
      <c r="E164" t="s">
        <v>41</v>
      </c>
      <c r="F164" s="19">
        <v>57564931</v>
      </c>
      <c r="G164" s="53">
        <v>749375496250</v>
      </c>
      <c r="H164" s="52">
        <v>6680</v>
      </c>
      <c r="I164" s="5">
        <v>0.15</v>
      </c>
      <c r="J164" s="52" cm="1">
        <f t="array" ref="J16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1002</v>
      </c>
      <c r="K164" s="15" t="s">
        <v>99</v>
      </c>
      <c r="L164" s="54" t="s">
        <v>76</v>
      </c>
      <c r="M164" t="s">
        <v>43</v>
      </c>
      <c r="N164" s="15" t="s">
        <v>85</v>
      </c>
      <c r="O164" s="5" t="s">
        <v>2530</v>
      </c>
      <c r="P164" s="17" t="s">
        <v>69</v>
      </c>
      <c r="Q164" s="10" t="s">
        <v>250</v>
      </c>
      <c r="R164" s="11">
        <v>45184</v>
      </c>
      <c r="S164" s="10" t="s">
        <v>48</v>
      </c>
      <c r="T164" s="3" t="str">
        <f>IF(AND(ProtocolosKL[[#This Row],[STATUS]]="APROVADO",ProtocolosKL[[#This Row],[WAIVER]]=""),"Y","")</f>
        <v/>
      </c>
      <c r="U164" t="s">
        <v>2534</v>
      </c>
      <c r="V164" s="16" t="str">
        <f t="shared" si="3"/>
        <v>NIRSBMLOWENTHAL/FABIO MR</v>
      </c>
      <c r="W164">
        <v>240</v>
      </c>
    </row>
    <row r="165" spans="1:23" hidden="1">
      <c r="A165" s="1">
        <v>45184</v>
      </c>
      <c r="B165" t="s">
        <v>10</v>
      </c>
      <c r="C165" t="s">
        <v>2535</v>
      </c>
      <c r="D165" s="23" t="s">
        <v>2535</v>
      </c>
      <c r="E165" t="s">
        <v>41</v>
      </c>
      <c r="F165" s="19">
        <v>57564931</v>
      </c>
      <c r="G165" s="53">
        <v>749057702004</v>
      </c>
      <c r="H165" s="52">
        <v>1410</v>
      </c>
      <c r="I165" s="5">
        <v>0.15</v>
      </c>
      <c r="J165" s="52" cm="1">
        <f t="array" ref="J16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212</v>
      </c>
      <c r="K165" s="15" t="s">
        <v>237</v>
      </c>
      <c r="L165" s="54" t="s">
        <v>66</v>
      </c>
      <c r="M165" t="s">
        <v>43</v>
      </c>
      <c r="N165" s="15" t="s">
        <v>67</v>
      </c>
      <c r="O165" s="5" t="s">
        <v>234</v>
      </c>
      <c r="P165" s="17" t="s">
        <v>69</v>
      </c>
      <c r="Q165" s="10" t="s">
        <v>222</v>
      </c>
      <c r="R165" s="11">
        <v>45184</v>
      </c>
      <c r="S165" s="10" t="s">
        <v>48</v>
      </c>
      <c r="T165" s="3" t="str">
        <f>IF(AND(ProtocolosKL[[#This Row],[STATUS]]="APROVADO",ProtocolosKL[[#This Row],[WAIVER]]=""),"Y","")</f>
        <v/>
      </c>
      <c r="U165" t="s">
        <v>2536</v>
      </c>
      <c r="V165" s="16" t="str">
        <f t="shared" si="3"/>
        <v>24VAFTDOS SANTOS/ISAIAS JOSE MR</v>
      </c>
      <c r="W165">
        <v>241</v>
      </c>
    </row>
    <row r="166" spans="1:23" hidden="1">
      <c r="A166" s="1">
        <v>45184</v>
      </c>
      <c r="B166" t="s">
        <v>10</v>
      </c>
      <c r="C166" t="s">
        <v>2535</v>
      </c>
      <c r="D166" s="23" t="s">
        <v>2535</v>
      </c>
      <c r="E166" t="s">
        <v>41</v>
      </c>
      <c r="F166" s="19">
        <v>57564931</v>
      </c>
      <c r="G166" s="53">
        <v>749057702005</v>
      </c>
      <c r="H166" s="52">
        <v>1410</v>
      </c>
      <c r="I166" s="5">
        <v>0.15</v>
      </c>
      <c r="J166" s="52" cm="1">
        <f t="array" ref="J16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212</v>
      </c>
      <c r="K166" s="15" t="s">
        <v>237</v>
      </c>
      <c r="L166" s="54" t="s">
        <v>66</v>
      </c>
      <c r="M166" t="s">
        <v>43</v>
      </c>
      <c r="N166" s="15" t="s">
        <v>67</v>
      </c>
      <c r="O166" s="5" t="s">
        <v>234</v>
      </c>
      <c r="P166" s="17" t="s">
        <v>69</v>
      </c>
      <c r="Q166" s="10" t="s">
        <v>222</v>
      </c>
      <c r="R166" s="11">
        <v>45184</v>
      </c>
      <c r="S166" s="10" t="s">
        <v>48</v>
      </c>
      <c r="T166" s="3" t="str">
        <f>IF(AND(ProtocolosKL[[#This Row],[STATUS]]="APROVADO",ProtocolosKL[[#This Row],[WAIVER]]=""),"Y","")</f>
        <v/>
      </c>
      <c r="U166" t="s">
        <v>2537</v>
      </c>
      <c r="V166" s="16" t="str">
        <f t="shared" si="3"/>
        <v>24VAFTLIMA COELHO/CINTIA PAIVA MRS</v>
      </c>
      <c r="W166">
        <v>241</v>
      </c>
    </row>
    <row r="167" spans="1:23" hidden="1">
      <c r="A167" s="1">
        <v>45184</v>
      </c>
      <c r="B167" t="s">
        <v>10</v>
      </c>
      <c r="C167" t="s">
        <v>2535</v>
      </c>
      <c r="D167" s="23" t="s">
        <v>2535</v>
      </c>
      <c r="E167" t="s">
        <v>41</v>
      </c>
      <c r="F167" s="19">
        <v>57564931</v>
      </c>
      <c r="G167" s="53">
        <v>749057702006</v>
      </c>
      <c r="H167" s="52">
        <v>1410</v>
      </c>
      <c r="I167" s="5">
        <v>0.15</v>
      </c>
      <c r="J167" s="52" cm="1">
        <f t="array" ref="J16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212</v>
      </c>
      <c r="K167" s="15" t="s">
        <v>237</v>
      </c>
      <c r="L167" s="54" t="s">
        <v>66</v>
      </c>
      <c r="M167" t="s">
        <v>43</v>
      </c>
      <c r="N167" s="15" t="s">
        <v>67</v>
      </c>
      <c r="O167" s="5" t="s">
        <v>234</v>
      </c>
      <c r="P167" s="17" t="s">
        <v>69</v>
      </c>
      <c r="Q167" s="10" t="s">
        <v>222</v>
      </c>
      <c r="R167" s="11">
        <v>45184</v>
      </c>
      <c r="S167" s="10" t="s">
        <v>48</v>
      </c>
      <c r="T167" s="3" t="str">
        <f>IF(AND(ProtocolosKL[[#This Row],[STATUS]]="APROVADO",ProtocolosKL[[#This Row],[WAIVER]]=""),"Y","")</f>
        <v/>
      </c>
      <c r="U167" t="s">
        <v>2538</v>
      </c>
      <c r="V167" s="16" t="str">
        <f t="shared" si="3"/>
        <v>24VAFTLIMA COELHO/FERNANDO LOUREIRO MR</v>
      </c>
      <c r="W167">
        <v>241</v>
      </c>
    </row>
    <row r="168" spans="1:23" hidden="1">
      <c r="A168" s="1">
        <v>45184</v>
      </c>
      <c r="B168" t="s">
        <v>10</v>
      </c>
      <c r="C168" t="s">
        <v>2535</v>
      </c>
      <c r="D168" s="23" t="s">
        <v>2535</v>
      </c>
      <c r="E168" t="s">
        <v>41</v>
      </c>
      <c r="F168" s="19">
        <v>57564931</v>
      </c>
      <c r="G168" s="53">
        <v>749057702007</v>
      </c>
      <c r="H168" s="52">
        <v>1410</v>
      </c>
      <c r="I168" s="5">
        <v>0.15</v>
      </c>
      <c r="J168" s="52" cm="1">
        <f t="array" ref="J16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212</v>
      </c>
      <c r="K168" s="15" t="s">
        <v>237</v>
      </c>
      <c r="L168" s="54" t="s">
        <v>66</v>
      </c>
      <c r="M168" t="s">
        <v>43</v>
      </c>
      <c r="N168" s="15" t="s">
        <v>67</v>
      </c>
      <c r="O168" s="5" t="s">
        <v>234</v>
      </c>
      <c r="P168" s="17" t="s">
        <v>69</v>
      </c>
      <c r="Q168" s="10" t="s">
        <v>222</v>
      </c>
      <c r="R168" s="11">
        <v>45184</v>
      </c>
      <c r="S168" s="10" t="s">
        <v>48</v>
      </c>
      <c r="T168" s="3" t="str">
        <f>IF(AND(ProtocolosKL[[#This Row],[STATUS]]="APROVADO",ProtocolosKL[[#This Row],[WAIVER]]=""),"Y","")</f>
        <v/>
      </c>
      <c r="U168" t="s">
        <v>2539</v>
      </c>
      <c r="V168" s="16" t="str">
        <f t="shared" si="3"/>
        <v>24VAFTVIEIRA/NATALIA ORMENEZ MRS</v>
      </c>
      <c r="W168">
        <v>241</v>
      </c>
    </row>
    <row r="169" spans="1:23" hidden="1">
      <c r="A169" s="1">
        <v>45184</v>
      </c>
      <c r="B169" t="s">
        <v>11</v>
      </c>
      <c r="C169" t="s">
        <v>2540</v>
      </c>
      <c r="D169" s="23" t="s">
        <v>2541</v>
      </c>
      <c r="E169" t="s">
        <v>41</v>
      </c>
      <c r="F169" s="19">
        <v>57564931</v>
      </c>
      <c r="G169" s="53">
        <v>742935871766</v>
      </c>
      <c r="H169" s="52">
        <v>1591</v>
      </c>
      <c r="I169" s="5">
        <v>0.12</v>
      </c>
      <c r="J169" s="52" cm="1">
        <f t="array" ref="J16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191</v>
      </c>
      <c r="K169" s="15" t="s">
        <v>84</v>
      </c>
      <c r="L169" s="54" t="s">
        <v>76</v>
      </c>
      <c r="M169" t="s">
        <v>43</v>
      </c>
      <c r="N169" s="15" t="s">
        <v>85</v>
      </c>
      <c r="O169" s="5" t="s">
        <v>376</v>
      </c>
      <c r="P169" s="17" t="s">
        <v>69</v>
      </c>
      <c r="Q169" s="10" t="s">
        <v>353</v>
      </c>
      <c r="R169" s="11">
        <v>45189</v>
      </c>
      <c r="S169" s="10" t="s">
        <v>48</v>
      </c>
      <c r="T169" s="3" t="str">
        <f>IF(AND(ProtocolosKL[[#This Row],[STATUS]]="APROVADO",ProtocolosKL[[#This Row],[WAIVER]]=""),"Y","")</f>
        <v/>
      </c>
      <c r="U169" t="s">
        <v>2542</v>
      </c>
      <c r="V169" s="16" t="str">
        <f t="shared" si="3"/>
        <v>5MNQWYCORSINI SOARES ROCHA/HENRIQUE</v>
      </c>
      <c r="W169">
        <v>242</v>
      </c>
    </row>
    <row r="170" spans="1:23" hidden="1">
      <c r="A170" s="1">
        <v>45184</v>
      </c>
      <c r="B170" t="s">
        <v>11</v>
      </c>
      <c r="C170" t="s">
        <v>2540</v>
      </c>
      <c r="D170" s="23" t="s">
        <v>2541</v>
      </c>
      <c r="E170" t="s">
        <v>41</v>
      </c>
      <c r="F170" s="19">
        <v>57564931</v>
      </c>
      <c r="G170" s="53">
        <v>742935871767</v>
      </c>
      <c r="H170" s="52">
        <v>1591</v>
      </c>
      <c r="I170" s="5">
        <v>0.12</v>
      </c>
      <c r="J170" s="52" cm="1">
        <f t="array" ref="J17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191</v>
      </c>
      <c r="K170" s="15" t="s">
        <v>84</v>
      </c>
      <c r="L170" s="54" t="s">
        <v>76</v>
      </c>
      <c r="M170" t="s">
        <v>43</v>
      </c>
      <c r="N170" s="15" t="s">
        <v>85</v>
      </c>
      <c r="O170" s="5" t="s">
        <v>376</v>
      </c>
      <c r="P170" s="17" t="s">
        <v>69</v>
      </c>
      <c r="Q170" s="10" t="s">
        <v>353</v>
      </c>
      <c r="R170" s="11">
        <v>45189</v>
      </c>
      <c r="S170" s="10" t="s">
        <v>48</v>
      </c>
      <c r="T170" s="3" t="str">
        <f>IF(AND(ProtocolosKL[[#This Row],[STATUS]]="APROVADO",ProtocolosKL[[#This Row],[WAIVER]]=""),"Y","")</f>
        <v/>
      </c>
      <c r="U170" t="s">
        <v>2543</v>
      </c>
      <c r="V170" s="16" t="str">
        <f t="shared" si="3"/>
        <v>5MNQWYBISSACOT PROENCA/RODRIGO</v>
      </c>
      <c r="W170">
        <v>242</v>
      </c>
    </row>
    <row r="171" spans="1:23" hidden="1">
      <c r="A171" s="1">
        <v>45184</v>
      </c>
      <c r="B171" t="s">
        <v>10</v>
      </c>
      <c r="C171" t="s">
        <v>2544</v>
      </c>
      <c r="D171" s="23" t="s">
        <v>2545</v>
      </c>
      <c r="E171" t="s">
        <v>41</v>
      </c>
      <c r="F171" s="19">
        <v>57564931</v>
      </c>
      <c r="G171" s="53">
        <v>749375499357</v>
      </c>
      <c r="H171" s="52">
        <v>1529</v>
      </c>
      <c r="I171" s="5">
        <v>0.15</v>
      </c>
      <c r="J171" s="52" cm="1">
        <f t="array" ref="J17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230</v>
      </c>
      <c r="K171" s="15" t="s">
        <v>189</v>
      </c>
      <c r="L171" s="54" t="s">
        <v>76</v>
      </c>
      <c r="M171" t="s">
        <v>43</v>
      </c>
      <c r="N171" s="15" t="s">
        <v>67</v>
      </c>
      <c r="O171" s="5" t="s">
        <v>2546</v>
      </c>
      <c r="P171" s="17" t="s">
        <v>69</v>
      </c>
      <c r="Q171" s="10" t="s">
        <v>222</v>
      </c>
      <c r="R171" s="11">
        <v>45187</v>
      </c>
      <c r="S171" s="10" t="s">
        <v>48</v>
      </c>
      <c r="T171" s="3" t="str">
        <f>IF(AND(ProtocolosKL[[#This Row],[STATUS]]="APROVADO",ProtocolosKL[[#This Row],[WAIVER]]=""),"Y","")</f>
        <v/>
      </c>
      <c r="U171" t="s">
        <v>2547</v>
      </c>
      <c r="V171" s="16" t="str">
        <f t="shared" si="3"/>
        <v>JEERSVGOMES DE OLIVEIRA/DIANA MRS</v>
      </c>
      <c r="W171">
        <v>243</v>
      </c>
    </row>
    <row r="172" spans="1:23" hidden="1">
      <c r="A172" s="1">
        <v>45187</v>
      </c>
      <c r="B172" t="s">
        <v>15</v>
      </c>
      <c r="C172" t="s">
        <v>2548</v>
      </c>
      <c r="D172" s="23" t="s">
        <v>2549</v>
      </c>
      <c r="E172" t="s">
        <v>41</v>
      </c>
      <c r="F172" s="19">
        <v>57519652</v>
      </c>
      <c r="G172" s="53">
        <v>749375507301</v>
      </c>
      <c r="H172" s="52">
        <v>6518</v>
      </c>
      <c r="I172" s="5">
        <v>0.05</v>
      </c>
      <c r="J172" s="52" cm="1">
        <f t="array" ref="J17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326</v>
      </c>
      <c r="K172" s="15" t="s">
        <v>75</v>
      </c>
      <c r="L172" s="54" t="s">
        <v>76</v>
      </c>
      <c r="M172" t="s">
        <v>43</v>
      </c>
      <c r="N172" s="15" t="s">
        <v>67</v>
      </c>
      <c r="O172" s="5" t="s">
        <v>391</v>
      </c>
      <c r="P172" s="17" t="s">
        <v>46</v>
      </c>
      <c r="Q172" s="10" t="s">
        <v>2550</v>
      </c>
      <c r="R172" s="11">
        <v>45188</v>
      </c>
      <c r="S172" s="10" t="s">
        <v>48</v>
      </c>
      <c r="T172" s="3" t="str">
        <f>IF(AND(ProtocolosKL[[#This Row],[STATUS]]="APROVADO",ProtocolosKL[[#This Row],[WAIVER]]=""),"Y","")</f>
        <v/>
      </c>
      <c r="U172" t="s">
        <v>2551</v>
      </c>
      <c r="V172" s="16" t="str">
        <f t="shared" si="3"/>
        <v>KYVZJSROCHA/FERNANDO</v>
      </c>
      <c r="W172">
        <v>246</v>
      </c>
    </row>
    <row r="173" spans="1:23" hidden="1">
      <c r="A173" s="1">
        <v>45189</v>
      </c>
      <c r="B173" t="s">
        <v>10</v>
      </c>
      <c r="C173" t="s">
        <v>2552</v>
      </c>
      <c r="D173" s="23" t="s">
        <v>2553</v>
      </c>
      <c r="E173" t="s">
        <v>41</v>
      </c>
      <c r="F173" s="19">
        <v>57564931</v>
      </c>
      <c r="G173" s="53">
        <v>743204366637</v>
      </c>
      <c r="H173" s="52">
        <v>1441</v>
      </c>
      <c r="I173" s="5">
        <v>0.12</v>
      </c>
      <c r="J173" s="52" cm="1">
        <f t="array" ref="J17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173</v>
      </c>
      <c r="K173" s="15" t="s">
        <v>189</v>
      </c>
      <c r="L173" s="54" t="s">
        <v>76</v>
      </c>
      <c r="M173" t="s">
        <v>43</v>
      </c>
      <c r="N173" s="15" t="s">
        <v>67</v>
      </c>
      <c r="O173" s="5" t="s">
        <v>221</v>
      </c>
      <c r="P173" s="17" t="s">
        <v>69</v>
      </c>
      <c r="Q173" s="10" t="s">
        <v>222</v>
      </c>
      <c r="R173" s="11">
        <v>373908</v>
      </c>
      <c r="S173" s="10" t="s">
        <v>48</v>
      </c>
      <c r="T173" s="3" t="str">
        <f>IF(AND(ProtocolosKL[[#This Row],[STATUS]]="APROVADO",ProtocolosKL[[#This Row],[WAIVER]]=""),"Y","")</f>
        <v/>
      </c>
      <c r="U173" t="s">
        <v>2554</v>
      </c>
      <c r="V173" s="16" t="str">
        <f t="shared" si="3"/>
        <v>NNLIFICAPP/JOE MR</v>
      </c>
      <c r="W173">
        <v>251</v>
      </c>
    </row>
    <row r="174" spans="1:23" hidden="1">
      <c r="A174" s="1">
        <v>45196</v>
      </c>
      <c r="B174" t="s">
        <v>10</v>
      </c>
      <c r="C174" t="s">
        <v>2555</v>
      </c>
      <c r="D174" s="23" t="s">
        <v>2556</v>
      </c>
      <c r="E174" t="s">
        <v>41</v>
      </c>
      <c r="F174" s="19">
        <v>57564931</v>
      </c>
      <c r="G174" s="53">
        <v>743204402926</v>
      </c>
      <c r="H174" s="52">
        <v>1289</v>
      </c>
      <c r="I174" s="5">
        <v>0.1</v>
      </c>
      <c r="J174" s="52" cm="1">
        <f t="array" ref="J17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129</v>
      </c>
      <c r="K174" s="15" t="s">
        <v>345</v>
      </c>
      <c r="L174" s="54" t="s">
        <v>76</v>
      </c>
      <c r="M174" t="s">
        <v>43</v>
      </c>
      <c r="N174" s="15" t="s">
        <v>67</v>
      </c>
      <c r="O174" s="5" t="s">
        <v>391</v>
      </c>
      <c r="P174" s="17" t="s">
        <v>69</v>
      </c>
      <c r="Q174" s="10" t="s">
        <v>222</v>
      </c>
      <c r="R174" s="11">
        <v>45197</v>
      </c>
      <c r="S174" s="10" t="s">
        <v>48</v>
      </c>
      <c r="T174" s="3" t="str">
        <f>IF(AND(ProtocolosKL[[#This Row],[STATUS]]="APROVADO",ProtocolosKL[[#This Row],[WAIVER]]=""),"Y","")</f>
        <v/>
      </c>
      <c r="U174" t="s">
        <v>2557</v>
      </c>
      <c r="V174" s="16" t="str">
        <f t="shared" si="3"/>
        <v>IEARDIVARANTE LEAL/LAURA ROSA MRS</v>
      </c>
      <c r="W174">
        <v>266</v>
      </c>
    </row>
    <row r="175" spans="1:23" hidden="1">
      <c r="A175" s="1">
        <v>45196</v>
      </c>
      <c r="B175" t="s">
        <v>10</v>
      </c>
      <c r="C175" t="s">
        <v>2558</v>
      </c>
      <c r="D175" s="23" t="s">
        <v>2559</v>
      </c>
      <c r="E175" t="s">
        <v>41</v>
      </c>
      <c r="F175" s="19">
        <v>57564931</v>
      </c>
      <c r="G175" s="53">
        <v>743204400245</v>
      </c>
      <c r="H175" s="52">
        <v>1285</v>
      </c>
      <c r="I175" s="5">
        <v>0.1</v>
      </c>
      <c r="J175" s="52" cm="1">
        <f t="array" ref="J17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129</v>
      </c>
      <c r="K175" s="15" t="s">
        <v>345</v>
      </c>
      <c r="L175" s="54" t="s">
        <v>76</v>
      </c>
      <c r="M175" t="s">
        <v>43</v>
      </c>
      <c r="N175" s="15" t="s">
        <v>67</v>
      </c>
      <c r="O175" s="5" t="s">
        <v>391</v>
      </c>
      <c r="P175" s="17" t="s">
        <v>69</v>
      </c>
      <c r="Q175" s="10" t="s">
        <v>222</v>
      </c>
      <c r="R175" s="11">
        <v>31318</v>
      </c>
      <c r="S175" s="10" t="s">
        <v>48</v>
      </c>
      <c r="T175" s="3" t="str">
        <f>IF(AND(ProtocolosKL[[#This Row],[STATUS]]="APROVADO",ProtocolosKL[[#This Row],[WAIVER]]=""),"Y","")</f>
        <v/>
      </c>
      <c r="U175" t="s">
        <v>2560</v>
      </c>
      <c r="V175" s="16" t="str">
        <f t="shared" si="3"/>
        <v>IIDQGALEAL/FELIPE MR</v>
      </c>
      <c r="W175">
        <v>267</v>
      </c>
    </row>
    <row r="176" spans="1:23" hidden="1">
      <c r="A176" s="1">
        <v>45198</v>
      </c>
      <c r="B176" t="s">
        <v>12</v>
      </c>
      <c r="C176" t="s">
        <v>2561</v>
      </c>
      <c r="D176" s="23" t="s">
        <v>2561</v>
      </c>
      <c r="E176" t="s">
        <v>41</v>
      </c>
      <c r="F176" s="19">
        <v>57565421</v>
      </c>
      <c r="G176" s="53">
        <v>579057544604</v>
      </c>
      <c r="H176" s="52">
        <v>1164</v>
      </c>
      <c r="I176" s="5">
        <v>0.12</v>
      </c>
      <c r="J176" s="52" cm="1">
        <f t="array" ref="J17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140</v>
      </c>
      <c r="K176" s="15" t="s">
        <v>227</v>
      </c>
      <c r="L176" s="54" t="s">
        <v>172</v>
      </c>
      <c r="M176" t="s">
        <v>43</v>
      </c>
      <c r="N176" s="15" t="s">
        <v>44</v>
      </c>
      <c r="O176" s="5" t="s">
        <v>164</v>
      </c>
      <c r="P176" s="17" t="s">
        <v>46</v>
      </c>
      <c r="Q176" s="10" t="s">
        <v>229</v>
      </c>
      <c r="R176" s="11">
        <v>45198</v>
      </c>
      <c r="S176" s="10" t="s">
        <v>48</v>
      </c>
      <c r="T176" s="3" t="str">
        <f>IF(AND(ProtocolosKL[[#This Row],[STATUS]]="APROVADO",ProtocolosKL[[#This Row],[WAIVER]]=""),"Y","")</f>
        <v/>
      </c>
      <c r="U176" t="s">
        <v>2562</v>
      </c>
      <c r="V176" s="16" t="str">
        <f t="shared" si="3"/>
        <v>4KKOY2FARINCHO/ADRIANA</v>
      </c>
      <c r="W176">
        <v>275</v>
      </c>
    </row>
    <row r="177" spans="1:23" hidden="1">
      <c r="A177" s="1">
        <v>45198</v>
      </c>
      <c r="B177" t="s">
        <v>12</v>
      </c>
      <c r="C177" t="s">
        <v>2561</v>
      </c>
      <c r="D177" s="23" t="s">
        <v>2561</v>
      </c>
      <c r="E177" t="s">
        <v>41</v>
      </c>
      <c r="F177" s="19">
        <v>57565421</v>
      </c>
      <c r="G177" s="53">
        <v>579057544606</v>
      </c>
      <c r="H177" s="52">
        <v>1164</v>
      </c>
      <c r="I177" s="5">
        <v>0.12</v>
      </c>
      <c r="J177" s="52" cm="1">
        <f t="array" ref="J17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140</v>
      </c>
      <c r="K177" s="15" t="s">
        <v>227</v>
      </c>
      <c r="L177" s="54" t="s">
        <v>172</v>
      </c>
      <c r="M177" t="s">
        <v>43</v>
      </c>
      <c r="N177" s="15" t="s">
        <v>44</v>
      </c>
      <c r="O177" s="5" t="s">
        <v>164</v>
      </c>
      <c r="P177" s="17" t="s">
        <v>46</v>
      </c>
      <c r="Q177" s="10" t="s">
        <v>229</v>
      </c>
      <c r="R177" s="11">
        <v>45198</v>
      </c>
      <c r="S177" s="10" t="s">
        <v>48</v>
      </c>
      <c r="T177" s="3" t="str">
        <f>IF(AND(ProtocolosKL[[#This Row],[STATUS]]="APROVADO",ProtocolosKL[[#This Row],[WAIVER]]=""),"Y","")</f>
        <v/>
      </c>
      <c r="U177" t="s">
        <v>2563</v>
      </c>
      <c r="V177" s="16" t="str">
        <f t="shared" si="3"/>
        <v>4KKOY2MAIA NETO/OGENY PEDRO</v>
      </c>
      <c r="W177">
        <v>275</v>
      </c>
    </row>
    <row r="178" spans="1:23" hidden="1">
      <c r="A178" s="1">
        <v>45201</v>
      </c>
      <c r="B178" t="s">
        <v>11</v>
      </c>
      <c r="C178" t="s">
        <v>2564</v>
      </c>
      <c r="D178" s="23" t="s">
        <v>2564</v>
      </c>
      <c r="E178" t="s">
        <v>73</v>
      </c>
      <c r="F178" s="19">
        <v>57565421</v>
      </c>
      <c r="G178" s="53">
        <v>574200484666</v>
      </c>
      <c r="H178" s="52">
        <v>130</v>
      </c>
      <c r="I178" s="5" t="s">
        <v>74</v>
      </c>
      <c r="J178" s="52" cm="1">
        <f t="array" ref="J17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130</v>
      </c>
      <c r="K178" s="15" t="s">
        <v>99</v>
      </c>
      <c r="L178" s="54" t="s">
        <v>172</v>
      </c>
      <c r="M178" t="s">
        <v>43</v>
      </c>
      <c r="N178" s="15" t="s">
        <v>85</v>
      </c>
      <c r="O178" s="5" t="s">
        <v>2565</v>
      </c>
      <c r="P178" s="17" t="s">
        <v>69</v>
      </c>
      <c r="Q178" s="10" t="s">
        <v>353</v>
      </c>
      <c r="R178" s="11">
        <v>45202</v>
      </c>
      <c r="S178" s="10" t="s">
        <v>48</v>
      </c>
      <c r="T178" s="3" t="str">
        <f>IF(AND(ProtocolosKL[[#This Row],[STATUS]]="APROVADO",ProtocolosKL[[#This Row],[WAIVER]]=""),"Y","")</f>
        <v/>
      </c>
      <c r="U178" t="s">
        <v>2566</v>
      </c>
      <c r="V178" s="16" t="str">
        <f t="shared" si="3"/>
        <v>23UJMCGONCALVES MACHADO/GUSTAVO</v>
      </c>
      <c r="W178">
        <v>282</v>
      </c>
    </row>
    <row r="179" spans="1:23" hidden="1">
      <c r="A179" s="1">
        <v>45201</v>
      </c>
      <c r="B179" t="s">
        <v>11</v>
      </c>
      <c r="C179" t="s">
        <v>2567</v>
      </c>
      <c r="D179" s="23" t="s">
        <v>2567</v>
      </c>
      <c r="E179" t="s">
        <v>73</v>
      </c>
      <c r="F179" s="19">
        <v>57565421</v>
      </c>
      <c r="G179" s="53">
        <v>744103644273</v>
      </c>
      <c r="H179" s="52">
        <v>100</v>
      </c>
      <c r="I179" s="5" t="s">
        <v>74</v>
      </c>
      <c r="J179" s="52" cm="1">
        <f t="array" ref="J17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100</v>
      </c>
      <c r="K179" s="15" t="s">
        <v>99</v>
      </c>
      <c r="L179" s="54" t="s">
        <v>172</v>
      </c>
      <c r="M179" t="s">
        <v>43</v>
      </c>
      <c r="N179" s="15" t="s">
        <v>85</v>
      </c>
      <c r="O179" s="5" t="s">
        <v>2565</v>
      </c>
      <c r="P179" s="17" t="s">
        <v>69</v>
      </c>
      <c r="Q179" s="10" t="s">
        <v>353</v>
      </c>
      <c r="R179" s="11">
        <v>45204</v>
      </c>
      <c r="S179" s="10" t="s">
        <v>173</v>
      </c>
      <c r="T179" s="3" t="str">
        <f>IF(AND(ProtocolosKL[[#This Row],[STATUS]]="APROVADO",ProtocolosKL[[#This Row],[WAIVER]]=""),"Y","")</f>
        <v/>
      </c>
      <c r="U179" t="s">
        <v>2568</v>
      </c>
      <c r="V179" s="16" t="str">
        <f t="shared" si="3"/>
        <v>247IILCASAGRANDE E SILVA/PRICYLLA MRS(</v>
      </c>
      <c r="W179">
        <v>283</v>
      </c>
    </row>
    <row r="180" spans="1:23" hidden="1">
      <c r="A180" s="1">
        <v>45204</v>
      </c>
      <c r="B180" t="s">
        <v>10</v>
      </c>
      <c r="C180" t="s">
        <v>2569</v>
      </c>
      <c r="D180" s="23" t="s">
        <v>2570</v>
      </c>
      <c r="E180" t="s">
        <v>73</v>
      </c>
      <c r="F180" s="19">
        <v>57994602</v>
      </c>
      <c r="G180" s="53">
        <v>574200484692</v>
      </c>
      <c r="H180" s="52">
        <v>179</v>
      </c>
      <c r="I180" s="5" t="s">
        <v>74</v>
      </c>
      <c r="J180" s="52" cm="1">
        <f t="array" ref="J18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179</v>
      </c>
      <c r="K180" s="15" t="s">
        <v>306</v>
      </c>
      <c r="L180" s="54" t="s">
        <v>172</v>
      </c>
      <c r="M180" t="s">
        <v>43</v>
      </c>
      <c r="N180" s="15" t="s">
        <v>67</v>
      </c>
      <c r="O180" s="5" t="s">
        <v>2571</v>
      </c>
      <c r="P180" s="17" t="s">
        <v>69</v>
      </c>
      <c r="Q180" s="10" t="s">
        <v>2220</v>
      </c>
      <c r="R180" s="11">
        <v>45209</v>
      </c>
      <c r="S180" s="10" t="s">
        <v>173</v>
      </c>
      <c r="T180" s="3" t="str">
        <f>IF(AND(ProtocolosKL[[#This Row],[STATUS]]="APROVADO",ProtocolosKL[[#This Row],[WAIVER]]=""),"Y","")</f>
        <v/>
      </c>
      <c r="U180" t="s">
        <v>2572</v>
      </c>
      <c r="V180" s="16" t="str">
        <f t="shared" si="3"/>
        <v>GKWGDVMESQUITA RIBEIRO/MARIA LUIZA</v>
      </c>
      <c r="W180">
        <v>292</v>
      </c>
    </row>
    <row r="181" spans="1:23" hidden="1">
      <c r="A181" s="1">
        <v>45205</v>
      </c>
      <c r="B181" t="s">
        <v>11</v>
      </c>
      <c r="C181" t="s">
        <v>2573</v>
      </c>
      <c r="D181" s="23" t="s">
        <v>2574</v>
      </c>
      <c r="E181" t="s">
        <v>73</v>
      </c>
      <c r="F181" s="19">
        <v>57564931</v>
      </c>
      <c r="G181" s="53">
        <v>744103644355</v>
      </c>
      <c r="H181" s="52">
        <v>140</v>
      </c>
      <c r="I181" s="5" t="s">
        <v>74</v>
      </c>
      <c r="J181" s="52" cm="1">
        <f t="array" ref="J18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140</v>
      </c>
      <c r="K181" s="15" t="s">
        <v>2460</v>
      </c>
      <c r="L181" s="54" t="s">
        <v>172</v>
      </c>
      <c r="M181" t="s">
        <v>43</v>
      </c>
      <c r="N181" s="15" t="s">
        <v>85</v>
      </c>
      <c r="O181" s="5" t="s">
        <v>436</v>
      </c>
      <c r="P181" s="17" t="s">
        <v>69</v>
      </c>
      <c r="Q181" s="10" t="s">
        <v>353</v>
      </c>
      <c r="R181" s="11">
        <v>45208</v>
      </c>
      <c r="S181" s="10" t="s">
        <v>520</v>
      </c>
      <c r="T181" s="3" t="str">
        <f>IF(AND(ProtocolosKL[[#This Row],[STATUS]]="APROVADO",ProtocolosKL[[#This Row],[WAIVER]]=""),"Y","")</f>
        <v/>
      </c>
      <c r="U181" t="s">
        <v>2575</v>
      </c>
      <c r="V181" s="16" t="str">
        <f t="shared" si="3"/>
        <v>JVTIWVNOVACKI/JOAO</v>
      </c>
      <c r="W181">
        <v>296</v>
      </c>
    </row>
    <row r="182" spans="1:23" hidden="1">
      <c r="A182" s="1">
        <v>45205</v>
      </c>
      <c r="B182" t="s">
        <v>10</v>
      </c>
      <c r="C182" t="s">
        <v>2576</v>
      </c>
      <c r="D182" s="23" t="s">
        <v>2577</v>
      </c>
      <c r="E182" t="s">
        <v>41</v>
      </c>
      <c r="F182" s="19">
        <v>57564931</v>
      </c>
      <c r="G182" s="53">
        <v>743204442146</v>
      </c>
      <c r="H182" s="52">
        <v>2062</v>
      </c>
      <c r="I182" s="5">
        <v>0.2</v>
      </c>
      <c r="J182" s="52" cm="1">
        <f t="array" ref="J18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413</v>
      </c>
      <c r="K182" s="15" t="s">
        <v>345</v>
      </c>
      <c r="L182" s="54" t="s">
        <v>76</v>
      </c>
      <c r="M182" t="s">
        <v>43</v>
      </c>
      <c r="N182" s="15" t="s">
        <v>67</v>
      </c>
      <c r="O182" s="5" t="s">
        <v>420</v>
      </c>
      <c r="P182" s="17" t="s">
        <v>146</v>
      </c>
      <c r="Q182" s="10" t="s">
        <v>222</v>
      </c>
      <c r="R182" s="11">
        <v>45205</v>
      </c>
      <c r="S182" s="10" t="s">
        <v>48</v>
      </c>
      <c r="T182" s="3" t="str">
        <f>IF(AND(ProtocolosKL[[#This Row],[STATUS]]="APROVADO",ProtocolosKL[[#This Row],[WAIVER]]=""),"Y","")</f>
        <v/>
      </c>
      <c r="U182" t="s">
        <v>2578</v>
      </c>
      <c r="V182" s="16" t="str">
        <f t="shared" si="3"/>
        <v>GCUSSKPEREIRA/JEMERSON</v>
      </c>
      <c r="W182">
        <v>297</v>
      </c>
    </row>
    <row r="183" spans="1:23" hidden="1">
      <c r="A183" s="1">
        <v>45205</v>
      </c>
      <c r="B183" t="s">
        <v>10</v>
      </c>
      <c r="C183" t="s">
        <v>2576</v>
      </c>
      <c r="D183" s="23" t="s">
        <v>2577</v>
      </c>
      <c r="E183" t="s">
        <v>41</v>
      </c>
      <c r="F183" s="19">
        <v>57564931</v>
      </c>
      <c r="G183" s="53">
        <v>743204442148</v>
      </c>
      <c r="H183" s="52">
        <v>2062</v>
      </c>
      <c r="I183" s="5">
        <v>0.2</v>
      </c>
      <c r="J183" s="52" cm="1">
        <f t="array" ref="J18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413</v>
      </c>
      <c r="K183" s="15" t="s">
        <v>345</v>
      </c>
      <c r="L183" s="54" t="s">
        <v>76</v>
      </c>
      <c r="M183" t="s">
        <v>43</v>
      </c>
      <c r="N183" s="15" t="s">
        <v>67</v>
      </c>
      <c r="O183" s="5" t="s">
        <v>420</v>
      </c>
      <c r="P183" s="17" t="s">
        <v>146</v>
      </c>
      <c r="Q183" s="10" t="s">
        <v>222</v>
      </c>
      <c r="R183" s="11">
        <v>45205</v>
      </c>
      <c r="S183" s="10" t="s">
        <v>48</v>
      </c>
      <c r="T183" s="3" t="str">
        <f>IF(AND(ProtocolosKL[[#This Row],[STATUS]]="APROVADO",ProtocolosKL[[#This Row],[WAIVER]]=""),"Y","")</f>
        <v/>
      </c>
      <c r="U183" t="s">
        <v>2579</v>
      </c>
      <c r="V183" s="16" t="str">
        <f t="shared" si="3"/>
        <v>GCUSSKPEREIRA/FERNANDA</v>
      </c>
      <c r="W183">
        <v>297</v>
      </c>
    </row>
    <row r="184" spans="1:23" hidden="1">
      <c r="A184" s="1">
        <v>45205</v>
      </c>
      <c r="B184" t="s">
        <v>11</v>
      </c>
      <c r="C184" t="s">
        <v>2580</v>
      </c>
      <c r="D184" s="23" t="s">
        <v>2581</v>
      </c>
      <c r="E184" t="s">
        <v>512</v>
      </c>
      <c r="F184" s="19">
        <v>57564931</v>
      </c>
      <c r="G184" s="53">
        <v>742935897166</v>
      </c>
      <c r="H184" s="52">
        <v>191</v>
      </c>
      <c r="I184" s="5" t="s">
        <v>74</v>
      </c>
      <c r="J184" s="52" cm="1">
        <f t="array" ref="J18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191</v>
      </c>
      <c r="K184" s="15" t="s">
        <v>2582</v>
      </c>
      <c r="L184" s="54" t="s">
        <v>2583</v>
      </c>
      <c r="M184" t="s">
        <v>43</v>
      </c>
      <c r="N184" s="15" t="s">
        <v>85</v>
      </c>
      <c r="O184" s="5" t="s">
        <v>2290</v>
      </c>
      <c r="P184" s="17" t="s">
        <v>69</v>
      </c>
      <c r="Q184" s="10" t="s">
        <v>2220</v>
      </c>
      <c r="R184" s="11">
        <v>45210</v>
      </c>
      <c r="S184" s="10" t="s">
        <v>2584</v>
      </c>
      <c r="T184" s="3" t="str">
        <f>IF(AND(ProtocolosKL[[#This Row],[STATUS]]="APROVADO",ProtocolosKL[[#This Row],[WAIVER]]=""),"Y","")</f>
        <v/>
      </c>
      <c r="U184" t="s">
        <v>2585</v>
      </c>
      <c r="V184" s="16" t="str">
        <f t="shared" si="3"/>
        <v xml:space="preserve">5PYZBZSANTOS RIBEIRO/CAROLINE STEPHANYMRS </v>
      </c>
      <c r="W184">
        <v>301</v>
      </c>
    </row>
    <row r="185" spans="1:23" hidden="1">
      <c r="A185" s="1">
        <v>45210</v>
      </c>
      <c r="B185" t="s">
        <v>10</v>
      </c>
      <c r="C185" t="s">
        <v>2586</v>
      </c>
      <c r="D185" s="23" t="s">
        <v>2587</v>
      </c>
      <c r="E185" t="s">
        <v>41</v>
      </c>
      <c r="F185" s="19">
        <v>57564931</v>
      </c>
      <c r="G185" s="53">
        <v>743204456358</v>
      </c>
      <c r="H185" s="52">
        <v>3725</v>
      </c>
      <c r="I185" s="5">
        <v>0.1</v>
      </c>
      <c r="J185" s="52" cm="1">
        <f t="array" ref="J18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373</v>
      </c>
      <c r="K185" s="15" t="s">
        <v>345</v>
      </c>
      <c r="L185" s="54" t="s">
        <v>76</v>
      </c>
      <c r="M185" t="s">
        <v>43</v>
      </c>
      <c r="N185" s="15" t="s">
        <v>67</v>
      </c>
      <c r="O185" s="5" t="s">
        <v>750</v>
      </c>
      <c r="P185" s="17" t="s">
        <v>69</v>
      </c>
      <c r="Q185" s="10" t="s">
        <v>222</v>
      </c>
      <c r="R185" s="11">
        <v>45210</v>
      </c>
      <c r="S185" s="10" t="s">
        <v>48</v>
      </c>
      <c r="T185" s="3" t="str">
        <f>IF(AND(ProtocolosKL[[#This Row],[STATUS]]="APROVADO",ProtocolosKL[[#This Row],[WAIVER]]=""),"Y","")</f>
        <v/>
      </c>
      <c r="U185" t="s">
        <v>2588</v>
      </c>
      <c r="V185" s="16" t="str">
        <f t="shared" si="3"/>
        <v>ECQGTESOUZA/THIAGO MR</v>
      </c>
      <c r="W185">
        <v>302</v>
      </c>
    </row>
    <row r="186" spans="1:23" hidden="1">
      <c r="A186" s="1">
        <v>45218</v>
      </c>
      <c r="B186" t="s">
        <v>11</v>
      </c>
      <c r="C186" t="s">
        <v>2589</v>
      </c>
      <c r="D186" s="23" t="s">
        <v>2589</v>
      </c>
      <c r="E186" t="s">
        <v>41</v>
      </c>
      <c r="F186" s="19">
        <v>57564931</v>
      </c>
      <c r="G186" s="53">
        <v>743541866728</v>
      </c>
      <c r="H186" s="52">
        <v>1409</v>
      </c>
      <c r="I186" s="5">
        <v>0.1</v>
      </c>
      <c r="J186" s="52" cm="1">
        <f t="array" ref="J18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141</v>
      </c>
      <c r="K186" s="15" t="s">
        <v>84</v>
      </c>
      <c r="L186" s="54"/>
      <c r="M186" t="s">
        <v>43</v>
      </c>
      <c r="N186" s="15" t="s">
        <v>85</v>
      </c>
      <c r="O186" s="5" t="s">
        <v>2590</v>
      </c>
      <c r="P186" s="17" t="s">
        <v>69</v>
      </c>
      <c r="Q186" s="10" t="s">
        <v>353</v>
      </c>
      <c r="R186" s="11">
        <v>45229</v>
      </c>
      <c r="S186" s="10" t="s">
        <v>48</v>
      </c>
      <c r="T186" s="3" t="str">
        <f>IF(AND(ProtocolosKL[[#This Row],[STATUS]]="APROVADO",ProtocolosKL[[#This Row],[WAIVER]]=""),"Y","")</f>
        <v/>
      </c>
      <c r="V186" s="16" t="str">
        <f t="shared" si="3"/>
        <v>4YZUBG</v>
      </c>
    </row>
    <row r="187" spans="1:23" ht="15.6" hidden="1">
      <c r="A187" s="1">
        <v>45218</v>
      </c>
      <c r="B187" t="s">
        <v>11</v>
      </c>
      <c r="C187" t="s">
        <v>2589</v>
      </c>
      <c r="D187" s="63" t="s">
        <v>2589</v>
      </c>
      <c r="E187" t="s">
        <v>41</v>
      </c>
      <c r="F187" s="19">
        <v>57564931</v>
      </c>
      <c r="G187" s="53">
        <v>743541866730</v>
      </c>
      <c r="H187" s="52">
        <v>1409</v>
      </c>
      <c r="I187" s="5">
        <v>0.1</v>
      </c>
      <c r="J187" s="52" cm="1">
        <f t="array" ref="J18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141</v>
      </c>
      <c r="K187" s="15" t="s">
        <v>84</v>
      </c>
      <c r="L187" s="54"/>
      <c r="M187" t="s">
        <v>43</v>
      </c>
      <c r="N187" s="15" t="s">
        <v>85</v>
      </c>
      <c r="O187" s="5" t="s">
        <v>2590</v>
      </c>
      <c r="P187" s="17" t="s">
        <v>69</v>
      </c>
      <c r="Q187" s="10" t="s">
        <v>353</v>
      </c>
      <c r="R187" s="11">
        <v>45260</v>
      </c>
      <c r="S187" s="10" t="s">
        <v>48</v>
      </c>
      <c r="T187" s="3" t="str">
        <f>IF(AND(ProtocolosKL[[#This Row],[STATUS]]="APROVADO",ProtocolosKL[[#This Row],[WAIVER]]=""),"Y","")</f>
        <v/>
      </c>
      <c r="V187" s="16" t="str">
        <f t="shared" si="3"/>
        <v>4YZUBG</v>
      </c>
    </row>
    <row r="188" spans="1:23" hidden="1">
      <c r="A188" s="1">
        <v>45219</v>
      </c>
      <c r="B188" t="s">
        <v>15</v>
      </c>
      <c r="C188" s="65" t="s">
        <v>2591</v>
      </c>
      <c r="D188" t="s">
        <v>2592</v>
      </c>
      <c r="E188" t="s">
        <v>41</v>
      </c>
      <c r="F188" s="19">
        <v>57564931</v>
      </c>
      <c r="G188" s="53">
        <v>743204512889</v>
      </c>
      <c r="H188" s="52">
        <v>973</v>
      </c>
      <c r="I188" s="5">
        <v>0.08</v>
      </c>
      <c r="J188" s="52" cm="1">
        <f t="array" ref="J18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78</v>
      </c>
      <c r="K188" s="15" t="s">
        <v>75</v>
      </c>
      <c r="L188" s="54" t="s">
        <v>76</v>
      </c>
      <c r="M188" t="s">
        <v>43</v>
      </c>
      <c r="N188" s="15" t="s">
        <v>44</v>
      </c>
      <c r="O188" s="5" t="s">
        <v>45</v>
      </c>
      <c r="P188" s="17" t="s">
        <v>69</v>
      </c>
      <c r="Q188" s="10" t="s">
        <v>79</v>
      </c>
      <c r="R188" s="11">
        <v>45223</v>
      </c>
      <c r="S188" s="10" t="s">
        <v>48</v>
      </c>
      <c r="T188" s="3" t="str">
        <f>IF(AND(ProtocolosKL[[#This Row],[STATUS]]="APROVADO",ProtocolosKL[[#This Row],[WAIVER]]=""),"Y","")</f>
        <v/>
      </c>
      <c r="V188" s="16" t="str">
        <f t="shared" si="3"/>
        <v>HVODKJ</v>
      </c>
    </row>
    <row r="189" spans="1:23" hidden="1">
      <c r="A189" s="1">
        <v>45220</v>
      </c>
      <c r="B189" t="s">
        <v>15</v>
      </c>
      <c r="C189" s="65" t="s">
        <v>2593</v>
      </c>
      <c r="D189" t="s">
        <v>2594</v>
      </c>
      <c r="E189" t="s">
        <v>41</v>
      </c>
      <c r="F189" s="19">
        <v>57564931</v>
      </c>
      <c r="G189" s="53">
        <v>743204512893</v>
      </c>
      <c r="H189" s="52">
        <v>973</v>
      </c>
      <c r="I189" s="5">
        <v>0.08</v>
      </c>
      <c r="J189" s="52" cm="1">
        <f t="array" ref="J18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78</v>
      </c>
      <c r="K189" s="15" t="s">
        <v>75</v>
      </c>
      <c r="L189" s="54" t="s">
        <v>76</v>
      </c>
      <c r="M189" t="s">
        <v>43</v>
      </c>
      <c r="N189" s="15" t="s">
        <v>44</v>
      </c>
      <c r="O189" s="5" t="s">
        <v>45</v>
      </c>
      <c r="P189" s="17" t="s">
        <v>69</v>
      </c>
      <c r="Q189" s="10" t="s">
        <v>79</v>
      </c>
      <c r="R189" s="11">
        <v>45223</v>
      </c>
      <c r="S189" s="10" t="s">
        <v>48</v>
      </c>
      <c r="T189" s="3" t="str">
        <f>IF(AND(ProtocolosKL[[#This Row],[STATUS]]="APROVADO",ProtocolosKL[[#This Row],[WAIVER]]=""),"Y","")</f>
        <v/>
      </c>
      <c r="V189" s="16" t="str">
        <f t="shared" si="3"/>
        <v>AKKOUE</v>
      </c>
    </row>
    <row r="190" spans="1:23" hidden="1">
      <c r="A190" s="1">
        <v>45221</v>
      </c>
      <c r="B190" t="s">
        <v>15</v>
      </c>
      <c r="C190" s="64" t="s">
        <v>2595</v>
      </c>
      <c r="D190" s="64" t="s">
        <v>2596</v>
      </c>
      <c r="E190" t="s">
        <v>41</v>
      </c>
      <c r="F190" s="19">
        <v>57564931</v>
      </c>
      <c r="G190" s="53">
        <v>742935910629</v>
      </c>
      <c r="H190" s="52">
        <v>918</v>
      </c>
      <c r="I190" s="5">
        <v>0.08</v>
      </c>
      <c r="J190" s="52" cm="1">
        <f t="array" ref="J19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74</v>
      </c>
      <c r="K190" s="15" t="s">
        <v>75</v>
      </c>
      <c r="L190" s="54" t="s">
        <v>76</v>
      </c>
      <c r="M190" t="s">
        <v>43</v>
      </c>
      <c r="N190" s="15" t="s">
        <v>44</v>
      </c>
      <c r="O190" s="5" t="s">
        <v>45</v>
      </c>
      <c r="P190" s="17" t="s">
        <v>69</v>
      </c>
      <c r="Q190" s="10" t="s">
        <v>79</v>
      </c>
      <c r="R190" s="11">
        <v>45223</v>
      </c>
      <c r="S190" s="10" t="s">
        <v>48</v>
      </c>
      <c r="T190" s="3" t="str">
        <f>IF(AND(ProtocolosKL[[#This Row],[STATUS]]="APROVADO",ProtocolosKL[[#This Row],[WAIVER]]=""),"Y","")</f>
        <v/>
      </c>
      <c r="V190" s="16" t="str">
        <f t="shared" si="3"/>
        <v>5Z7TW3</v>
      </c>
    </row>
    <row r="191" spans="1:23" hidden="1">
      <c r="A191" s="1">
        <v>45222</v>
      </c>
      <c r="B191" t="s">
        <v>15</v>
      </c>
      <c r="C191" s="65" t="s">
        <v>2597</v>
      </c>
      <c r="D191" s="64" t="s">
        <v>2598</v>
      </c>
      <c r="E191" t="s">
        <v>41</v>
      </c>
      <c r="F191" s="19">
        <v>57564931</v>
      </c>
      <c r="G191" s="53">
        <v>742935910636</v>
      </c>
      <c r="H191" s="52">
        <v>918</v>
      </c>
      <c r="I191" s="5">
        <v>0.08</v>
      </c>
      <c r="J191" s="52" cm="1">
        <f t="array" ref="J19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74</v>
      </c>
      <c r="K191" s="15" t="s">
        <v>75</v>
      </c>
      <c r="L191" s="54" t="s">
        <v>76</v>
      </c>
      <c r="M191" t="s">
        <v>43</v>
      </c>
      <c r="N191" s="15" t="s">
        <v>44</v>
      </c>
      <c r="O191" s="5" t="s">
        <v>45</v>
      </c>
      <c r="P191" s="17" t="s">
        <v>69</v>
      </c>
      <c r="Q191" s="10" t="s">
        <v>79</v>
      </c>
      <c r="R191" s="11">
        <v>45223</v>
      </c>
      <c r="S191" s="10" t="s">
        <v>48</v>
      </c>
      <c r="T191" s="3" t="str">
        <f>IF(AND(ProtocolosKL[[#This Row],[STATUS]]="APROVADO",ProtocolosKL[[#This Row],[WAIVER]]=""),"Y","")</f>
        <v/>
      </c>
      <c r="V191" s="16" t="str">
        <f t="shared" si="3"/>
        <v>5Z7TYF</v>
      </c>
    </row>
    <row r="192" spans="1:23" hidden="1">
      <c r="A192" s="1">
        <v>45223</v>
      </c>
      <c r="B192" t="s">
        <v>15</v>
      </c>
      <c r="C192" s="65" t="s">
        <v>2599</v>
      </c>
      <c r="D192" s="64" t="s">
        <v>2600</v>
      </c>
      <c r="E192" t="s">
        <v>41</v>
      </c>
      <c r="F192" s="19">
        <v>57564931</v>
      </c>
      <c r="G192" s="53">
        <v>742935910640</v>
      </c>
      <c r="H192" s="52">
        <v>714</v>
      </c>
      <c r="I192" s="5">
        <v>0.08</v>
      </c>
      <c r="J192" s="52" cm="1">
        <f t="array" ref="J19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58</v>
      </c>
      <c r="K192" s="15" t="s">
        <v>75</v>
      </c>
      <c r="L192" s="54" t="s">
        <v>76</v>
      </c>
      <c r="M192" t="s">
        <v>43</v>
      </c>
      <c r="N192" s="15" t="s">
        <v>44</v>
      </c>
      <c r="O192" s="5" t="s">
        <v>45</v>
      </c>
      <c r="P192" s="17" t="s">
        <v>69</v>
      </c>
      <c r="Q192" s="10" t="s">
        <v>79</v>
      </c>
      <c r="R192" s="11">
        <v>45223</v>
      </c>
      <c r="S192" s="10" t="s">
        <v>48</v>
      </c>
      <c r="T192" s="3" t="str">
        <f>IF(AND(ProtocolosKL[[#This Row],[STATUS]]="APROVADO",ProtocolosKL[[#This Row],[WAIVER]]=""),"Y","")</f>
        <v/>
      </c>
      <c r="V192" s="16" t="str">
        <f t="shared" si="3"/>
        <v>5YXZMF</v>
      </c>
    </row>
    <row r="193" spans="1:23" hidden="1">
      <c r="A193" s="1">
        <v>45239</v>
      </c>
      <c r="B193" t="s">
        <v>10</v>
      </c>
      <c r="C193" t="s">
        <v>859</v>
      </c>
      <c r="D193" s="23" t="s">
        <v>860</v>
      </c>
      <c r="E193" t="s">
        <v>41</v>
      </c>
      <c r="F193" s="19">
        <v>57564931</v>
      </c>
      <c r="G193" s="53">
        <v>743204581389</v>
      </c>
      <c r="H193" s="52">
        <v>1283</v>
      </c>
      <c r="I193" s="5">
        <v>0.1</v>
      </c>
      <c r="J193" s="52" cm="1">
        <f t="array" ref="J19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129</v>
      </c>
      <c r="K193" s="15" t="s">
        <v>345</v>
      </c>
      <c r="L193" s="54" t="s">
        <v>76</v>
      </c>
      <c r="M193" t="s">
        <v>43</v>
      </c>
      <c r="N193" s="15" t="s">
        <v>171</v>
      </c>
      <c r="O193" s="5" t="s">
        <v>126</v>
      </c>
      <c r="P193" s="17" t="s">
        <v>69</v>
      </c>
      <c r="Q193" s="10" t="s">
        <v>222</v>
      </c>
      <c r="R193" s="11">
        <v>45240</v>
      </c>
      <c r="S193" s="10" t="s">
        <v>48</v>
      </c>
      <c r="T193" s="3" t="str">
        <f>IF(AND(ProtocolosKL[[#This Row],[STATUS]]="APROVADO",ProtocolosKL[[#This Row],[WAIVER]]=""),"Y","")</f>
        <v/>
      </c>
      <c r="U193" t="s">
        <v>861</v>
      </c>
      <c r="V193" s="16" t="str">
        <f t="shared" si="3"/>
        <v>HOHLBDGUEDES DUARTE/ROBLEDO</v>
      </c>
    </row>
    <row r="194" spans="1:23" hidden="1">
      <c r="A194" s="1">
        <v>45246</v>
      </c>
      <c r="B194" t="s">
        <v>10</v>
      </c>
      <c r="C194" t="s">
        <v>865</v>
      </c>
      <c r="D194" s="23" t="s">
        <v>866</v>
      </c>
      <c r="E194" t="s">
        <v>41</v>
      </c>
      <c r="F194" s="19">
        <v>57564931</v>
      </c>
      <c r="G194" s="53">
        <v>743204606661</v>
      </c>
      <c r="H194" s="52">
        <v>1448</v>
      </c>
      <c r="I194" s="5">
        <v>0.15</v>
      </c>
      <c r="J194" s="52" cm="1">
        <f t="array" ref="J19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218</v>
      </c>
      <c r="K194" s="15" t="s">
        <v>144</v>
      </c>
      <c r="L194" s="54" t="s">
        <v>76</v>
      </c>
      <c r="M194" t="s">
        <v>43</v>
      </c>
      <c r="N194" s="15" t="s">
        <v>171</v>
      </c>
      <c r="O194" s="5" t="s">
        <v>134</v>
      </c>
      <c r="P194" s="17" t="s">
        <v>255</v>
      </c>
      <c r="Q194" s="10" t="s">
        <v>222</v>
      </c>
      <c r="R194" s="11">
        <v>45247</v>
      </c>
      <c r="S194" s="10" t="s">
        <v>48</v>
      </c>
      <c r="T194" s="3" t="str">
        <f>IF(AND(ProtocolosKL[[#This Row],[STATUS]]="APROVADO",ProtocolosKL[[#This Row],[WAIVER]]=""),"Y","")</f>
        <v/>
      </c>
      <c r="U194" t="s">
        <v>867</v>
      </c>
      <c r="V194" s="16" t="str">
        <f t="shared" si="3"/>
        <v>GPZWVU1.1BRAND/MARGOT</v>
      </c>
    </row>
    <row r="195" spans="1:23" hidden="1">
      <c r="A195" s="1">
        <v>45251</v>
      </c>
      <c r="B195" t="s">
        <v>13</v>
      </c>
      <c r="C195" t="s">
        <v>2601</v>
      </c>
      <c r="D195" s="23" t="s">
        <v>2602</v>
      </c>
      <c r="E195" t="s">
        <v>41</v>
      </c>
      <c r="F195" s="19">
        <v>57564931</v>
      </c>
      <c r="G195" s="53">
        <v>743204634307</v>
      </c>
      <c r="H195" s="52">
        <v>1166</v>
      </c>
      <c r="I195" s="5">
        <v>0.1</v>
      </c>
      <c r="J195" s="52" cm="1">
        <f t="array" ref="J19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117</v>
      </c>
      <c r="K195" s="15" t="s">
        <v>151</v>
      </c>
      <c r="L195" s="54" t="s">
        <v>66</v>
      </c>
      <c r="M195" t="s">
        <v>43</v>
      </c>
      <c r="N195" s="15" t="s">
        <v>863</v>
      </c>
      <c r="O195" s="5" t="s">
        <v>1539</v>
      </c>
      <c r="P195" s="17" t="s">
        <v>46</v>
      </c>
      <c r="Q195" s="10" t="s">
        <v>168</v>
      </c>
      <c r="R195" s="11">
        <v>45251</v>
      </c>
      <c r="S195" s="10" t="s">
        <v>48</v>
      </c>
      <c r="T195" s="3" t="str">
        <f>IF(AND(ProtocolosKL[[#This Row],[STATUS]]="APROVADO",ProtocolosKL[[#This Row],[WAIVER]]=""),"Y","")</f>
        <v/>
      </c>
      <c r="U195" t="s">
        <v>2603</v>
      </c>
      <c r="V195" s="16" t="str">
        <f t="shared" si="3"/>
        <v>HDVELDFRANCIOTTI/LEILA SILVIA</v>
      </c>
      <c r="W195">
        <v>319</v>
      </c>
    </row>
    <row r="196" spans="1:23" hidden="1">
      <c r="A196" s="1">
        <v>45253</v>
      </c>
      <c r="B196" t="s">
        <v>15</v>
      </c>
      <c r="C196" t="s">
        <v>2604</v>
      </c>
      <c r="D196" s="23" t="s">
        <v>2604</v>
      </c>
      <c r="E196" t="s">
        <v>41</v>
      </c>
      <c r="F196" s="19">
        <v>57564931</v>
      </c>
      <c r="G196" s="53">
        <v>743542050904</v>
      </c>
      <c r="H196" s="52">
        <v>1128</v>
      </c>
      <c r="I196" s="5">
        <v>0.15</v>
      </c>
      <c r="J196" s="52" cm="1">
        <f t="array" ref="J19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170</v>
      </c>
      <c r="K196" s="15" t="s">
        <v>75</v>
      </c>
      <c r="L196" s="54" t="s">
        <v>76</v>
      </c>
      <c r="M196" t="s">
        <v>43</v>
      </c>
      <c r="N196" s="15" t="s">
        <v>1012</v>
      </c>
      <c r="O196" s="5" t="s">
        <v>145</v>
      </c>
      <c r="P196" s="17" t="s">
        <v>69</v>
      </c>
      <c r="Q196" s="10" t="s">
        <v>79</v>
      </c>
      <c r="R196" s="11">
        <v>45254</v>
      </c>
      <c r="S196" s="10" t="s">
        <v>48</v>
      </c>
      <c r="T196" s="3" t="str">
        <f>IF(AND(ProtocolosKL[[#This Row],[STATUS]]="APROVADO",ProtocolosKL[[#This Row],[WAIVER]]=""),"Y","")</f>
        <v/>
      </c>
      <c r="U196" t="s">
        <v>2605</v>
      </c>
      <c r="V196" s="16" t="str">
        <f t="shared" si="3"/>
        <v>4UBOYQDE FARIAS/LUCIANA</v>
      </c>
      <c r="W196">
        <v>322</v>
      </c>
    </row>
    <row r="197" spans="1:23" hidden="1">
      <c r="A197" s="1">
        <v>45254</v>
      </c>
      <c r="B197" t="s">
        <v>11</v>
      </c>
      <c r="C197" t="s">
        <v>2606</v>
      </c>
      <c r="D197" s="23" t="s">
        <v>2606</v>
      </c>
      <c r="E197" t="s">
        <v>73</v>
      </c>
      <c r="F197" s="19">
        <v>57490484</v>
      </c>
      <c r="G197" s="53">
        <v>744104529714</v>
      </c>
      <c r="H197" s="52">
        <v>178</v>
      </c>
      <c r="I197" s="5" t="s">
        <v>74</v>
      </c>
      <c r="J197" s="52" cm="1">
        <f t="array" ref="J19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178</v>
      </c>
      <c r="K197" s="15" t="s">
        <v>1082</v>
      </c>
      <c r="L197" s="54" t="s">
        <v>76</v>
      </c>
      <c r="M197" t="s">
        <v>43</v>
      </c>
      <c r="N197" s="15" t="s">
        <v>84</v>
      </c>
      <c r="O197" s="5" t="s">
        <v>2290</v>
      </c>
      <c r="P197" s="17" t="s">
        <v>46</v>
      </c>
      <c r="Q197" s="10" t="s">
        <v>291</v>
      </c>
      <c r="R197" s="11">
        <v>45257</v>
      </c>
      <c r="S197" s="10" t="s">
        <v>173</v>
      </c>
      <c r="T197" s="3" t="str">
        <f>IF(AND(ProtocolosKL[[#This Row],[STATUS]]="APROVADO",ProtocolosKL[[#This Row],[WAIVER]]=""),"Y","")</f>
        <v/>
      </c>
      <c r="U197" t="s">
        <v>2607</v>
      </c>
      <c r="V197" s="16" t="str">
        <f t="shared" si="3"/>
        <v xml:space="preserve">4UKKLELINS BIANCHINI/CAROLINA </v>
      </c>
      <c r="W197">
        <v>325</v>
      </c>
    </row>
    <row r="198" spans="1:23" hidden="1">
      <c r="A198" s="1">
        <v>45254</v>
      </c>
      <c r="B198" t="s">
        <v>11</v>
      </c>
      <c r="C198" t="s">
        <v>2606</v>
      </c>
      <c r="D198" s="23" t="s">
        <v>2606</v>
      </c>
      <c r="E198" t="s">
        <v>73</v>
      </c>
      <c r="F198" s="19">
        <v>57490484</v>
      </c>
      <c r="G198" s="53">
        <v>744104529716</v>
      </c>
      <c r="H198" s="52">
        <v>178</v>
      </c>
      <c r="I198" s="5" t="s">
        <v>74</v>
      </c>
      <c r="J198" s="52" cm="1">
        <f t="array" ref="J19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178</v>
      </c>
      <c r="K198" s="15" t="s">
        <v>1082</v>
      </c>
      <c r="L198" s="54" t="s">
        <v>76</v>
      </c>
      <c r="M198" t="s">
        <v>43</v>
      </c>
      <c r="N198" s="15" t="s">
        <v>84</v>
      </c>
      <c r="O198" s="5" t="s">
        <v>2290</v>
      </c>
      <c r="P198" s="17" t="s">
        <v>46</v>
      </c>
      <c r="Q198" s="10" t="s">
        <v>291</v>
      </c>
      <c r="R198" s="11">
        <v>45257</v>
      </c>
      <c r="S198" s="10" t="s">
        <v>173</v>
      </c>
      <c r="T198" s="3" t="str">
        <f>IF(AND(ProtocolosKL[[#This Row],[STATUS]]="APROVADO",ProtocolosKL[[#This Row],[WAIVER]]=""),"Y","")</f>
        <v/>
      </c>
      <c r="U198" t="s">
        <v>2608</v>
      </c>
      <c r="V198" s="16" t="str">
        <f t="shared" si="3"/>
        <v>4UKKLENUNES LINS/SORAYA</v>
      </c>
      <c r="W198">
        <v>325</v>
      </c>
    </row>
    <row r="199" spans="1:23" hidden="1">
      <c r="A199" s="1">
        <v>45254</v>
      </c>
      <c r="B199" t="s">
        <v>13</v>
      </c>
      <c r="C199" t="s">
        <v>757</v>
      </c>
      <c r="D199" s="23" t="s">
        <v>758</v>
      </c>
      <c r="E199" t="s">
        <v>73</v>
      </c>
      <c r="F199" s="19">
        <v>57490484</v>
      </c>
      <c r="G199" s="53">
        <v>744104529760</v>
      </c>
      <c r="H199" s="52">
        <v>261</v>
      </c>
      <c r="I199" s="5" t="s">
        <v>74</v>
      </c>
      <c r="J199" s="52" cm="1">
        <f t="array" ref="J19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261</v>
      </c>
      <c r="K199" s="15" t="s">
        <v>151</v>
      </c>
      <c r="L199" s="54" t="s">
        <v>172</v>
      </c>
      <c r="M199" t="s">
        <v>43</v>
      </c>
      <c r="N199" s="15" t="s">
        <v>863</v>
      </c>
      <c r="O199" s="5" t="s">
        <v>755</v>
      </c>
      <c r="P199" s="17" t="s">
        <v>46</v>
      </c>
      <c r="Q199" s="10" t="s">
        <v>168</v>
      </c>
      <c r="R199" s="11">
        <v>45258</v>
      </c>
      <c r="S199" s="10" t="s">
        <v>173</v>
      </c>
      <c r="T199" s="3" t="str">
        <f>IF(AND(ProtocolosKL[[#This Row],[STATUS]]="APROVADO",ProtocolosKL[[#This Row],[WAIVER]]=""),"Y","")</f>
        <v/>
      </c>
      <c r="U199" t="s">
        <v>759</v>
      </c>
      <c r="V199" s="16" t="str">
        <f t="shared" si="3"/>
        <v>DAXXIZHERNANDEZ GOMES/VICTORIA</v>
      </c>
      <c r="W199">
        <v>326</v>
      </c>
    </row>
    <row r="200" spans="1:23" hidden="1">
      <c r="A200" s="1">
        <v>45257</v>
      </c>
      <c r="B200" t="s">
        <v>13</v>
      </c>
      <c r="C200" t="s">
        <v>2609</v>
      </c>
      <c r="D200" s="23" t="s">
        <v>2610</v>
      </c>
      <c r="E200" t="s">
        <v>41</v>
      </c>
      <c r="F200" s="19">
        <v>57564931</v>
      </c>
      <c r="G200" s="53">
        <v>742935944196</v>
      </c>
      <c r="H200" s="52">
        <v>1440</v>
      </c>
      <c r="I200" s="5">
        <v>0.2</v>
      </c>
      <c r="J200" s="52" cm="1">
        <f t="array" ref="J20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288</v>
      </c>
      <c r="K200" s="15" t="s">
        <v>817</v>
      </c>
      <c r="L200" s="54" t="s">
        <v>76</v>
      </c>
      <c r="M200" t="s">
        <v>43</v>
      </c>
      <c r="N200" s="15" t="s">
        <v>863</v>
      </c>
      <c r="O200" s="5" t="s">
        <v>724</v>
      </c>
      <c r="P200" s="17" t="s">
        <v>46</v>
      </c>
      <c r="Q200" s="10" t="s">
        <v>2611</v>
      </c>
      <c r="R200" s="11">
        <v>45257</v>
      </c>
      <c r="S200" s="10" t="s">
        <v>48</v>
      </c>
      <c r="T200" s="3" t="str">
        <f>IF(AND(ProtocolosKL[[#This Row],[STATUS]]="APROVADO",ProtocolosKL[[#This Row],[WAIVER]]=""),"Y","")</f>
        <v/>
      </c>
      <c r="U200" t="s">
        <v>2612</v>
      </c>
      <c r="V200" s="16" t="str">
        <f t="shared" si="3"/>
        <v>68GV7NFABRINI DE ARAUJO/MARCO ANTONIO</v>
      </c>
      <c r="W200">
        <v>329</v>
      </c>
    </row>
    <row r="201" spans="1:23" hidden="1">
      <c r="A201" s="1">
        <v>45257</v>
      </c>
      <c r="B201" t="s">
        <v>13</v>
      </c>
      <c r="C201" t="s">
        <v>2609</v>
      </c>
      <c r="D201" s="23" t="s">
        <v>2610</v>
      </c>
      <c r="E201" t="s">
        <v>41</v>
      </c>
      <c r="F201" s="19">
        <v>57564931</v>
      </c>
      <c r="G201" s="53">
        <v>742935944197</v>
      </c>
      <c r="H201" s="52">
        <v>1440</v>
      </c>
      <c r="I201" s="5">
        <v>0.2</v>
      </c>
      <c r="J201" s="52" cm="1">
        <f t="array" ref="J20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288</v>
      </c>
      <c r="K201" s="15" t="s">
        <v>817</v>
      </c>
      <c r="L201" s="54" t="s">
        <v>76</v>
      </c>
      <c r="M201" t="s">
        <v>43</v>
      </c>
      <c r="N201" s="15" t="s">
        <v>863</v>
      </c>
      <c r="O201" s="5" t="s">
        <v>724</v>
      </c>
      <c r="P201" s="17" t="s">
        <v>46</v>
      </c>
      <c r="Q201" s="10" t="s">
        <v>2611</v>
      </c>
      <c r="R201" s="11">
        <v>45257</v>
      </c>
      <c r="S201" s="10" t="s">
        <v>48</v>
      </c>
      <c r="T201" s="3" t="str">
        <f>IF(AND(ProtocolosKL[[#This Row],[STATUS]]="APROVADO",ProtocolosKL[[#This Row],[WAIVER]]=""),"Y","")</f>
        <v/>
      </c>
      <c r="U201" t="s">
        <v>2613</v>
      </c>
      <c r="V201" s="16" t="str">
        <f t="shared" si="3"/>
        <v>68GV7NFABRINI ARAUJO/PATRICIA</v>
      </c>
      <c r="W201">
        <v>329</v>
      </c>
    </row>
    <row r="202" spans="1:23" hidden="1">
      <c r="A202" s="1">
        <v>45257</v>
      </c>
      <c r="B202" t="s">
        <v>13</v>
      </c>
      <c r="C202" t="s">
        <v>2609</v>
      </c>
      <c r="D202" s="23" t="s">
        <v>2610</v>
      </c>
      <c r="E202" t="s">
        <v>41</v>
      </c>
      <c r="F202" s="19">
        <v>57564931</v>
      </c>
      <c r="G202" s="53">
        <v>742935944198</v>
      </c>
      <c r="H202" s="52">
        <v>1440</v>
      </c>
      <c r="I202" s="5">
        <v>0.2</v>
      </c>
      <c r="J202" s="52" cm="1">
        <f t="array" ref="J20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288</v>
      </c>
      <c r="K202" s="15" t="s">
        <v>817</v>
      </c>
      <c r="L202" s="54" t="s">
        <v>76</v>
      </c>
      <c r="M202" t="s">
        <v>43</v>
      </c>
      <c r="N202" s="15" t="s">
        <v>863</v>
      </c>
      <c r="O202" s="5" t="s">
        <v>724</v>
      </c>
      <c r="P202" s="17" t="s">
        <v>46</v>
      </c>
      <c r="Q202" s="10" t="s">
        <v>2611</v>
      </c>
      <c r="R202" s="11">
        <v>45257</v>
      </c>
      <c r="S202" s="10" t="s">
        <v>48</v>
      </c>
      <c r="T202" s="3" t="str">
        <f>IF(AND(ProtocolosKL[[#This Row],[STATUS]]="APROVADO",ProtocolosKL[[#This Row],[WAIVER]]=""),"Y","")</f>
        <v/>
      </c>
      <c r="U202" t="s">
        <v>2614</v>
      </c>
      <c r="V202" s="16" t="str">
        <f t="shared" si="3"/>
        <v>68GV7NFABRINI ARAUJO/PEDRO</v>
      </c>
      <c r="W202">
        <v>329</v>
      </c>
    </row>
    <row r="203" spans="1:23" hidden="1">
      <c r="A203" s="1">
        <v>45257</v>
      </c>
      <c r="B203" t="s">
        <v>13</v>
      </c>
      <c r="C203" t="s">
        <v>2609</v>
      </c>
      <c r="D203" s="23" t="s">
        <v>2610</v>
      </c>
      <c r="E203" t="s">
        <v>41</v>
      </c>
      <c r="F203" s="19">
        <v>57564931</v>
      </c>
      <c r="G203" s="53">
        <v>742935944199</v>
      </c>
      <c r="H203" s="52">
        <v>1440</v>
      </c>
      <c r="I203" s="5">
        <v>0.2</v>
      </c>
      <c r="J203" s="52" cm="1">
        <f t="array" ref="J20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288</v>
      </c>
      <c r="K203" s="15" t="s">
        <v>817</v>
      </c>
      <c r="L203" s="54" t="s">
        <v>76</v>
      </c>
      <c r="M203" t="s">
        <v>43</v>
      </c>
      <c r="N203" s="15" t="s">
        <v>863</v>
      </c>
      <c r="O203" s="5" t="s">
        <v>724</v>
      </c>
      <c r="P203" s="17" t="s">
        <v>46</v>
      </c>
      <c r="Q203" s="10" t="s">
        <v>2611</v>
      </c>
      <c r="R203" s="11">
        <v>45257</v>
      </c>
      <c r="S203" s="10" t="s">
        <v>48</v>
      </c>
      <c r="T203" s="3" t="str">
        <f>IF(AND(ProtocolosKL[[#This Row],[STATUS]]="APROVADO",ProtocolosKL[[#This Row],[WAIVER]]=""),"Y","")</f>
        <v/>
      </c>
      <c r="U203" t="s">
        <v>2615</v>
      </c>
      <c r="V203" s="16" t="str">
        <f t="shared" si="3"/>
        <v>68GV7NFABRINI ARAUJO/HELENA</v>
      </c>
      <c r="W203">
        <v>329</v>
      </c>
    </row>
    <row r="204" spans="1:23" hidden="1">
      <c r="A204" s="1">
        <v>45257</v>
      </c>
      <c r="B204" t="s">
        <v>10</v>
      </c>
      <c r="C204" t="s">
        <v>2616</v>
      </c>
      <c r="D204" s="23" t="s">
        <v>2617</v>
      </c>
      <c r="E204" t="s">
        <v>41</v>
      </c>
      <c r="F204" s="19">
        <v>57564931</v>
      </c>
      <c r="G204" s="53">
        <v>743204675174</v>
      </c>
      <c r="H204" s="52">
        <v>1209</v>
      </c>
      <c r="I204" s="5">
        <v>0.1</v>
      </c>
      <c r="J204" s="52" cm="1">
        <f t="array" ref="J20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121</v>
      </c>
      <c r="K204" s="15" t="s">
        <v>189</v>
      </c>
      <c r="L204" s="54" t="s">
        <v>76</v>
      </c>
      <c r="M204" t="s">
        <v>43</v>
      </c>
      <c r="N204" s="15" t="s">
        <v>863</v>
      </c>
      <c r="O204" s="5" t="s">
        <v>539</v>
      </c>
      <c r="P204" s="17" t="s">
        <v>69</v>
      </c>
      <c r="Q204" s="10" t="s">
        <v>1345</v>
      </c>
      <c r="R204" s="11">
        <v>45257</v>
      </c>
      <c r="S204" s="10" t="s">
        <v>48</v>
      </c>
      <c r="T204" s="3" t="str">
        <f>IF(AND(ProtocolosKL[[#This Row],[STATUS]]="APROVADO",ProtocolosKL[[#This Row],[WAIVER]]=""),"Y","")</f>
        <v/>
      </c>
      <c r="U204" t="s">
        <v>2618</v>
      </c>
      <c r="V204" s="16" t="str">
        <f t="shared" si="3"/>
        <v>JUUCHWOLIVEIRA/ANDREW MR</v>
      </c>
      <c r="W204">
        <v>330</v>
      </c>
    </row>
    <row r="205" spans="1:23" hidden="1">
      <c r="A205" s="1">
        <v>45257</v>
      </c>
      <c r="B205" t="s">
        <v>10</v>
      </c>
      <c r="C205" t="s">
        <v>2616</v>
      </c>
      <c r="D205" s="23" t="s">
        <v>2617</v>
      </c>
      <c r="E205" t="s">
        <v>41</v>
      </c>
      <c r="F205" s="19">
        <v>57564931</v>
      </c>
      <c r="G205" s="53">
        <v>743204675175</v>
      </c>
      <c r="H205" s="52">
        <v>1209</v>
      </c>
      <c r="I205" s="5">
        <v>0.1</v>
      </c>
      <c r="J205" s="52" cm="1">
        <f t="array" ref="J20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121</v>
      </c>
      <c r="K205" s="15" t="s">
        <v>189</v>
      </c>
      <c r="L205" s="54" t="s">
        <v>76</v>
      </c>
      <c r="M205" t="s">
        <v>43</v>
      </c>
      <c r="N205" s="15" t="s">
        <v>863</v>
      </c>
      <c r="O205" s="5" t="s">
        <v>539</v>
      </c>
      <c r="P205" s="17" t="s">
        <v>69</v>
      </c>
      <c r="Q205" s="10" t="s">
        <v>1345</v>
      </c>
      <c r="R205" s="11">
        <v>45257</v>
      </c>
      <c r="S205" s="10" t="s">
        <v>48</v>
      </c>
      <c r="T205" s="3" t="str">
        <f>IF(AND(ProtocolosKL[[#This Row],[STATUS]]="APROVADO",ProtocolosKL[[#This Row],[WAIVER]]=""),"Y","")</f>
        <v/>
      </c>
      <c r="U205" t="s">
        <v>2619</v>
      </c>
      <c r="V205" s="16" t="str">
        <f t="shared" si="3"/>
        <v>JUUCHWNOETZEL/CHRISTIAN MR</v>
      </c>
      <c r="W205">
        <v>330</v>
      </c>
    </row>
    <row r="206" spans="1:23" hidden="1">
      <c r="A206" s="1">
        <v>45261</v>
      </c>
      <c r="B206" t="s">
        <v>12</v>
      </c>
      <c r="C206" t="s">
        <v>2620</v>
      </c>
      <c r="D206" s="23" t="s">
        <v>2620</v>
      </c>
      <c r="E206" t="s">
        <v>41</v>
      </c>
      <c r="F206" s="19"/>
      <c r="G206" s="53"/>
      <c r="H206" s="52">
        <v>1312</v>
      </c>
      <c r="I206" s="5">
        <v>0.1</v>
      </c>
      <c r="J206" s="52" t="str" cm="1">
        <f t="array" ref="J20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06" s="15" t="s">
        <v>227</v>
      </c>
      <c r="L206" s="54" t="s">
        <v>172</v>
      </c>
      <c r="M206" t="s">
        <v>100</v>
      </c>
      <c r="N206" s="15" t="s">
        <v>863</v>
      </c>
      <c r="O206" s="5" t="s">
        <v>564</v>
      </c>
      <c r="P206" s="17" t="s">
        <v>46</v>
      </c>
      <c r="Q206" s="10"/>
      <c r="R206" s="11"/>
      <c r="S206" s="10"/>
      <c r="T206" s="3" t="str">
        <f>IF(AND(ProtocolosKL[[#This Row],[STATUS]]="APROVADO",ProtocolosKL[[#This Row],[WAIVER]]=""),"Y","")</f>
        <v/>
      </c>
      <c r="U206" t="s">
        <v>2621</v>
      </c>
      <c r="V206" s="16" t="str">
        <f t="shared" si="3"/>
        <v>38ET56BOTTON/WILSON</v>
      </c>
      <c r="W206">
        <v>339</v>
      </c>
    </row>
    <row r="207" spans="1:23" hidden="1">
      <c r="A207" s="1">
        <v>45261</v>
      </c>
      <c r="B207" t="s">
        <v>12</v>
      </c>
      <c r="C207" t="s">
        <v>2620</v>
      </c>
      <c r="D207" s="23" t="s">
        <v>2620</v>
      </c>
      <c r="E207" t="s">
        <v>41</v>
      </c>
      <c r="F207" s="19"/>
      <c r="G207" s="53"/>
      <c r="H207" s="52">
        <v>1312</v>
      </c>
      <c r="I207" s="5">
        <v>0.1</v>
      </c>
      <c r="J207" s="52" t="str" cm="1">
        <f t="array" ref="J20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07" s="15" t="s">
        <v>227</v>
      </c>
      <c r="L207" s="54" t="s">
        <v>172</v>
      </c>
      <c r="M207" t="s">
        <v>100</v>
      </c>
      <c r="N207" s="15" t="s">
        <v>863</v>
      </c>
      <c r="O207" s="5" t="s">
        <v>564</v>
      </c>
      <c r="P207" s="17" t="s">
        <v>46</v>
      </c>
      <c r="Q207" s="10"/>
      <c r="R207" s="11"/>
      <c r="S207" s="10"/>
      <c r="T207" s="3" t="str">
        <f>IF(AND(ProtocolosKL[[#This Row],[STATUS]]="APROVADO",ProtocolosKL[[#This Row],[WAIVER]]=""),"Y","")</f>
        <v/>
      </c>
      <c r="U207" t="s">
        <v>2622</v>
      </c>
      <c r="V207" s="16" t="str">
        <f t="shared" si="3"/>
        <v>38ET56DOS SANTOS BOTTON/ROSANA</v>
      </c>
      <c r="W207">
        <v>339</v>
      </c>
    </row>
    <row r="208" spans="1:23" hidden="1">
      <c r="A208" s="1">
        <v>45265</v>
      </c>
      <c r="B208" t="s">
        <v>13</v>
      </c>
      <c r="C208" t="s">
        <v>2623</v>
      </c>
      <c r="D208" s="23" t="s">
        <v>2624</v>
      </c>
      <c r="E208" t="s">
        <v>41</v>
      </c>
      <c r="F208" s="19">
        <v>57519652</v>
      </c>
      <c r="G208" s="53">
        <v>743204692238</v>
      </c>
      <c r="H208" s="52">
        <v>1207</v>
      </c>
      <c r="I208" s="5">
        <v>0.1</v>
      </c>
      <c r="J208" s="52" cm="1">
        <f t="array" ref="J20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121</v>
      </c>
      <c r="K208" s="15" t="s">
        <v>151</v>
      </c>
      <c r="L208" s="54" t="s">
        <v>76</v>
      </c>
      <c r="M208" t="s">
        <v>43</v>
      </c>
      <c r="N208" s="15" t="s">
        <v>863</v>
      </c>
      <c r="O208" s="5" t="s">
        <v>167</v>
      </c>
      <c r="P208" s="17" t="s">
        <v>46</v>
      </c>
      <c r="Q208" s="10" t="s">
        <v>168</v>
      </c>
      <c r="R208" s="11">
        <v>45266</v>
      </c>
      <c r="S208" s="10" t="s">
        <v>48</v>
      </c>
      <c r="T208" s="3" t="str">
        <f>IF(AND(ProtocolosKL[[#This Row],[STATUS]]="APROVADO",ProtocolosKL[[#This Row],[WAIVER]]=""),"Y","")</f>
        <v/>
      </c>
      <c r="U208" t="s">
        <v>2625</v>
      </c>
      <c r="V208" s="16" t="str">
        <f t="shared" ref="V208:V271" si="4">_xlfn.CONCAT(C208,U208)</f>
        <v>YALAGJLOPES DE ARAUJO/TOMAS</v>
      </c>
      <c r="W208">
        <v>342</v>
      </c>
    </row>
    <row r="209" spans="1:23" hidden="1">
      <c r="A209" s="1">
        <v>45267</v>
      </c>
      <c r="B209" t="s">
        <v>13</v>
      </c>
      <c r="C209" t="s">
        <v>2626</v>
      </c>
      <c r="D209" s="23" t="s">
        <v>2626</v>
      </c>
      <c r="E209" t="s">
        <v>41</v>
      </c>
      <c r="F209" s="19"/>
      <c r="G209" s="53"/>
      <c r="H209" s="52">
        <v>987</v>
      </c>
      <c r="I209" s="5">
        <v>0.1</v>
      </c>
      <c r="J209" s="52" t="str" cm="1">
        <f t="array" ref="J20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09" s="15" t="s">
        <v>817</v>
      </c>
      <c r="L209" s="54" t="s">
        <v>76</v>
      </c>
      <c r="M209" t="s">
        <v>100</v>
      </c>
      <c r="N209" s="15" t="s">
        <v>863</v>
      </c>
      <c r="O209" s="5" t="s">
        <v>1065</v>
      </c>
      <c r="P209" s="17" t="s">
        <v>46</v>
      </c>
      <c r="Q209" s="10"/>
      <c r="R209" s="11"/>
      <c r="S209" s="10"/>
      <c r="T209" s="3" t="str">
        <f>IF(AND(ProtocolosKL[[#This Row],[STATUS]]="APROVADO",ProtocolosKL[[#This Row],[WAIVER]]=""),"Y","")</f>
        <v/>
      </c>
      <c r="U209" t="s">
        <v>2627</v>
      </c>
      <c r="V209" s="16" t="str">
        <f t="shared" si="4"/>
        <v>49V6P8DE SOUZA SANTOS SIMONINI/ELLEN</v>
      </c>
      <c r="W209">
        <v>343</v>
      </c>
    </row>
    <row r="210" spans="1:23" hidden="1">
      <c r="A210" s="1">
        <v>45268</v>
      </c>
      <c r="B210" t="s">
        <v>13</v>
      </c>
      <c r="C210" t="s">
        <v>2628</v>
      </c>
      <c r="D210" s="23" t="s">
        <v>2629</v>
      </c>
      <c r="E210" t="s">
        <v>41</v>
      </c>
      <c r="F210" s="19">
        <v>57564931</v>
      </c>
      <c r="G210" s="53">
        <v>742935957210</v>
      </c>
      <c r="H210" s="52">
        <v>986</v>
      </c>
      <c r="I210" s="5">
        <v>0.1</v>
      </c>
      <c r="J210" s="52" cm="1">
        <f t="array" ref="J21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99</v>
      </c>
      <c r="K210" s="15" t="s">
        <v>151</v>
      </c>
      <c r="L210" s="54" t="s">
        <v>76</v>
      </c>
      <c r="M210" t="s">
        <v>43</v>
      </c>
      <c r="N210" s="15" t="s">
        <v>863</v>
      </c>
      <c r="O210" s="5" t="s">
        <v>417</v>
      </c>
      <c r="P210" s="17" t="s">
        <v>255</v>
      </c>
      <c r="Q210" s="10" t="s">
        <v>168</v>
      </c>
      <c r="R210" s="11">
        <v>45268</v>
      </c>
      <c r="S210" s="10" t="s">
        <v>48</v>
      </c>
      <c r="T210" s="3" t="str">
        <f>IF(AND(ProtocolosKL[[#This Row],[STATUS]]="APROVADO",ProtocolosKL[[#This Row],[WAIVER]]=""),"Y","")</f>
        <v/>
      </c>
      <c r="U210" t="s">
        <v>2630</v>
      </c>
      <c r="V210" s="16" t="str">
        <f t="shared" si="4"/>
        <v>6CVFHTTOLEDO NUNES/DOMINGAS</v>
      </c>
      <c r="W210">
        <v>345</v>
      </c>
    </row>
    <row r="211" spans="1:23" hidden="1">
      <c r="A211" s="1">
        <v>45268</v>
      </c>
      <c r="B211" t="s">
        <v>13</v>
      </c>
      <c r="C211" t="s">
        <v>2628</v>
      </c>
      <c r="D211" s="23" t="s">
        <v>2629</v>
      </c>
      <c r="E211" t="s">
        <v>41</v>
      </c>
      <c r="F211" s="19">
        <v>57564931</v>
      </c>
      <c r="G211" s="53">
        <v>742935957212</v>
      </c>
      <c r="H211" s="52">
        <v>986</v>
      </c>
      <c r="I211" s="5">
        <v>0.1</v>
      </c>
      <c r="J211" s="52" cm="1">
        <f t="array" ref="J21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99</v>
      </c>
      <c r="K211" s="15" t="s">
        <v>151</v>
      </c>
      <c r="L211" s="54" t="s">
        <v>76</v>
      </c>
      <c r="M211" t="s">
        <v>43</v>
      </c>
      <c r="N211" s="15" t="s">
        <v>863</v>
      </c>
      <c r="O211" s="5" t="s">
        <v>417</v>
      </c>
      <c r="P211" s="17" t="s">
        <v>255</v>
      </c>
      <c r="Q211" s="10" t="s">
        <v>168</v>
      </c>
      <c r="R211" s="11">
        <v>45268</v>
      </c>
      <c r="S211" s="10" t="s">
        <v>48</v>
      </c>
      <c r="T211" s="3" t="str">
        <f>IF(AND(ProtocolosKL[[#This Row],[STATUS]]="APROVADO",ProtocolosKL[[#This Row],[WAIVER]]=""),"Y","")</f>
        <v/>
      </c>
      <c r="U211" t="s">
        <v>2631</v>
      </c>
      <c r="V211" s="16" t="str">
        <f t="shared" si="4"/>
        <v>6CVFHTANTONICHELLI DE HELD/WALDIRA</v>
      </c>
      <c r="W211">
        <v>345</v>
      </c>
    </row>
    <row r="212" spans="1:23" hidden="1">
      <c r="A212" s="1">
        <v>45268</v>
      </c>
      <c r="B212" t="s">
        <v>13</v>
      </c>
      <c r="C212" t="s">
        <v>2632</v>
      </c>
      <c r="D212" s="23" t="s">
        <v>2633</v>
      </c>
      <c r="E212" t="s">
        <v>41</v>
      </c>
      <c r="F212" s="19">
        <v>57564931</v>
      </c>
      <c r="G212" s="53">
        <v>742935957214</v>
      </c>
      <c r="H212" s="52">
        <v>986</v>
      </c>
      <c r="I212" s="5">
        <v>0.1</v>
      </c>
      <c r="J212" s="52" cm="1">
        <f t="array" ref="J21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99</v>
      </c>
      <c r="K212" s="15" t="s">
        <v>151</v>
      </c>
      <c r="L212" s="54" t="s">
        <v>76</v>
      </c>
      <c r="M212" t="s">
        <v>43</v>
      </c>
      <c r="N212" s="15" t="s">
        <v>863</v>
      </c>
      <c r="O212" s="5" t="s">
        <v>417</v>
      </c>
      <c r="P212" s="17" t="s">
        <v>255</v>
      </c>
      <c r="Q212" s="10" t="s">
        <v>168</v>
      </c>
      <c r="R212" s="11">
        <v>45268</v>
      </c>
      <c r="S212" s="10" t="s">
        <v>48</v>
      </c>
      <c r="T212" s="3" t="str">
        <f>IF(AND(ProtocolosKL[[#This Row],[STATUS]]="APROVADO",ProtocolosKL[[#This Row],[WAIVER]]=""),"Y","")</f>
        <v/>
      </c>
      <c r="U212" t="s">
        <v>2634</v>
      </c>
      <c r="V212" s="16" t="str">
        <f t="shared" si="4"/>
        <v>6CNTQLGIANGRECCO/CLAUDIO JOSE</v>
      </c>
      <c r="W212">
        <v>344</v>
      </c>
    </row>
    <row r="213" spans="1:23" hidden="1">
      <c r="A213" s="1">
        <v>45268</v>
      </c>
      <c r="B213" t="s">
        <v>13</v>
      </c>
      <c r="C213" t="s">
        <v>2632</v>
      </c>
      <c r="D213" s="23" t="s">
        <v>2633</v>
      </c>
      <c r="E213" t="s">
        <v>41</v>
      </c>
      <c r="F213" s="19">
        <v>57564931</v>
      </c>
      <c r="G213" s="53">
        <v>742935957217</v>
      </c>
      <c r="H213" s="52">
        <v>986</v>
      </c>
      <c r="I213" s="5">
        <v>0.1</v>
      </c>
      <c r="J213" s="52" cm="1">
        <f t="array" ref="J21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99</v>
      </c>
      <c r="K213" s="15" t="s">
        <v>151</v>
      </c>
      <c r="L213" s="54" t="s">
        <v>76</v>
      </c>
      <c r="M213" t="s">
        <v>43</v>
      </c>
      <c r="N213" s="15" t="s">
        <v>863</v>
      </c>
      <c r="O213" s="5" t="s">
        <v>417</v>
      </c>
      <c r="P213" s="17" t="s">
        <v>255</v>
      </c>
      <c r="Q213" s="10" t="s">
        <v>168</v>
      </c>
      <c r="R213" s="11">
        <v>45268</v>
      </c>
      <c r="S213" s="10" t="s">
        <v>48</v>
      </c>
      <c r="T213" s="3" t="str">
        <f>IF(AND(ProtocolosKL[[#This Row],[STATUS]]="APROVADO",ProtocolosKL[[#This Row],[WAIVER]]=""),"Y","")</f>
        <v/>
      </c>
      <c r="U213" t="s">
        <v>2635</v>
      </c>
      <c r="V213" s="16" t="str">
        <f t="shared" si="4"/>
        <v>6CNTQLOLIVEIRA TREVIZOLI/MARIA CRISTINA</v>
      </c>
      <c r="W213">
        <v>344</v>
      </c>
    </row>
    <row r="214" spans="1:23" hidden="1">
      <c r="A214" s="1">
        <v>45271</v>
      </c>
      <c r="B214" t="s">
        <v>13</v>
      </c>
      <c r="C214" t="s">
        <v>2636</v>
      </c>
      <c r="D214" s="23" t="s">
        <v>2637</v>
      </c>
      <c r="E214" t="s">
        <v>41</v>
      </c>
      <c r="F214" s="19"/>
      <c r="G214" s="53"/>
      <c r="H214" s="52">
        <v>712</v>
      </c>
      <c r="I214" s="5">
        <v>0.1</v>
      </c>
      <c r="J214" s="52" t="str" cm="1">
        <f t="array" ref="J21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14" s="15" t="s">
        <v>151</v>
      </c>
      <c r="L214" s="54" t="s">
        <v>76</v>
      </c>
      <c r="M214" t="s">
        <v>217</v>
      </c>
      <c r="N214" s="15" t="s">
        <v>863</v>
      </c>
      <c r="O214" s="5" t="s">
        <v>417</v>
      </c>
      <c r="P214" s="17" t="s">
        <v>255</v>
      </c>
      <c r="Q214" s="10"/>
      <c r="R214" s="11"/>
      <c r="S214" s="10"/>
      <c r="T214" s="3" t="str">
        <f>IF(AND(ProtocolosKL[[#This Row],[STATUS]]="APROVADO",ProtocolosKL[[#This Row],[WAIVER]]=""),"Y","")</f>
        <v/>
      </c>
      <c r="U214" t="s">
        <v>2638</v>
      </c>
      <c r="V214" s="16" t="str">
        <f t="shared" si="4"/>
        <v>FMUNFGBORSARI TURCATO/ERIKA</v>
      </c>
      <c r="W214">
        <v>347</v>
      </c>
    </row>
    <row r="215" spans="1:23" hidden="1">
      <c r="A215" s="1">
        <v>45271</v>
      </c>
      <c r="B215" t="s">
        <v>13</v>
      </c>
      <c r="C215" t="s">
        <v>2636</v>
      </c>
      <c r="D215" s="23" t="s">
        <v>2637</v>
      </c>
      <c r="E215" t="s">
        <v>41</v>
      </c>
      <c r="F215" s="19">
        <v>57564931</v>
      </c>
      <c r="G215" s="53">
        <v>743204755340</v>
      </c>
      <c r="H215" s="52">
        <v>4137</v>
      </c>
      <c r="I215" s="5">
        <v>7.0000000000000007E-2</v>
      </c>
      <c r="J215" s="52" cm="1">
        <f t="array" ref="J21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290</v>
      </c>
      <c r="K215" s="15" t="s">
        <v>151</v>
      </c>
      <c r="L215" s="54" t="s">
        <v>76</v>
      </c>
      <c r="M215" t="s">
        <v>43</v>
      </c>
      <c r="N215" s="15" t="s">
        <v>863</v>
      </c>
      <c r="O215" s="5" t="s">
        <v>417</v>
      </c>
      <c r="P215" s="17" t="s">
        <v>255</v>
      </c>
      <c r="Q215" s="10" t="s">
        <v>168</v>
      </c>
      <c r="R215" s="11">
        <v>45272</v>
      </c>
      <c r="S215" s="10" t="s">
        <v>48</v>
      </c>
      <c r="T215" s="3" t="str">
        <f>IF(AND(ProtocolosKL[[#This Row],[STATUS]]="APROVADO",ProtocolosKL[[#This Row],[WAIVER]]=""),"Y","")</f>
        <v/>
      </c>
      <c r="U215" t="s">
        <v>2638</v>
      </c>
      <c r="V215" s="16" t="str">
        <f t="shared" si="4"/>
        <v>FMUNFGBORSARI TURCATO/ERIKA</v>
      </c>
      <c r="W215">
        <v>350</v>
      </c>
    </row>
    <row r="216" spans="1:23" hidden="1">
      <c r="A216" s="1">
        <v>45271</v>
      </c>
      <c r="B216" t="s">
        <v>13</v>
      </c>
      <c r="C216" t="s">
        <v>2636</v>
      </c>
      <c r="D216" s="23" t="s">
        <v>2637</v>
      </c>
      <c r="E216" t="s">
        <v>41</v>
      </c>
      <c r="F216" s="19">
        <v>57564931</v>
      </c>
      <c r="G216" s="53">
        <v>743204758250</v>
      </c>
      <c r="H216" s="52">
        <v>4137</v>
      </c>
      <c r="I216" s="5">
        <v>7.0000000000000007E-2</v>
      </c>
      <c r="J216" s="52" cm="1">
        <f t="array" ref="J21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290</v>
      </c>
      <c r="K216" s="15" t="s">
        <v>151</v>
      </c>
      <c r="L216" s="54" t="s">
        <v>76</v>
      </c>
      <c r="M216" t="s">
        <v>43</v>
      </c>
      <c r="N216" s="15" t="s">
        <v>863</v>
      </c>
      <c r="O216" s="5" t="s">
        <v>417</v>
      </c>
      <c r="P216" s="17" t="s">
        <v>255</v>
      </c>
      <c r="Q216" s="10" t="s">
        <v>168</v>
      </c>
      <c r="R216" s="11">
        <v>45272</v>
      </c>
      <c r="S216" s="10" t="s">
        <v>48</v>
      </c>
      <c r="T216" s="3" t="str">
        <f>IF(AND(ProtocolosKL[[#This Row],[STATUS]]="APROVADO",ProtocolosKL[[#This Row],[WAIVER]]=""),"Y","")</f>
        <v/>
      </c>
      <c r="U216" t="s">
        <v>2639</v>
      </c>
      <c r="V216" s="16" t="str">
        <f t="shared" si="4"/>
        <v>FMUNFGTURCATO/WALDEMIR</v>
      </c>
      <c r="W216">
        <v>350</v>
      </c>
    </row>
    <row r="217" spans="1:23" hidden="1">
      <c r="A217" s="1">
        <v>45273</v>
      </c>
      <c r="B217" t="s">
        <v>12</v>
      </c>
      <c r="C217" t="s">
        <v>2640</v>
      </c>
      <c r="D217" s="23" t="s">
        <v>2641</v>
      </c>
      <c r="E217" t="s">
        <v>41</v>
      </c>
      <c r="F217" s="19"/>
      <c r="G217" s="53"/>
      <c r="H217" s="52">
        <v>4633</v>
      </c>
      <c r="I217" s="5">
        <v>0.1</v>
      </c>
      <c r="J217" s="52" t="str" cm="1">
        <f t="array" ref="J21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17" s="15" t="s">
        <v>227</v>
      </c>
      <c r="L217" s="54" t="s">
        <v>172</v>
      </c>
      <c r="M217" t="s">
        <v>100</v>
      </c>
      <c r="N217" s="15" t="s">
        <v>171</v>
      </c>
      <c r="O217" s="5" t="s">
        <v>167</v>
      </c>
      <c r="P217" s="17" t="s">
        <v>46</v>
      </c>
      <c r="Q217" s="10"/>
      <c r="R217" s="11"/>
      <c r="S217" s="10"/>
      <c r="T217" s="3" t="str">
        <f>IF(AND(ProtocolosKL[[#This Row],[STATUS]]="APROVADO",ProtocolosKL[[#This Row],[WAIVER]]=""),"Y","")</f>
        <v/>
      </c>
      <c r="U217" t="s">
        <v>2642</v>
      </c>
      <c r="V217" s="16" t="str">
        <f t="shared" si="4"/>
        <v>6F3BJCCORTEZ CASAL DA VEIGA/PEDRO JOSE</v>
      </c>
      <c r="W217">
        <v>353</v>
      </c>
    </row>
    <row r="218" spans="1:23" hidden="1">
      <c r="A218" s="1">
        <v>45278</v>
      </c>
      <c r="B218" t="s">
        <v>12</v>
      </c>
      <c r="C218" t="s">
        <v>2643</v>
      </c>
      <c r="D218" s="23" t="s">
        <v>2644</v>
      </c>
      <c r="E218" t="s">
        <v>41</v>
      </c>
      <c r="F218" s="19">
        <v>57564931</v>
      </c>
      <c r="G218" s="53">
        <v>742935964679</v>
      </c>
      <c r="H218" s="52">
        <v>1052</v>
      </c>
      <c r="I218" s="5">
        <v>0.1</v>
      </c>
      <c r="J218" s="52" cm="1">
        <f t="array" ref="J21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106</v>
      </c>
      <c r="K218" s="15" t="s">
        <v>227</v>
      </c>
      <c r="L218" s="54" t="s">
        <v>172</v>
      </c>
      <c r="M218" t="s">
        <v>43</v>
      </c>
      <c r="N218" s="15" t="s">
        <v>863</v>
      </c>
      <c r="O218" s="5" t="s">
        <v>682</v>
      </c>
      <c r="P218" s="17" t="s">
        <v>146</v>
      </c>
      <c r="Q218" s="10" t="s">
        <v>1678</v>
      </c>
      <c r="R218" s="11">
        <v>45279</v>
      </c>
      <c r="S218" s="10" t="s">
        <v>48</v>
      </c>
      <c r="T218" s="3" t="str">
        <f>IF(AND(ProtocolosKL[[#This Row],[STATUS]]="APROVADO",ProtocolosKL[[#This Row],[WAIVER]]=""),"Y","")</f>
        <v/>
      </c>
      <c r="U218" t="s">
        <v>2645</v>
      </c>
      <c r="V218" s="16" t="str">
        <f t="shared" si="4"/>
        <v>6G52PBJANTSCH TOPPEL/MARCO ANTONIO</v>
      </c>
      <c r="W218">
        <v>360</v>
      </c>
    </row>
    <row r="219" spans="1:23" hidden="1">
      <c r="A219" s="1">
        <v>45280</v>
      </c>
      <c r="B219" t="s">
        <v>13</v>
      </c>
      <c r="C219" t="s">
        <v>2646</v>
      </c>
      <c r="D219" s="23" t="s">
        <v>2647</v>
      </c>
      <c r="E219" t="s">
        <v>41</v>
      </c>
      <c r="F219" s="19"/>
      <c r="G219" s="53"/>
      <c r="H219" s="52">
        <v>1253</v>
      </c>
      <c r="I219" s="5">
        <v>0.1</v>
      </c>
      <c r="J219" s="52" t="str" cm="1">
        <f t="array" ref="J21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19" s="15" t="s">
        <v>1095</v>
      </c>
      <c r="L219" s="54" t="s">
        <v>66</v>
      </c>
      <c r="M219" t="s">
        <v>100</v>
      </c>
      <c r="N219" s="15" t="s">
        <v>863</v>
      </c>
      <c r="O219" s="5" t="s">
        <v>1539</v>
      </c>
      <c r="P219" s="17" t="s">
        <v>46</v>
      </c>
      <c r="Q219" s="10"/>
      <c r="R219" s="11"/>
      <c r="S219" s="10"/>
      <c r="T219" s="3" t="str">
        <f>IF(AND(ProtocolosKL[[#This Row],[STATUS]]="APROVADO",ProtocolosKL[[#This Row],[WAIVER]]=""),"Y","")</f>
        <v/>
      </c>
      <c r="U219" t="s">
        <v>2648</v>
      </c>
      <c r="V219" s="16" t="str">
        <f t="shared" si="4"/>
        <v>6GQXJ8DO NASCIMENTO/TIAGO SILVA</v>
      </c>
      <c r="W219">
        <v>364</v>
      </c>
    </row>
    <row r="220" spans="1:23" hidden="1">
      <c r="A220" s="1">
        <v>45286</v>
      </c>
      <c r="B220" t="s">
        <v>11</v>
      </c>
      <c r="C220" t="s">
        <v>2649</v>
      </c>
      <c r="D220" s="23" t="s">
        <v>2649</v>
      </c>
      <c r="E220" t="s">
        <v>73</v>
      </c>
      <c r="F220" s="19">
        <v>57564931</v>
      </c>
      <c r="G220" s="53">
        <v>744105443514</v>
      </c>
      <c r="H220" s="52">
        <v>85</v>
      </c>
      <c r="I220" s="5" t="s">
        <v>74</v>
      </c>
      <c r="J220" s="52" cm="1">
        <f t="array" ref="J22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85</v>
      </c>
      <c r="K220" s="15" t="s">
        <v>1365</v>
      </c>
      <c r="L220" s="54" t="s">
        <v>76</v>
      </c>
      <c r="M220" t="s">
        <v>43</v>
      </c>
      <c r="N220" s="15" t="s">
        <v>171</v>
      </c>
      <c r="O220" s="5" t="s">
        <v>436</v>
      </c>
      <c r="P220" s="17" t="s">
        <v>146</v>
      </c>
      <c r="Q220" s="10" t="s">
        <v>353</v>
      </c>
      <c r="R220" s="11">
        <v>45288</v>
      </c>
      <c r="S220" s="10" t="s">
        <v>520</v>
      </c>
      <c r="T220" s="3" t="str">
        <f>IF(AND(ProtocolosKL[[#This Row],[STATUS]]="APROVADO",ProtocolosKL[[#This Row],[WAIVER]]=""),"Y","")</f>
        <v/>
      </c>
      <c r="U220" t="s">
        <v>2650</v>
      </c>
      <c r="V220" s="16" t="str">
        <f t="shared" si="4"/>
        <v>3NYO5XCABRAL GARDNER/ANA CRISTINA</v>
      </c>
      <c r="W220">
        <v>371</v>
      </c>
    </row>
    <row r="221" spans="1:23" hidden="1">
      <c r="A221" s="1">
        <v>45286</v>
      </c>
      <c r="B221" t="s">
        <v>11</v>
      </c>
      <c r="C221" t="s">
        <v>2649</v>
      </c>
      <c r="D221" s="23" t="s">
        <v>2649</v>
      </c>
      <c r="E221" t="s">
        <v>73</v>
      </c>
      <c r="F221" s="19">
        <v>57564931</v>
      </c>
      <c r="G221" s="53">
        <v>744105443515</v>
      </c>
      <c r="H221" s="52">
        <v>85</v>
      </c>
      <c r="I221" s="5" t="s">
        <v>74</v>
      </c>
      <c r="J221" s="52" cm="1">
        <f t="array" ref="J22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85</v>
      </c>
      <c r="K221" s="15" t="s">
        <v>1365</v>
      </c>
      <c r="L221" s="54" t="s">
        <v>76</v>
      </c>
      <c r="M221" t="s">
        <v>43</v>
      </c>
      <c r="N221" s="15" t="s">
        <v>171</v>
      </c>
      <c r="O221" s="5" t="s">
        <v>436</v>
      </c>
      <c r="P221" s="17" t="s">
        <v>146</v>
      </c>
      <c r="Q221" s="10" t="s">
        <v>353</v>
      </c>
      <c r="R221" s="11">
        <v>45288</v>
      </c>
      <c r="S221" s="10" t="s">
        <v>520</v>
      </c>
      <c r="T221" s="3" t="str">
        <f>IF(AND(ProtocolosKL[[#This Row],[STATUS]]="APROVADO",ProtocolosKL[[#This Row],[WAIVER]]=""),"Y","")</f>
        <v/>
      </c>
      <c r="U221" t="s">
        <v>2651</v>
      </c>
      <c r="V221" s="16" t="str">
        <f t="shared" si="4"/>
        <v>3NYO5XGARDNER/LAUREN THEODORA</v>
      </c>
      <c r="W221">
        <v>371</v>
      </c>
    </row>
    <row r="222" spans="1:23" hidden="1">
      <c r="A222" s="1">
        <v>45286</v>
      </c>
      <c r="B222" t="s">
        <v>13</v>
      </c>
      <c r="C222" t="s">
        <v>2652</v>
      </c>
      <c r="D222" s="23" t="s">
        <v>2653</v>
      </c>
      <c r="E222" t="s">
        <v>41</v>
      </c>
      <c r="F222" s="19">
        <v>57504591</v>
      </c>
      <c r="G222" s="53">
        <v>743204648549</v>
      </c>
      <c r="H222" s="52">
        <v>1134</v>
      </c>
      <c r="I222" s="5">
        <v>0.1</v>
      </c>
      <c r="J222" s="52" cm="1">
        <f t="array" ref="J22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114</v>
      </c>
      <c r="K222" s="15" t="s">
        <v>151</v>
      </c>
      <c r="L222" s="54" t="s">
        <v>76</v>
      </c>
      <c r="M222" t="s">
        <v>43</v>
      </c>
      <c r="N222" s="15" t="s">
        <v>171</v>
      </c>
      <c r="O222" s="5" t="s">
        <v>1065</v>
      </c>
      <c r="P222" s="17" t="s">
        <v>69</v>
      </c>
      <c r="Q222" s="10" t="s">
        <v>168</v>
      </c>
      <c r="R222" s="11">
        <v>45286</v>
      </c>
      <c r="S222" s="10" t="s">
        <v>48</v>
      </c>
      <c r="T222" s="3" t="str">
        <f>IF(AND(ProtocolosKL[[#This Row],[STATUS]]="APROVADO",ProtocolosKL[[#This Row],[WAIVER]]=""),"Y","")</f>
        <v/>
      </c>
      <c r="U222" t="s">
        <v>2654</v>
      </c>
      <c r="V222" s="16" t="str">
        <f t="shared" si="4"/>
        <v>LQXOJWSIMONINI/ELLEN</v>
      </c>
      <c r="W222">
        <v>373</v>
      </c>
    </row>
    <row r="223" spans="1:23" hidden="1">
      <c r="A223" s="1">
        <v>45289</v>
      </c>
      <c r="B223" t="s">
        <v>13</v>
      </c>
      <c r="C223" t="s">
        <v>2655</v>
      </c>
      <c r="D223" s="23" t="s">
        <v>2655</v>
      </c>
      <c r="E223" t="s">
        <v>41</v>
      </c>
      <c r="F223" s="19">
        <v>57564931</v>
      </c>
      <c r="G223" s="53">
        <v>743542258715</v>
      </c>
      <c r="H223" s="52">
        <v>1043</v>
      </c>
      <c r="I223" s="5">
        <v>0.1</v>
      </c>
      <c r="J223" s="52" cm="1">
        <f t="array" ref="J22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105</v>
      </c>
      <c r="K223" s="15" t="s">
        <v>528</v>
      </c>
      <c r="L223" s="54" t="s">
        <v>76</v>
      </c>
      <c r="M223" t="s">
        <v>43</v>
      </c>
      <c r="N223" s="15" t="s">
        <v>171</v>
      </c>
      <c r="O223" s="5" t="s">
        <v>2656</v>
      </c>
      <c r="P223" s="17" t="s">
        <v>255</v>
      </c>
      <c r="Q223" s="10" t="s">
        <v>168</v>
      </c>
      <c r="R223" s="11">
        <v>45296</v>
      </c>
      <c r="S223" s="10" t="s">
        <v>48</v>
      </c>
      <c r="T223" s="3" t="str">
        <f>IF(AND(ProtocolosKL[[#This Row],[STATUS]]="APROVADO",ProtocolosKL[[#This Row],[WAIVER]]=""),"Y","")</f>
        <v/>
      </c>
      <c r="U223" t="s">
        <v>2657</v>
      </c>
      <c r="V223" s="16" t="str">
        <f t="shared" si="4"/>
        <v>4Y89A5BRENDOLAN/EIDENIR MR</v>
      </c>
      <c r="W223">
        <v>380</v>
      </c>
    </row>
    <row r="224" spans="1:23" hidden="1">
      <c r="A224" s="1">
        <v>45289</v>
      </c>
      <c r="B224" t="s">
        <v>13</v>
      </c>
      <c r="C224" t="s">
        <v>2658</v>
      </c>
      <c r="D224" s="23" t="s">
        <v>2658</v>
      </c>
      <c r="E224" t="s">
        <v>41</v>
      </c>
      <c r="F224" s="19">
        <v>57564931</v>
      </c>
      <c r="G224" s="53">
        <v>743542258717</v>
      </c>
      <c r="H224" s="52">
        <v>1043</v>
      </c>
      <c r="I224" s="5">
        <v>0.1</v>
      </c>
      <c r="J224" s="52" cm="1">
        <f t="array" ref="J22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105</v>
      </c>
      <c r="K224" s="15" t="s">
        <v>528</v>
      </c>
      <c r="L224" s="54" t="s">
        <v>76</v>
      </c>
      <c r="M224" t="s">
        <v>43</v>
      </c>
      <c r="N224" s="15" t="s">
        <v>171</v>
      </c>
      <c r="O224" s="5" t="s">
        <v>417</v>
      </c>
      <c r="P224" s="17" t="s">
        <v>255</v>
      </c>
      <c r="Q224" s="10" t="s">
        <v>168</v>
      </c>
      <c r="R224" s="11">
        <v>45296</v>
      </c>
      <c r="S224" s="10" t="s">
        <v>48</v>
      </c>
      <c r="T224" s="3" t="str">
        <f>IF(AND(ProtocolosKL[[#This Row],[STATUS]]="APROVADO",ProtocolosKL[[#This Row],[WAIVER]]=""),"Y","")</f>
        <v/>
      </c>
      <c r="U224" t="s">
        <v>2659</v>
      </c>
      <c r="V224" s="16" t="str">
        <f t="shared" si="4"/>
        <v>4YEDG8BALDUINO SOUZA MASSARI/LUZIA</v>
      </c>
      <c r="W224">
        <v>381</v>
      </c>
    </row>
    <row r="225" spans="1:23" hidden="1">
      <c r="A225" s="1">
        <v>45290</v>
      </c>
      <c r="B225" t="s">
        <v>16</v>
      </c>
      <c r="C225" t="s">
        <v>2660</v>
      </c>
      <c r="D225" s="23" t="s">
        <v>2661</v>
      </c>
      <c r="E225" t="s">
        <v>41</v>
      </c>
      <c r="F225" s="19"/>
      <c r="G225" s="53"/>
      <c r="H225" s="52">
        <v>1114</v>
      </c>
      <c r="I225" s="5">
        <v>0.15</v>
      </c>
      <c r="J225" s="52" t="str" cm="1">
        <f t="array" ref="J22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25" s="15" t="s">
        <v>2662</v>
      </c>
      <c r="L225" s="54" t="s">
        <v>66</v>
      </c>
      <c r="M225" t="s">
        <v>100</v>
      </c>
      <c r="N225" s="15" t="s">
        <v>1012</v>
      </c>
      <c r="O225" s="5" t="s">
        <v>78</v>
      </c>
      <c r="P225" s="17" t="s">
        <v>146</v>
      </c>
      <c r="Q225" s="10"/>
      <c r="R225" s="11"/>
      <c r="S225" s="10"/>
      <c r="T225" s="3" t="str">
        <f>IF(AND(ProtocolosKL[[#This Row],[STATUS]]="APROVADO",ProtocolosKL[[#This Row],[WAIVER]]=""),"Y","")</f>
        <v/>
      </c>
      <c r="U225" t="s">
        <v>2663</v>
      </c>
      <c r="V225" s="16" t="str">
        <f t="shared" si="4"/>
        <v>6JVNFNDE OLIVEIRA/KESIA MRS</v>
      </c>
      <c r="W225">
        <v>382</v>
      </c>
    </row>
    <row r="226" spans="1:23" hidden="1">
      <c r="A226" s="1">
        <v>45290</v>
      </c>
      <c r="B226" t="s">
        <v>16</v>
      </c>
      <c r="C226" t="s">
        <v>2660</v>
      </c>
      <c r="D226" s="23" t="s">
        <v>2661</v>
      </c>
      <c r="E226" t="s">
        <v>41</v>
      </c>
      <c r="F226" s="19"/>
      <c r="G226" s="53"/>
      <c r="H226" s="52">
        <v>1114</v>
      </c>
      <c r="I226" s="5">
        <v>0.15</v>
      </c>
      <c r="J226" s="52" t="str" cm="1">
        <f t="array" ref="J22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26" s="15" t="s">
        <v>2662</v>
      </c>
      <c r="L226" s="54" t="s">
        <v>66</v>
      </c>
      <c r="M226" t="s">
        <v>100</v>
      </c>
      <c r="N226" s="15" t="s">
        <v>1012</v>
      </c>
      <c r="O226" s="5" t="s">
        <v>78</v>
      </c>
      <c r="P226" s="17" t="s">
        <v>146</v>
      </c>
      <c r="Q226" s="10"/>
      <c r="R226" s="11"/>
      <c r="S226" s="10"/>
      <c r="T226" s="3" t="str">
        <f>IF(AND(ProtocolosKL[[#This Row],[STATUS]]="APROVADO",ProtocolosKL[[#This Row],[WAIVER]]=""),"Y","")</f>
        <v/>
      </c>
      <c r="U226" t="s">
        <v>2664</v>
      </c>
      <c r="V226" s="16" t="str">
        <f t="shared" si="4"/>
        <v xml:space="preserve">6JVNFNDE CARVALHO/LUCAS MATEUS MR </v>
      </c>
      <c r="W226">
        <v>382</v>
      </c>
    </row>
    <row r="227" spans="1:23" hidden="1">
      <c r="A227" s="1">
        <v>45290</v>
      </c>
      <c r="B227" t="s">
        <v>16</v>
      </c>
      <c r="C227" t="s">
        <v>2665</v>
      </c>
      <c r="D227" s="23" t="s">
        <v>2666</v>
      </c>
      <c r="E227" t="s">
        <v>41</v>
      </c>
      <c r="F227" s="19"/>
      <c r="G227" s="53"/>
      <c r="H227" s="52">
        <v>1114</v>
      </c>
      <c r="I227" s="5">
        <v>0.15</v>
      </c>
      <c r="J227" s="52" t="str" cm="1">
        <f t="array" ref="J22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27" s="15" t="s">
        <v>2662</v>
      </c>
      <c r="L227" s="54" t="s">
        <v>66</v>
      </c>
      <c r="M227" t="s">
        <v>100</v>
      </c>
      <c r="N227" s="15" t="s">
        <v>1012</v>
      </c>
      <c r="O227" s="5" t="s">
        <v>78</v>
      </c>
      <c r="P227" s="17" t="s">
        <v>146</v>
      </c>
      <c r="Q227" s="10"/>
      <c r="R227" s="11"/>
      <c r="S227" s="10"/>
      <c r="T227" s="3" t="str">
        <f>IF(AND(ProtocolosKL[[#This Row],[STATUS]]="APROVADO",ProtocolosKL[[#This Row],[WAIVER]]=""),"Y","")</f>
        <v/>
      </c>
      <c r="U227" t="s">
        <v>2667</v>
      </c>
      <c r="V227" s="16" t="str">
        <f t="shared" si="4"/>
        <v xml:space="preserve">6JW816DE OLIVEIRA/DEIVANMRS </v>
      </c>
      <c r="W227">
        <v>383</v>
      </c>
    </row>
    <row r="228" spans="1:23" hidden="1">
      <c r="A228" s="1">
        <v>45295</v>
      </c>
      <c r="B228" t="s">
        <v>11</v>
      </c>
      <c r="C228" t="s">
        <v>2668</v>
      </c>
      <c r="D228" s="23" t="s">
        <v>2669</v>
      </c>
      <c r="E228" t="s">
        <v>41</v>
      </c>
      <c r="F228" s="19">
        <v>57564931</v>
      </c>
      <c r="G228" s="53">
        <v>743204880777</v>
      </c>
      <c r="H228" s="52">
        <v>931</v>
      </c>
      <c r="I228" s="5">
        <v>0.08</v>
      </c>
      <c r="J228" s="52" cm="1">
        <f t="array" ref="J22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75</v>
      </c>
      <c r="K228" s="15" t="s">
        <v>99</v>
      </c>
      <c r="L228" s="54" t="s">
        <v>76</v>
      </c>
      <c r="M228" t="s">
        <v>43</v>
      </c>
      <c r="N228" s="15" t="s">
        <v>84</v>
      </c>
      <c r="O228" s="5" t="s">
        <v>1048</v>
      </c>
      <c r="P228" s="17" t="s">
        <v>69</v>
      </c>
      <c r="Q228" s="10" t="s">
        <v>250</v>
      </c>
      <c r="R228" s="11">
        <v>45295</v>
      </c>
      <c r="S228" s="10" t="s">
        <v>48</v>
      </c>
      <c r="T228" s="3" t="str">
        <f>IF(AND(ProtocolosKL[[#This Row],[STATUS]]="APROVADO",ProtocolosKL[[#This Row],[WAIVER]]=""),"Y","")</f>
        <v/>
      </c>
      <c r="U228" t="s">
        <v>2670</v>
      </c>
      <c r="V228" s="16" t="str">
        <f t="shared" si="4"/>
        <v>FWVXOMDORLITZ/RICARDO MR</v>
      </c>
      <c r="W228">
        <v>392</v>
      </c>
    </row>
    <row r="229" spans="1:23" hidden="1">
      <c r="A229" s="1">
        <v>45301</v>
      </c>
      <c r="B229" t="s">
        <v>10</v>
      </c>
      <c r="C229" t="s">
        <v>2671</v>
      </c>
      <c r="D229" s="23" t="s">
        <v>2671</v>
      </c>
      <c r="E229" t="s">
        <v>41</v>
      </c>
      <c r="F229" s="19">
        <v>57564931</v>
      </c>
      <c r="G229" s="53">
        <v>743542319706</v>
      </c>
      <c r="H229" s="52">
        <v>4181</v>
      </c>
      <c r="I229" s="5">
        <v>0.1</v>
      </c>
      <c r="J229" s="52" cm="1">
        <f t="array" ref="J22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419</v>
      </c>
      <c r="K229" s="15" t="s">
        <v>345</v>
      </c>
      <c r="L229" s="54" t="s">
        <v>76</v>
      </c>
      <c r="M229" t="s">
        <v>43</v>
      </c>
      <c r="N229" s="15" t="s">
        <v>171</v>
      </c>
      <c r="O229" s="5" t="s">
        <v>1772</v>
      </c>
      <c r="P229" s="17" t="s">
        <v>46</v>
      </c>
      <c r="Q229" s="10" t="s">
        <v>2672</v>
      </c>
      <c r="R229" s="11">
        <v>45302</v>
      </c>
      <c r="S229" s="10" t="s">
        <v>48</v>
      </c>
      <c r="T229" s="3" t="str">
        <f>IF(AND(ProtocolosKL[[#This Row],[STATUS]]="APROVADO",ProtocolosKL[[#This Row],[WAIVER]]=""),"Y","")</f>
        <v/>
      </c>
      <c r="U229" t="s">
        <v>2673</v>
      </c>
      <c r="V229" s="16" t="str">
        <f t="shared" si="4"/>
        <v>3U5MXSALVES AMARAL MAURO/VERA MRS</v>
      </c>
      <c r="W229">
        <v>398</v>
      </c>
    </row>
    <row r="230" spans="1:23" hidden="1">
      <c r="A230" s="1">
        <v>45301</v>
      </c>
      <c r="B230" t="s">
        <v>10</v>
      </c>
      <c r="C230" t="s">
        <v>2671</v>
      </c>
      <c r="D230" s="23" t="s">
        <v>2671</v>
      </c>
      <c r="E230" t="s">
        <v>41</v>
      </c>
      <c r="F230" s="19">
        <v>57564931</v>
      </c>
      <c r="G230" s="53">
        <v>743542319714</v>
      </c>
      <c r="H230" s="52">
        <v>4181</v>
      </c>
      <c r="I230" s="5">
        <v>0.1</v>
      </c>
      <c r="J230" s="52" cm="1">
        <f t="array" ref="J23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419</v>
      </c>
      <c r="K230" s="15" t="s">
        <v>345</v>
      </c>
      <c r="L230" s="54" t="s">
        <v>76</v>
      </c>
      <c r="M230" t="s">
        <v>43</v>
      </c>
      <c r="N230" s="15" t="s">
        <v>171</v>
      </c>
      <c r="O230" s="5" t="s">
        <v>1772</v>
      </c>
      <c r="P230" s="17" t="s">
        <v>46</v>
      </c>
      <c r="Q230" s="10" t="s">
        <v>2672</v>
      </c>
      <c r="R230" s="11">
        <v>45302</v>
      </c>
      <c r="S230" s="10" t="s">
        <v>48</v>
      </c>
      <c r="T230" s="3" t="str">
        <f>IF(AND(ProtocolosKL[[#This Row],[STATUS]]="APROVADO",ProtocolosKL[[#This Row],[WAIVER]]=""),"Y","")</f>
        <v/>
      </c>
      <c r="U230" t="s">
        <v>2674</v>
      </c>
      <c r="V230" s="16" t="str">
        <f t="shared" si="4"/>
        <v>3U5MXSAMARAL MAURO GUIMARAES/ISABELLA MRS</v>
      </c>
      <c r="W230">
        <v>398</v>
      </c>
    </row>
    <row r="231" spans="1:23" hidden="1">
      <c r="A231" s="1">
        <v>45301</v>
      </c>
      <c r="B231" t="s">
        <v>10</v>
      </c>
      <c r="C231" t="s">
        <v>2671</v>
      </c>
      <c r="D231" s="23" t="s">
        <v>2671</v>
      </c>
      <c r="E231" t="s">
        <v>41</v>
      </c>
      <c r="F231" s="19">
        <v>57564931</v>
      </c>
      <c r="G231" s="53">
        <v>743542319708</v>
      </c>
      <c r="H231" s="52">
        <v>4181</v>
      </c>
      <c r="I231" s="5">
        <v>0.1</v>
      </c>
      <c r="J231" s="52" cm="1">
        <f t="array" ref="J23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419</v>
      </c>
      <c r="K231" s="15" t="s">
        <v>345</v>
      </c>
      <c r="L231" s="54" t="s">
        <v>76</v>
      </c>
      <c r="M231" t="s">
        <v>43</v>
      </c>
      <c r="N231" s="15" t="s">
        <v>171</v>
      </c>
      <c r="O231" s="5" t="s">
        <v>1772</v>
      </c>
      <c r="P231" s="17" t="s">
        <v>46</v>
      </c>
      <c r="Q231" s="10" t="s">
        <v>2672</v>
      </c>
      <c r="R231" s="11">
        <v>45302</v>
      </c>
      <c r="S231" s="10" t="s">
        <v>48</v>
      </c>
      <c r="T231" s="3" t="str">
        <f>IF(AND(ProtocolosKL[[#This Row],[STATUS]]="APROVADO",ProtocolosKL[[#This Row],[WAIVER]]=""),"Y","")</f>
        <v/>
      </c>
      <c r="U231" t="s">
        <v>2675</v>
      </c>
      <c r="V231" s="16" t="str">
        <f t="shared" si="4"/>
        <v>3U5MXSAMARAL MAURO/AMANDA</v>
      </c>
      <c r="W231">
        <v>398</v>
      </c>
    </row>
    <row r="232" spans="1:23" hidden="1">
      <c r="A232" s="1">
        <v>45301</v>
      </c>
      <c r="B232" t="s">
        <v>10</v>
      </c>
      <c r="C232" t="s">
        <v>2671</v>
      </c>
      <c r="D232" s="23" t="s">
        <v>2671</v>
      </c>
      <c r="E232" t="s">
        <v>41</v>
      </c>
      <c r="F232" s="19">
        <v>57564931</v>
      </c>
      <c r="G232" s="53">
        <v>743542319716</v>
      </c>
      <c r="H232" s="52">
        <v>4181</v>
      </c>
      <c r="I232" s="5">
        <v>0.1</v>
      </c>
      <c r="J232" s="52" cm="1">
        <f t="array" ref="J23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419</v>
      </c>
      <c r="K232" s="15" t="s">
        <v>345</v>
      </c>
      <c r="L232" s="54" t="s">
        <v>76</v>
      </c>
      <c r="M232" t="s">
        <v>43</v>
      </c>
      <c r="N232" s="15" t="s">
        <v>171</v>
      </c>
      <c r="O232" s="5" t="s">
        <v>1772</v>
      </c>
      <c r="P232" s="17" t="s">
        <v>46</v>
      </c>
      <c r="Q232" s="10" t="s">
        <v>2672</v>
      </c>
      <c r="R232" s="11">
        <v>45302</v>
      </c>
      <c r="S232" s="10" t="s">
        <v>48</v>
      </c>
      <c r="T232" s="3" t="str">
        <f>IF(AND(ProtocolosKL[[#This Row],[STATUS]]="APROVADO",ProtocolosKL[[#This Row],[WAIVER]]=""),"Y","")</f>
        <v/>
      </c>
      <c r="U232" t="s">
        <v>2676</v>
      </c>
      <c r="V232" s="16" t="str">
        <f t="shared" si="4"/>
        <v xml:space="preserve">3U5MXSHSU GUIMARAES/THIAGO MR </v>
      </c>
      <c r="W232">
        <v>398</v>
      </c>
    </row>
    <row r="233" spans="1:23" hidden="1">
      <c r="A233" s="1">
        <v>45301</v>
      </c>
      <c r="B233" t="s">
        <v>10</v>
      </c>
      <c r="C233" t="s">
        <v>2671</v>
      </c>
      <c r="D233" s="23" t="s">
        <v>2671</v>
      </c>
      <c r="E233" t="s">
        <v>41</v>
      </c>
      <c r="F233" s="19">
        <v>57564931</v>
      </c>
      <c r="G233" s="53">
        <v>743542319710</v>
      </c>
      <c r="H233" s="52">
        <v>4181</v>
      </c>
      <c r="I233" s="5">
        <v>0.1</v>
      </c>
      <c r="J233" s="52" cm="1">
        <f t="array" ref="J23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419</v>
      </c>
      <c r="K233" s="15" t="s">
        <v>345</v>
      </c>
      <c r="L233" s="54" t="s">
        <v>76</v>
      </c>
      <c r="M233" t="s">
        <v>43</v>
      </c>
      <c r="N233" s="15" t="s">
        <v>171</v>
      </c>
      <c r="O233" s="5" t="s">
        <v>1772</v>
      </c>
      <c r="P233" s="17" t="s">
        <v>46</v>
      </c>
      <c r="Q233" s="10" t="s">
        <v>2672</v>
      </c>
      <c r="R233" s="11">
        <v>45302</v>
      </c>
      <c r="S233" s="10" t="s">
        <v>48</v>
      </c>
      <c r="T233" s="3" t="str">
        <f>IF(AND(ProtocolosKL[[#This Row],[STATUS]]="APROVADO",ProtocolosKL[[#This Row],[WAIVER]]=""),"Y","")</f>
        <v/>
      </c>
      <c r="U233" t="s">
        <v>2677</v>
      </c>
      <c r="V233" s="16" t="str">
        <f t="shared" si="4"/>
        <v>3U5MXSZANIN MAURO/MARCOS MR</v>
      </c>
      <c r="W233">
        <v>398</v>
      </c>
    </row>
    <row r="234" spans="1:23" hidden="1">
      <c r="A234" s="1">
        <v>45301</v>
      </c>
      <c r="B234" t="s">
        <v>10</v>
      </c>
      <c r="C234" t="s">
        <v>2678</v>
      </c>
      <c r="D234" s="23" t="s">
        <v>2678</v>
      </c>
      <c r="E234" t="s">
        <v>41</v>
      </c>
      <c r="F234" s="19">
        <v>57564931</v>
      </c>
      <c r="G234" s="53">
        <v>743542319695</v>
      </c>
      <c r="H234" s="52">
        <v>4589</v>
      </c>
      <c r="I234" s="5">
        <v>0.1</v>
      </c>
      <c r="J234" s="52" cm="1">
        <f t="array" ref="J23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459</v>
      </c>
      <c r="K234" s="15" t="s">
        <v>345</v>
      </c>
      <c r="L234" s="54" t="s">
        <v>76</v>
      </c>
      <c r="M234" t="s">
        <v>43</v>
      </c>
      <c r="N234" s="15" t="s">
        <v>171</v>
      </c>
      <c r="O234" s="5" t="s">
        <v>1772</v>
      </c>
      <c r="P234" s="17" t="s">
        <v>46</v>
      </c>
      <c r="Q234" s="10" t="s">
        <v>2672</v>
      </c>
      <c r="R234" s="11">
        <v>45302</v>
      </c>
      <c r="S234" s="10" t="s">
        <v>48</v>
      </c>
      <c r="T234" s="3" t="str">
        <f>IF(AND(ProtocolosKL[[#This Row],[STATUS]]="APROVADO",ProtocolosKL[[#This Row],[WAIVER]]=""),"Y","")</f>
        <v/>
      </c>
      <c r="U234" t="s">
        <v>2679</v>
      </c>
      <c r="V234" s="16" t="str">
        <f t="shared" si="4"/>
        <v>3U5QKLNICOLACI SANTO/RICARDO LUIZ MR</v>
      </c>
      <c r="W234">
        <v>399</v>
      </c>
    </row>
    <row r="235" spans="1:23" hidden="1">
      <c r="A235" s="1">
        <v>45302</v>
      </c>
      <c r="B235" t="s">
        <v>13</v>
      </c>
      <c r="C235" t="s">
        <v>2680</v>
      </c>
      <c r="D235" s="23" t="s">
        <v>2681</v>
      </c>
      <c r="E235" t="s">
        <v>41</v>
      </c>
      <c r="F235" s="19"/>
      <c r="G235" s="53"/>
      <c r="H235" s="52">
        <v>963</v>
      </c>
      <c r="I235" s="5">
        <v>0.1</v>
      </c>
      <c r="J235" s="52" t="str" cm="1">
        <f t="array" ref="J23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35" s="15" t="s">
        <v>151</v>
      </c>
      <c r="L235" s="54" t="s">
        <v>76</v>
      </c>
      <c r="M235" t="s">
        <v>217</v>
      </c>
      <c r="N235" s="15" t="s">
        <v>863</v>
      </c>
      <c r="O235" s="5" t="s">
        <v>2656</v>
      </c>
      <c r="P235" s="17" t="s">
        <v>255</v>
      </c>
      <c r="Q235" s="10"/>
      <c r="R235" s="11"/>
      <c r="S235" s="10"/>
      <c r="T235" s="3" t="str">
        <f>IF(AND(ProtocolosKL[[#This Row],[STATUS]]="APROVADO",ProtocolosKL[[#This Row],[WAIVER]]=""),"Y","")</f>
        <v/>
      </c>
      <c r="U235" t="s">
        <v>2682</v>
      </c>
      <c r="V235" s="16" t="str">
        <f t="shared" si="4"/>
        <v>6MTS9GBORZAGA BORTOLATO/MARIA APARECIDA</v>
      </c>
      <c r="W235">
        <v>400</v>
      </c>
    </row>
    <row r="236" spans="1:23" hidden="1">
      <c r="A236" s="1">
        <v>45302</v>
      </c>
      <c r="B236" t="s">
        <v>13</v>
      </c>
      <c r="C236" t="s">
        <v>2683</v>
      </c>
      <c r="D236" s="23" t="s">
        <v>2684</v>
      </c>
      <c r="E236" t="s">
        <v>41</v>
      </c>
      <c r="F236" s="19"/>
      <c r="G236" s="53"/>
      <c r="H236" s="52">
        <v>963</v>
      </c>
      <c r="I236" s="5">
        <v>0.1</v>
      </c>
      <c r="J236" s="52" t="str" cm="1">
        <f t="array" ref="J23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36" s="15" t="s">
        <v>151</v>
      </c>
      <c r="L236" s="54" t="s">
        <v>76</v>
      </c>
      <c r="M236" t="s">
        <v>217</v>
      </c>
      <c r="N236" s="15" t="s">
        <v>863</v>
      </c>
      <c r="O236" s="5" t="s">
        <v>106</v>
      </c>
      <c r="P236" s="17" t="s">
        <v>255</v>
      </c>
      <c r="Q236" s="10"/>
      <c r="R236" s="11"/>
      <c r="S236" s="10"/>
      <c r="T236" s="3" t="str">
        <f>IF(AND(ProtocolosKL[[#This Row],[STATUS]]="APROVADO",ProtocolosKL[[#This Row],[WAIVER]]=""),"Y","")</f>
        <v/>
      </c>
      <c r="U236" t="s">
        <v>2685</v>
      </c>
      <c r="V236" s="16" t="str">
        <f t="shared" si="4"/>
        <v>6MTTL5YAEGASHI HAINFELLNER/ROSA SATIKO</v>
      </c>
      <c r="W236">
        <v>401</v>
      </c>
    </row>
    <row r="237" spans="1:23" hidden="1">
      <c r="A237" s="1">
        <v>45302</v>
      </c>
      <c r="B237" t="s">
        <v>13</v>
      </c>
      <c r="C237" t="s">
        <v>2686</v>
      </c>
      <c r="D237" s="23" t="s">
        <v>2686</v>
      </c>
      <c r="E237" t="s">
        <v>41</v>
      </c>
      <c r="F237" s="19"/>
      <c r="G237" s="53"/>
      <c r="H237" s="52">
        <v>963</v>
      </c>
      <c r="I237" s="5">
        <v>0.1</v>
      </c>
      <c r="J237" s="52" t="str" cm="1">
        <f t="array" ref="J23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37" s="15" t="s">
        <v>151</v>
      </c>
      <c r="L237" s="54" t="s">
        <v>76</v>
      </c>
      <c r="M237" t="s">
        <v>217</v>
      </c>
      <c r="N237" s="15" t="s">
        <v>863</v>
      </c>
      <c r="O237" s="5" t="s">
        <v>417</v>
      </c>
      <c r="P237" s="17" t="s">
        <v>255</v>
      </c>
      <c r="Q237" s="10"/>
      <c r="R237" s="11"/>
      <c r="S237" s="10"/>
      <c r="T237" s="3" t="str">
        <f>IF(AND(ProtocolosKL[[#This Row],[STATUS]]="APROVADO",ProtocolosKL[[#This Row],[WAIVER]]=""),"Y","")</f>
        <v/>
      </c>
      <c r="U237" t="s">
        <v>2687</v>
      </c>
      <c r="V237" s="16" t="str">
        <f t="shared" si="4"/>
        <v>3XXCZKCORREA LACERDA NETO/JOSE MR</v>
      </c>
      <c r="W237">
        <v>402</v>
      </c>
    </row>
    <row r="238" spans="1:23" hidden="1">
      <c r="A238" s="1">
        <v>45307</v>
      </c>
      <c r="B238" t="s">
        <v>11</v>
      </c>
      <c r="C238" t="s">
        <v>2688</v>
      </c>
      <c r="D238" s="23" t="s">
        <v>2689</v>
      </c>
      <c r="E238" t="s">
        <v>41</v>
      </c>
      <c r="F238" s="19">
        <v>57519652</v>
      </c>
      <c r="G238" s="53">
        <v>743204905119</v>
      </c>
      <c r="H238" s="52">
        <v>1291</v>
      </c>
      <c r="I238" s="5">
        <v>0.12</v>
      </c>
      <c r="J238" s="52" cm="1">
        <f t="array" ref="J23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155</v>
      </c>
      <c r="K238" s="15" t="s">
        <v>1248</v>
      </c>
      <c r="L238" s="54" t="s">
        <v>172</v>
      </c>
      <c r="M238" t="s">
        <v>43</v>
      </c>
      <c r="N238" s="15" t="s">
        <v>84</v>
      </c>
      <c r="O238" s="5" t="s">
        <v>2252</v>
      </c>
      <c r="P238" s="17" t="s">
        <v>46</v>
      </c>
      <c r="Q238" s="10" t="s">
        <v>353</v>
      </c>
      <c r="R238" s="11">
        <v>45308</v>
      </c>
      <c r="S238" s="10" t="s">
        <v>48</v>
      </c>
      <c r="T238" s="3" t="str">
        <f>IF(AND(ProtocolosKL[[#This Row],[STATUS]]="APROVADO",ProtocolosKL[[#This Row],[WAIVER]]=""),"Y","")</f>
        <v/>
      </c>
      <c r="U238" t="s">
        <v>2690</v>
      </c>
      <c r="V238" s="16" t="str">
        <f t="shared" si="4"/>
        <v>IEFSJPDE SOUZA KLAS/RODRIGO</v>
      </c>
      <c r="W238">
        <v>408</v>
      </c>
    </row>
    <row r="239" spans="1:23" hidden="1">
      <c r="A239" s="1">
        <v>45308</v>
      </c>
      <c r="B239" t="s">
        <v>11</v>
      </c>
      <c r="C239" t="s">
        <v>2691</v>
      </c>
      <c r="D239" s="23" t="s">
        <v>2692</v>
      </c>
      <c r="E239" t="s">
        <v>41</v>
      </c>
      <c r="F239" s="19">
        <v>57564931</v>
      </c>
      <c r="G239" s="53">
        <v>746687619506</v>
      </c>
      <c r="H239" s="52">
        <v>5079</v>
      </c>
      <c r="I239" s="5">
        <v>0.1</v>
      </c>
      <c r="J239" s="52" cm="1">
        <f t="array" ref="J239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317</v>
      </c>
      <c r="K239" s="15" t="s">
        <v>99</v>
      </c>
      <c r="L239" s="54" t="s">
        <v>76</v>
      </c>
      <c r="M239" t="s">
        <v>43</v>
      </c>
      <c r="N239" s="15" t="s">
        <v>84</v>
      </c>
      <c r="O239" s="5" t="s">
        <v>126</v>
      </c>
      <c r="P239" s="17" t="s">
        <v>46</v>
      </c>
      <c r="Q239" s="10" t="s">
        <v>250</v>
      </c>
      <c r="R239" s="11">
        <v>45309</v>
      </c>
      <c r="S239" s="10" t="s">
        <v>48</v>
      </c>
      <c r="T239" s="3" t="str">
        <f>IF(AND(ProtocolosKL[[#This Row],[STATUS]]="APROVADO",ProtocolosKL[[#This Row],[WAIVER]]=""),"Y","")</f>
        <v/>
      </c>
      <c r="U239" t="s">
        <v>2693</v>
      </c>
      <c r="V239" s="16" t="str">
        <f t="shared" si="4"/>
        <v>WRSHBQLOPES/GABRIEL MR</v>
      </c>
      <c r="W239">
        <v>410</v>
      </c>
    </row>
    <row r="240" spans="1:23" hidden="1">
      <c r="A240" s="1">
        <v>45328</v>
      </c>
      <c r="B240" t="s">
        <v>10</v>
      </c>
      <c r="C240" t="s">
        <v>2694</v>
      </c>
      <c r="D240" s="23" t="s">
        <v>2694</v>
      </c>
      <c r="E240" t="s">
        <v>41</v>
      </c>
      <c r="F240" s="19">
        <v>57564931</v>
      </c>
      <c r="G240" s="53">
        <v>746624030721</v>
      </c>
      <c r="H240" s="52">
        <v>3301</v>
      </c>
      <c r="I240" s="5">
        <v>0.06</v>
      </c>
      <c r="J240" s="52" cm="1">
        <f t="array" ref="J24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199</v>
      </c>
      <c r="K240" s="15" t="s">
        <v>237</v>
      </c>
      <c r="L240" s="54" t="s">
        <v>66</v>
      </c>
      <c r="M240" t="s">
        <v>43</v>
      </c>
      <c r="N240" s="15" t="s">
        <v>1129</v>
      </c>
      <c r="O240" s="5" t="s">
        <v>164</v>
      </c>
      <c r="P240" s="17" t="s">
        <v>69</v>
      </c>
      <c r="Q240" s="10" t="s">
        <v>1051</v>
      </c>
      <c r="R240" s="11">
        <v>45298</v>
      </c>
      <c r="S240" s="10" t="s">
        <v>48</v>
      </c>
      <c r="T240" s="3" t="str">
        <f>IF(AND(ProtocolosKL[[#This Row],[STATUS]]="APROVADO",ProtocolosKL[[#This Row],[WAIVER]]=""),"Y","")</f>
        <v/>
      </c>
      <c r="U240" t="s">
        <v>2695</v>
      </c>
      <c r="V240" s="16" t="str">
        <f t="shared" si="4"/>
        <v>2JDJ8CCELIDONIO/MARIA DE FATIMA MRS</v>
      </c>
      <c r="W240">
        <v>417</v>
      </c>
    </row>
    <row r="241" spans="1:23" hidden="1">
      <c r="A241" s="1">
        <v>45328</v>
      </c>
      <c r="B241" t="s">
        <v>10</v>
      </c>
      <c r="C241" t="s">
        <v>2694</v>
      </c>
      <c r="D241" s="23" t="s">
        <v>2694</v>
      </c>
      <c r="E241" t="s">
        <v>41</v>
      </c>
      <c r="F241" s="19">
        <v>57564931</v>
      </c>
      <c r="G241" s="53">
        <v>746624030723</v>
      </c>
      <c r="H241" s="52">
        <v>3301</v>
      </c>
      <c r="I241" s="5">
        <v>0.06</v>
      </c>
      <c r="J241" s="52" cm="1">
        <f t="array" ref="J24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199</v>
      </c>
      <c r="K241" s="15" t="s">
        <v>237</v>
      </c>
      <c r="L241" s="54" t="s">
        <v>66</v>
      </c>
      <c r="M241" t="s">
        <v>43</v>
      </c>
      <c r="N241" s="15" t="s">
        <v>1129</v>
      </c>
      <c r="O241" s="5" t="s">
        <v>164</v>
      </c>
      <c r="P241" s="17" t="s">
        <v>69</v>
      </c>
      <c r="Q241" s="10" t="s">
        <v>1051</v>
      </c>
      <c r="R241" s="11">
        <v>45298</v>
      </c>
      <c r="S241" s="10" t="s">
        <v>48</v>
      </c>
      <c r="T241" s="3" t="str">
        <f>IF(AND(ProtocolosKL[[#This Row],[STATUS]]="APROVADO",ProtocolosKL[[#This Row],[WAIVER]]=""),"Y","")</f>
        <v/>
      </c>
      <c r="U241" t="s">
        <v>2696</v>
      </c>
      <c r="V241" s="16" t="str">
        <f t="shared" si="4"/>
        <v>2JDJ8CREIS NETO/LAURO MR</v>
      </c>
      <c r="W241">
        <v>417</v>
      </c>
    </row>
    <row r="242" spans="1:23" hidden="1">
      <c r="A242" s="1">
        <v>45329</v>
      </c>
      <c r="B242" t="s">
        <v>10</v>
      </c>
      <c r="C242" t="s">
        <v>2697</v>
      </c>
      <c r="D242" s="23" t="s">
        <v>2698</v>
      </c>
      <c r="E242" t="s">
        <v>41</v>
      </c>
      <c r="F242" s="19"/>
      <c r="G242" s="53"/>
      <c r="H242" s="52">
        <v>1072</v>
      </c>
      <c r="I242" s="5">
        <v>0.08</v>
      </c>
      <c r="J242" s="52" t="str" cm="1">
        <f t="array" ref="J24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42" s="15" t="s">
        <v>105</v>
      </c>
      <c r="L242" s="54" t="s">
        <v>66</v>
      </c>
      <c r="M242" t="s">
        <v>100</v>
      </c>
      <c r="N242" s="15" t="s">
        <v>1129</v>
      </c>
      <c r="O242" s="5" t="s">
        <v>539</v>
      </c>
      <c r="P242" s="17" t="s">
        <v>46</v>
      </c>
      <c r="Q242" s="10"/>
      <c r="R242" s="11"/>
      <c r="S242" s="10"/>
      <c r="T242" s="3" t="str">
        <f>IF(AND(ProtocolosKL[[#This Row],[STATUS]]="APROVADO",ProtocolosKL[[#This Row],[WAIVER]]=""),"Y","")</f>
        <v/>
      </c>
      <c r="U242" t="s">
        <v>2699</v>
      </c>
      <c r="V242" s="16" t="str">
        <f t="shared" si="4"/>
        <v>OWSPLSPERISSINOTO/SERGIO LUIS</v>
      </c>
      <c r="W242">
        <v>418</v>
      </c>
    </row>
    <row r="243" spans="1:23" hidden="1">
      <c r="A243" s="1">
        <v>45329</v>
      </c>
      <c r="B243" t="s">
        <v>13</v>
      </c>
      <c r="C243" t="s">
        <v>2700</v>
      </c>
      <c r="D243" s="23" t="s">
        <v>2701</v>
      </c>
      <c r="E243" t="s">
        <v>41</v>
      </c>
      <c r="F243" s="19">
        <v>57564931</v>
      </c>
      <c r="G243" s="53">
        <v>746687764253</v>
      </c>
      <c r="H243" s="52">
        <v>1669</v>
      </c>
      <c r="I243" s="5">
        <v>0.09</v>
      </c>
      <c r="J243" s="52" cm="1">
        <f t="array" ref="J24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151</v>
      </c>
      <c r="K243" s="15" t="s">
        <v>151</v>
      </c>
      <c r="L243" s="54" t="s">
        <v>66</v>
      </c>
      <c r="M243" t="s">
        <v>43</v>
      </c>
      <c r="N243" s="15" t="s">
        <v>1096</v>
      </c>
      <c r="O243" s="5" t="s">
        <v>126</v>
      </c>
      <c r="P243" s="17" t="s">
        <v>46</v>
      </c>
      <c r="Q243" s="10" t="s">
        <v>168</v>
      </c>
      <c r="R243" s="11">
        <v>45330</v>
      </c>
      <c r="S243" s="10" t="s">
        <v>48</v>
      </c>
      <c r="T243" s="3" t="str">
        <f>IF(AND(ProtocolosKL[[#This Row],[STATUS]]="APROVADO",ProtocolosKL[[#This Row],[WAIVER]]=""),"Y","")</f>
        <v/>
      </c>
      <c r="U243" t="s">
        <v>2702</v>
      </c>
      <c r="V243" s="16" t="str">
        <f t="shared" si="4"/>
        <v>JVAWYGSABINO/ANGELO SPOLIDORIO</v>
      </c>
      <c r="W243">
        <v>423</v>
      </c>
    </row>
    <row r="244" spans="1:23" hidden="1">
      <c r="A244" s="1">
        <v>45338</v>
      </c>
      <c r="B244" t="s">
        <v>13</v>
      </c>
      <c r="C244" t="s">
        <v>2703</v>
      </c>
      <c r="D244" s="23" t="s">
        <v>2704</v>
      </c>
      <c r="E244" t="s">
        <v>41</v>
      </c>
      <c r="F244" s="19"/>
      <c r="G244" s="53"/>
      <c r="H244" s="52">
        <v>1117</v>
      </c>
      <c r="I244" s="5">
        <v>0.08</v>
      </c>
      <c r="J244" s="52" t="str" cm="1">
        <f t="array" ref="J24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44" s="15" t="s">
        <v>151</v>
      </c>
      <c r="L244" s="54" t="s">
        <v>76</v>
      </c>
      <c r="M244" t="s">
        <v>100</v>
      </c>
      <c r="N244" s="15" t="s">
        <v>84</v>
      </c>
      <c r="O244" s="5" t="s">
        <v>130</v>
      </c>
      <c r="P244" s="17" t="s">
        <v>46</v>
      </c>
      <c r="Q244" s="10"/>
      <c r="R244" s="11"/>
      <c r="S244" s="10"/>
      <c r="T244" s="3" t="str">
        <f>IF(AND(ProtocolosKL[[#This Row],[STATUS]]="APROVADO",ProtocolosKL[[#This Row],[WAIVER]]=""),"Y","")</f>
        <v/>
      </c>
      <c r="U244" t="s">
        <v>2705</v>
      </c>
      <c r="V244" s="16" t="str">
        <f t="shared" si="4"/>
        <v>ESKDFUREIS/ROBERTO</v>
      </c>
      <c r="W244">
        <v>431</v>
      </c>
    </row>
    <row r="245" spans="1:23" hidden="1">
      <c r="A245" s="1">
        <v>45344</v>
      </c>
      <c r="B245" t="s">
        <v>10</v>
      </c>
      <c r="C245" t="s">
        <v>2706</v>
      </c>
      <c r="D245" s="23" t="s">
        <v>2707</v>
      </c>
      <c r="E245" t="s">
        <v>41</v>
      </c>
      <c r="F245" s="19">
        <v>57564931</v>
      </c>
      <c r="G245" s="53">
        <v>746687851527</v>
      </c>
      <c r="H245" s="52">
        <v>4453</v>
      </c>
      <c r="I245" s="5">
        <v>0.1</v>
      </c>
      <c r="J245" s="52" cm="1">
        <f t="array" ref="J24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446</v>
      </c>
      <c r="K245" s="15" t="s">
        <v>336</v>
      </c>
      <c r="L245" s="54" t="s">
        <v>76</v>
      </c>
      <c r="M245" t="s">
        <v>43</v>
      </c>
      <c r="N245" s="15" t="s">
        <v>1129</v>
      </c>
      <c r="O245" s="5" t="s">
        <v>249</v>
      </c>
      <c r="P245" s="17" t="s">
        <v>255</v>
      </c>
      <c r="Q245" s="10" t="s">
        <v>222</v>
      </c>
      <c r="R245" s="11">
        <v>45345</v>
      </c>
      <c r="S245" s="10" t="s">
        <v>48</v>
      </c>
      <c r="T245" s="3" t="str">
        <f>IF(AND(ProtocolosKL[[#This Row],[STATUS]]="APROVADO",ProtocolosKL[[#This Row],[WAIVER]]=""),"Y","")</f>
        <v/>
      </c>
      <c r="U245" t="s">
        <v>2708</v>
      </c>
      <c r="V245" s="16" t="str">
        <f t="shared" si="4"/>
        <v>FHKWDD1.1LIMA/RICARDO MR</v>
      </c>
      <c r="W245">
        <v>439</v>
      </c>
    </row>
    <row r="246" spans="1:23" hidden="1">
      <c r="A246" s="1">
        <v>45344</v>
      </c>
      <c r="B246" t="s">
        <v>10</v>
      </c>
      <c r="C246" t="s">
        <v>2706</v>
      </c>
      <c r="D246" s="23" t="s">
        <v>2707</v>
      </c>
      <c r="E246" t="s">
        <v>41</v>
      </c>
      <c r="F246" s="19">
        <v>57564931</v>
      </c>
      <c r="G246" s="53">
        <v>746687851528</v>
      </c>
      <c r="H246" s="52">
        <v>4453</v>
      </c>
      <c r="I246" s="5">
        <v>0.1</v>
      </c>
      <c r="J246" s="52" cm="1">
        <f t="array" ref="J24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446</v>
      </c>
      <c r="K246" s="15" t="s">
        <v>336</v>
      </c>
      <c r="L246" s="54" t="s">
        <v>76</v>
      </c>
      <c r="M246" t="s">
        <v>43</v>
      </c>
      <c r="N246" s="15" t="s">
        <v>1129</v>
      </c>
      <c r="O246" s="5" t="s">
        <v>249</v>
      </c>
      <c r="P246" s="17" t="s">
        <v>255</v>
      </c>
      <c r="Q246" s="10" t="s">
        <v>222</v>
      </c>
      <c r="R246" s="11">
        <v>45345</v>
      </c>
      <c r="S246" s="10" t="s">
        <v>48</v>
      </c>
      <c r="T246" s="3" t="str">
        <f>IF(AND(ProtocolosKL[[#This Row],[STATUS]]="APROVADO",ProtocolosKL[[#This Row],[WAIVER]]=""),"Y","")</f>
        <v/>
      </c>
      <c r="U246" t="s">
        <v>2709</v>
      </c>
      <c r="V246" s="16" t="str">
        <f t="shared" si="4"/>
        <v>FHKWDD2.1LIMA/RENATA MRS</v>
      </c>
      <c r="W246">
        <v>439</v>
      </c>
    </row>
    <row r="247" spans="1:23" hidden="1">
      <c r="A247" s="1">
        <v>45345</v>
      </c>
      <c r="B247" t="s">
        <v>15</v>
      </c>
      <c r="C247" t="s">
        <v>2710</v>
      </c>
      <c r="D247" s="23" t="s">
        <v>2710</v>
      </c>
      <c r="E247" t="s">
        <v>41</v>
      </c>
      <c r="F247" s="19"/>
      <c r="G247" s="53"/>
      <c r="H247" s="52">
        <v>1327</v>
      </c>
      <c r="I247" s="5">
        <v>0.1</v>
      </c>
      <c r="J247" s="52" t="str" cm="1">
        <f t="array" ref="J24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47" s="15" t="s">
        <v>1155</v>
      </c>
      <c r="L247" s="54" t="s">
        <v>76</v>
      </c>
      <c r="M247" t="s">
        <v>100</v>
      </c>
      <c r="N247" s="15" t="s">
        <v>1012</v>
      </c>
      <c r="O247" s="5" t="s">
        <v>1573</v>
      </c>
      <c r="P247" s="17" t="s">
        <v>46</v>
      </c>
      <c r="Q247" s="10"/>
      <c r="R247" s="11"/>
      <c r="S247" s="10"/>
      <c r="T247" s="3" t="str">
        <f>IF(AND(ProtocolosKL[[#This Row],[STATUS]]="APROVADO",ProtocolosKL[[#This Row],[WAIVER]]=""),"Y","")</f>
        <v/>
      </c>
      <c r="U247" t="s">
        <v>2711</v>
      </c>
      <c r="V247" s="16" t="str">
        <f t="shared" si="4"/>
        <v>4VGLG7MOTYKA/ANTONI</v>
      </c>
      <c r="W247">
        <v>441</v>
      </c>
    </row>
    <row r="248" spans="1:23" hidden="1">
      <c r="A248" s="1">
        <v>45345</v>
      </c>
      <c r="B248" t="s">
        <v>15</v>
      </c>
      <c r="C248" t="s">
        <v>2712</v>
      </c>
      <c r="D248" s="23" t="s">
        <v>2712</v>
      </c>
      <c r="E248" t="s">
        <v>41</v>
      </c>
      <c r="F248" s="19">
        <v>57564931</v>
      </c>
      <c r="G248" s="53">
        <v>746624141996</v>
      </c>
      <c r="H248" s="52">
        <v>1414</v>
      </c>
      <c r="I248" s="5">
        <v>0.1</v>
      </c>
      <c r="J248" s="52" cm="1">
        <f t="array" ref="J24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142</v>
      </c>
      <c r="K248" s="15" t="s">
        <v>1155</v>
      </c>
      <c r="L248" s="54" t="s">
        <v>66</v>
      </c>
      <c r="M248" t="s">
        <v>43</v>
      </c>
      <c r="N248" s="15" t="s">
        <v>1012</v>
      </c>
      <c r="O248" s="5" t="s">
        <v>1573</v>
      </c>
      <c r="P248" s="17" t="s">
        <v>46</v>
      </c>
      <c r="Q248" s="10" t="s">
        <v>79</v>
      </c>
      <c r="R248" s="11">
        <v>45346</v>
      </c>
      <c r="S248" s="10" t="s">
        <v>48</v>
      </c>
      <c r="T248" s="3" t="str">
        <f>IF(AND(ProtocolosKL[[#This Row],[STATUS]]="APROVADO",ProtocolosKL[[#This Row],[WAIVER]]=""),"Y","")</f>
        <v/>
      </c>
      <c r="U248" t="s">
        <v>2711</v>
      </c>
      <c r="V248" s="16" t="str">
        <f t="shared" si="4"/>
        <v>2EZVD9MOTYKA/ANTONI</v>
      </c>
      <c r="W248">
        <v>444</v>
      </c>
    </row>
    <row r="249" spans="1:23" hidden="1">
      <c r="A249" s="1">
        <v>45351</v>
      </c>
      <c r="B249" t="s">
        <v>11</v>
      </c>
      <c r="C249" t="s">
        <v>2713</v>
      </c>
      <c r="D249" s="23" t="s">
        <v>2713</v>
      </c>
      <c r="E249" t="s">
        <v>512</v>
      </c>
      <c r="F249" s="19">
        <v>57564931</v>
      </c>
      <c r="G249" s="53">
        <v>746624158212</v>
      </c>
      <c r="H249" s="52">
        <v>176</v>
      </c>
      <c r="I249" s="5" t="s">
        <v>74</v>
      </c>
      <c r="J249" s="52" cm="1">
        <f t="array" ref="J24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176</v>
      </c>
      <c r="K249" s="15" t="s">
        <v>2460</v>
      </c>
      <c r="L249" s="54" t="s">
        <v>529</v>
      </c>
      <c r="M249" t="s">
        <v>43</v>
      </c>
      <c r="N249" s="15" t="s">
        <v>84</v>
      </c>
      <c r="O249" s="5" t="s">
        <v>2714</v>
      </c>
      <c r="P249" s="17" t="s">
        <v>146</v>
      </c>
      <c r="Q249" s="10" t="s">
        <v>2715</v>
      </c>
      <c r="R249" s="11">
        <v>45348</v>
      </c>
      <c r="S249" s="10" t="s">
        <v>1083</v>
      </c>
      <c r="T249" s="3" t="str">
        <f>IF(AND(ProtocolosKL[[#This Row],[STATUS]]="APROVADO",ProtocolosKL[[#This Row],[WAIVER]]=""),"Y","")</f>
        <v/>
      </c>
      <c r="U249" t="s">
        <v>2716</v>
      </c>
      <c r="V249" s="16" t="str">
        <f t="shared" si="4"/>
        <v>3I24ERVIEIRA COSTA/ALICE GABRIELLE (chd)</v>
      </c>
      <c r="W249">
        <v>453</v>
      </c>
    </row>
    <row r="250" spans="1:23" hidden="1">
      <c r="A250" s="1">
        <v>45351</v>
      </c>
      <c r="B250" t="s">
        <v>11</v>
      </c>
      <c r="C250" t="s">
        <v>2713</v>
      </c>
      <c r="D250" s="23" t="s">
        <v>2713</v>
      </c>
      <c r="E250" t="s">
        <v>512</v>
      </c>
      <c r="F250" s="19">
        <v>57564931</v>
      </c>
      <c r="G250" s="53">
        <v>746624158216</v>
      </c>
      <c r="H250" s="52">
        <v>234</v>
      </c>
      <c r="I250" s="5" t="s">
        <v>74</v>
      </c>
      <c r="J250" s="52" cm="1">
        <f t="array" ref="J25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234</v>
      </c>
      <c r="K250" s="15" t="s">
        <v>2460</v>
      </c>
      <c r="L250" s="54" t="s">
        <v>529</v>
      </c>
      <c r="M250" t="s">
        <v>43</v>
      </c>
      <c r="N250" s="15" t="s">
        <v>84</v>
      </c>
      <c r="O250" s="5" t="s">
        <v>2714</v>
      </c>
      <c r="P250" s="17" t="s">
        <v>146</v>
      </c>
      <c r="Q250" s="10" t="s">
        <v>353</v>
      </c>
      <c r="R250" s="11">
        <v>45348</v>
      </c>
      <c r="S250" s="10" t="s">
        <v>1083</v>
      </c>
      <c r="T250" s="3" t="str">
        <f>IF(AND(ProtocolosKL[[#This Row],[STATUS]]="APROVADO",ProtocolosKL[[#This Row],[WAIVER]]=""),"Y","")</f>
        <v/>
      </c>
      <c r="U250" t="s">
        <v>2717</v>
      </c>
      <c r="V250" s="16" t="str">
        <f t="shared" si="4"/>
        <v>3I24ERVIEIRA DA SILVA/MARILDA APARECIDA</v>
      </c>
      <c r="W250">
        <v>453</v>
      </c>
    </row>
    <row r="251" spans="1:23" hidden="1">
      <c r="A251" s="1">
        <v>45351</v>
      </c>
      <c r="B251" t="s">
        <v>10</v>
      </c>
      <c r="C251" t="s">
        <v>2718</v>
      </c>
      <c r="D251" s="23" t="s">
        <v>2719</v>
      </c>
      <c r="E251" t="s">
        <v>41</v>
      </c>
      <c r="F251" s="19">
        <v>57564931</v>
      </c>
      <c r="G251" s="53">
        <v>746687903426</v>
      </c>
      <c r="H251" s="52">
        <v>1207</v>
      </c>
      <c r="I251" s="5">
        <v>0.2</v>
      </c>
      <c r="J251" s="52" cm="1">
        <f t="array" ref="J25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242</v>
      </c>
      <c r="K251" s="15" t="s">
        <v>1129</v>
      </c>
      <c r="L251" s="54" t="s">
        <v>2720</v>
      </c>
      <c r="M251" t="s">
        <v>43</v>
      </c>
      <c r="N251" s="15" t="s">
        <v>171</v>
      </c>
      <c r="O251" s="5" t="s">
        <v>1065</v>
      </c>
      <c r="P251" s="17" t="s">
        <v>255</v>
      </c>
      <c r="Q251" s="10" t="s">
        <v>222</v>
      </c>
      <c r="R251" s="11">
        <v>45352</v>
      </c>
      <c r="S251" s="10" t="s">
        <v>48</v>
      </c>
      <c r="T251" s="3" t="str">
        <f>IF(AND(ProtocolosKL[[#This Row],[STATUS]]="APROVADO",ProtocolosKL[[#This Row],[WAIVER]]=""),"Y","")</f>
        <v/>
      </c>
      <c r="U251" s="12" t="s">
        <v>2721</v>
      </c>
      <c r="V251" s="16" t="str">
        <f t="shared" si="4"/>
        <v>DMCHVSMATIAS FRAGA/ALESSANDRA</v>
      </c>
    </row>
    <row r="252" spans="1:23" hidden="1">
      <c r="A252" s="1">
        <v>45352</v>
      </c>
      <c r="B252" t="s">
        <v>13</v>
      </c>
      <c r="C252" t="s">
        <v>2722</v>
      </c>
      <c r="D252" s="23" t="s">
        <v>2722</v>
      </c>
      <c r="E252" t="s">
        <v>41</v>
      </c>
      <c r="F252" s="19">
        <v>57564931</v>
      </c>
      <c r="G252" s="53">
        <v>746624193988</v>
      </c>
      <c r="H252" s="52">
        <v>1149</v>
      </c>
      <c r="I252" s="5">
        <v>0.1</v>
      </c>
      <c r="J252" s="52" cm="1">
        <f t="array" ref="J25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115</v>
      </c>
      <c r="K252" s="15" t="s">
        <v>1095</v>
      </c>
      <c r="L252" s="54" t="s">
        <v>66</v>
      </c>
      <c r="M252" t="s">
        <v>43</v>
      </c>
      <c r="N252" s="15" t="s">
        <v>1096</v>
      </c>
      <c r="O252" s="5" t="s">
        <v>2723</v>
      </c>
      <c r="P252" s="17" t="s">
        <v>46</v>
      </c>
      <c r="Q252" s="10" t="s">
        <v>291</v>
      </c>
      <c r="R252" s="11">
        <v>45355</v>
      </c>
      <c r="S252" s="10" t="s">
        <v>48</v>
      </c>
      <c r="T252" s="3" t="str">
        <f>IF(AND(ProtocolosKL[[#This Row],[STATUS]]="APROVADO",ProtocolosKL[[#This Row],[WAIVER]]=""),"Y","")</f>
        <v/>
      </c>
      <c r="U252" s="12" t="s">
        <v>2724</v>
      </c>
      <c r="V252" s="16" t="str">
        <f t="shared" si="4"/>
        <v>3IDE6GMOURA DOS SANTOS/ANDERSON</v>
      </c>
      <c r="W252">
        <v>455</v>
      </c>
    </row>
    <row r="253" spans="1:23" hidden="1">
      <c r="A253" s="1">
        <v>45352</v>
      </c>
      <c r="B253" t="s">
        <v>13</v>
      </c>
      <c r="C253" t="s">
        <v>2722</v>
      </c>
      <c r="D253" s="23" t="s">
        <v>2722</v>
      </c>
      <c r="E253" t="s">
        <v>41</v>
      </c>
      <c r="F253" s="19">
        <v>57564931</v>
      </c>
      <c r="G253" s="53">
        <v>746624193990</v>
      </c>
      <c r="H253" s="52">
        <v>1149</v>
      </c>
      <c r="I253" s="5">
        <v>0.1</v>
      </c>
      <c r="J253" s="52" cm="1">
        <f t="array" ref="J25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115</v>
      </c>
      <c r="K253" s="15" t="s">
        <v>1095</v>
      </c>
      <c r="L253" s="54" t="s">
        <v>66</v>
      </c>
      <c r="M253" t="s">
        <v>43</v>
      </c>
      <c r="N253" s="15" t="s">
        <v>1096</v>
      </c>
      <c r="O253" s="5" t="s">
        <v>2723</v>
      </c>
      <c r="P253" s="17" t="s">
        <v>46</v>
      </c>
      <c r="Q253" s="10" t="s">
        <v>291</v>
      </c>
      <c r="R253" s="11">
        <v>45355</v>
      </c>
      <c r="S253" s="10" t="s">
        <v>48</v>
      </c>
      <c r="T253" s="3" t="str">
        <f>IF(AND(ProtocolosKL[[#This Row],[STATUS]]="APROVADO",ProtocolosKL[[#This Row],[WAIVER]]=""),"Y","")</f>
        <v/>
      </c>
      <c r="U253" s="12" t="s">
        <v>2725</v>
      </c>
      <c r="V253" s="16" t="str">
        <f t="shared" si="4"/>
        <v>3IDE6GSALES BERBIZ DE OLIVEIRA/MICHELLE</v>
      </c>
      <c r="W253">
        <v>455</v>
      </c>
    </row>
    <row r="254" spans="1:23" hidden="1">
      <c r="A254" s="1">
        <v>45358</v>
      </c>
      <c r="B254" t="s">
        <v>12</v>
      </c>
      <c r="C254" t="s">
        <v>2726</v>
      </c>
      <c r="D254" s="23" t="s">
        <v>2726</v>
      </c>
      <c r="E254" t="s">
        <v>41</v>
      </c>
      <c r="F254" s="19">
        <v>57564931</v>
      </c>
      <c r="G254" s="53">
        <v>746624235462</v>
      </c>
      <c r="H254" s="52">
        <v>4931</v>
      </c>
      <c r="I254" s="5">
        <v>0.1</v>
      </c>
      <c r="J254" s="52" cm="1">
        <f t="array" ref="J25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494</v>
      </c>
      <c r="K254" s="15" t="s">
        <v>2727</v>
      </c>
      <c r="L254" s="54" t="s">
        <v>76</v>
      </c>
      <c r="M254" t="s">
        <v>43</v>
      </c>
      <c r="N254" s="15" t="s">
        <v>84</v>
      </c>
      <c r="O254" s="5" t="s">
        <v>111</v>
      </c>
      <c r="P254" s="17" t="s">
        <v>146</v>
      </c>
      <c r="Q254" s="10" t="s">
        <v>291</v>
      </c>
      <c r="R254" s="11">
        <v>45369</v>
      </c>
      <c r="S254" s="10" t="s">
        <v>48</v>
      </c>
      <c r="T254" s="3" t="str">
        <f>IF(AND(ProtocolosKL[[#This Row],[STATUS]]="APROVADO",ProtocolosKL[[#This Row],[WAIVER]]=""),"Y","")</f>
        <v/>
      </c>
      <c r="U254" s="12" t="s">
        <v>2728</v>
      </c>
      <c r="V254" s="16" t="str">
        <f t="shared" si="4"/>
        <v>4HI5IXCORAZZA/JOSE ANTONIO</v>
      </c>
      <c r="W254">
        <v>458</v>
      </c>
    </row>
    <row r="255" spans="1:23" hidden="1">
      <c r="A255" s="1">
        <v>45358</v>
      </c>
      <c r="B255" t="s">
        <v>12</v>
      </c>
      <c r="C255" t="s">
        <v>2726</v>
      </c>
      <c r="D255" s="23" t="s">
        <v>2726</v>
      </c>
      <c r="E255" t="s">
        <v>41</v>
      </c>
      <c r="F255" s="19">
        <v>57564931</v>
      </c>
      <c r="G255" s="53">
        <v>746624235464</v>
      </c>
      <c r="H255" s="52">
        <v>4931</v>
      </c>
      <c r="I255" s="5">
        <v>0.1</v>
      </c>
      <c r="J255" s="52" cm="1">
        <f t="array" ref="J25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494</v>
      </c>
      <c r="K255" s="15" t="s">
        <v>2727</v>
      </c>
      <c r="L255" s="54" t="s">
        <v>76</v>
      </c>
      <c r="M255" t="s">
        <v>43</v>
      </c>
      <c r="N255" s="15" t="s">
        <v>84</v>
      </c>
      <c r="O255" s="5" t="s">
        <v>111</v>
      </c>
      <c r="P255" s="17" t="s">
        <v>146</v>
      </c>
      <c r="Q255" s="10" t="s">
        <v>291</v>
      </c>
      <c r="R255" s="11">
        <v>45369</v>
      </c>
      <c r="S255" s="10" t="s">
        <v>48</v>
      </c>
      <c r="T255" s="3" t="str">
        <f>IF(AND(ProtocolosKL[[#This Row],[STATUS]]="APROVADO",ProtocolosKL[[#This Row],[WAIVER]]=""),"Y","")</f>
        <v/>
      </c>
      <c r="U255" s="12" t="s">
        <v>2729</v>
      </c>
      <c r="V255" s="16" t="str">
        <f t="shared" si="4"/>
        <v>4HI5IXFELIPPE CORAZZA/NADIA MARIA</v>
      </c>
      <c r="W255">
        <v>458</v>
      </c>
    </row>
    <row r="256" spans="1:23" hidden="1">
      <c r="A256" s="1">
        <v>45358</v>
      </c>
      <c r="B256" t="s">
        <v>10</v>
      </c>
      <c r="C256" t="s">
        <v>2694</v>
      </c>
      <c r="D256" s="23" t="s">
        <v>2694</v>
      </c>
      <c r="E256" t="s">
        <v>73</v>
      </c>
      <c r="F256" s="19">
        <v>57490484</v>
      </c>
      <c r="G256" s="53">
        <v>744106875991</v>
      </c>
      <c r="H256" s="52">
        <v>179</v>
      </c>
      <c r="I256" s="5" t="s">
        <v>74</v>
      </c>
      <c r="J256" s="52" cm="1">
        <f t="array" ref="J25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179</v>
      </c>
      <c r="K256" s="15" t="s">
        <v>306</v>
      </c>
      <c r="L256" s="54" t="s">
        <v>172</v>
      </c>
      <c r="M256" t="s">
        <v>43</v>
      </c>
      <c r="N256" s="15" t="s">
        <v>1129</v>
      </c>
      <c r="O256" s="5" t="s">
        <v>2730</v>
      </c>
      <c r="P256" s="17" t="s">
        <v>46</v>
      </c>
      <c r="Q256" s="10" t="s">
        <v>222</v>
      </c>
      <c r="R256" s="11">
        <v>45362</v>
      </c>
      <c r="S256" s="10" t="s">
        <v>173</v>
      </c>
      <c r="T256" s="3" t="str">
        <f>IF(AND(ProtocolosKL[[#This Row],[STATUS]]="APROVADO",ProtocolosKL[[#This Row],[WAIVER]]=""),"Y","")</f>
        <v/>
      </c>
      <c r="U256" s="12" t="s">
        <v>2731</v>
      </c>
      <c r="V256" s="16" t="str">
        <f t="shared" si="4"/>
        <v>2JDJ8CCELIDONIO/MARIA DE FATIMA</v>
      </c>
      <c r="W256">
        <v>462</v>
      </c>
    </row>
    <row r="257" spans="1:23" hidden="1">
      <c r="A257" s="1">
        <v>45358</v>
      </c>
      <c r="B257" t="s">
        <v>10</v>
      </c>
      <c r="C257" t="s">
        <v>2694</v>
      </c>
      <c r="D257" s="23" t="s">
        <v>2694</v>
      </c>
      <c r="E257" t="s">
        <v>73</v>
      </c>
      <c r="F257" s="19">
        <v>57490484</v>
      </c>
      <c r="G257" s="53">
        <v>744106875992</v>
      </c>
      <c r="H257" s="52">
        <v>179</v>
      </c>
      <c r="I257" s="5" t="s">
        <v>74</v>
      </c>
      <c r="J257" s="52" cm="1">
        <f t="array" ref="J25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179</v>
      </c>
      <c r="K257" s="15" t="s">
        <v>306</v>
      </c>
      <c r="L257" s="54" t="s">
        <v>172</v>
      </c>
      <c r="M257" t="s">
        <v>43</v>
      </c>
      <c r="N257" s="15" t="s">
        <v>1129</v>
      </c>
      <c r="O257" s="5" t="s">
        <v>2730</v>
      </c>
      <c r="P257" s="17" t="s">
        <v>46</v>
      </c>
      <c r="Q257" s="10" t="s">
        <v>222</v>
      </c>
      <c r="R257" s="11">
        <v>45362</v>
      </c>
      <c r="S257" s="10" t="s">
        <v>173</v>
      </c>
      <c r="T257" s="3" t="str">
        <f>IF(AND(ProtocolosKL[[#This Row],[STATUS]]="APROVADO",ProtocolosKL[[#This Row],[WAIVER]]=""),"Y","")</f>
        <v/>
      </c>
      <c r="U257" s="12" t="s">
        <v>2732</v>
      </c>
      <c r="V257" s="16" t="str">
        <f t="shared" si="4"/>
        <v>2JDJ8CREIS NETO/LAURO</v>
      </c>
      <c r="W257">
        <v>462</v>
      </c>
    </row>
    <row r="258" spans="1:23" hidden="1">
      <c r="A258" s="1">
        <v>45358</v>
      </c>
      <c r="B258" t="s">
        <v>11</v>
      </c>
      <c r="C258" t="s">
        <v>2733</v>
      </c>
      <c r="D258" s="23" t="s">
        <v>2734</v>
      </c>
      <c r="E258" t="s">
        <v>512</v>
      </c>
      <c r="F258" s="19">
        <v>57642023</v>
      </c>
      <c r="G258" s="53">
        <v>742936050300</v>
      </c>
      <c r="H258" s="52">
        <v>276</v>
      </c>
      <c r="I258" s="5" t="s">
        <v>74</v>
      </c>
      <c r="J258" s="52" cm="1">
        <f t="array" ref="J25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276</v>
      </c>
      <c r="K258" s="15" t="s">
        <v>1751</v>
      </c>
      <c r="L258" s="54" t="s">
        <v>172</v>
      </c>
      <c r="M258" t="s">
        <v>43</v>
      </c>
      <c r="N258" s="15" t="s">
        <v>84</v>
      </c>
      <c r="O258" s="5" t="s">
        <v>436</v>
      </c>
      <c r="P258" s="17" t="s">
        <v>69</v>
      </c>
      <c r="Q258" s="10" t="s">
        <v>222</v>
      </c>
      <c r="R258" s="11">
        <v>45358</v>
      </c>
      <c r="S258" s="10" t="s">
        <v>2735</v>
      </c>
      <c r="T258" s="3" t="str">
        <f>IF(AND(ProtocolosKL[[#This Row],[STATUS]]="APROVADO",ProtocolosKL[[#This Row],[WAIVER]]=""),"Y","")</f>
        <v/>
      </c>
      <c r="U258" s="12" t="s">
        <v>2736</v>
      </c>
      <c r="V258" s="16" t="str">
        <f t="shared" si="4"/>
        <v>768CB8andrade/manoela</v>
      </c>
      <c r="W258">
        <v>463</v>
      </c>
    </row>
    <row r="259" spans="1:23" hidden="1">
      <c r="A259" s="1">
        <v>45358</v>
      </c>
      <c r="B259" t="s">
        <v>10</v>
      </c>
      <c r="C259" t="s">
        <v>2737</v>
      </c>
      <c r="D259" s="23" t="s">
        <v>2738</v>
      </c>
      <c r="E259" t="s">
        <v>41</v>
      </c>
      <c r="F259" s="19">
        <v>57564931</v>
      </c>
      <c r="G259" s="53">
        <v>746687949459</v>
      </c>
      <c r="H259" s="52">
        <v>1458</v>
      </c>
      <c r="I259" s="5">
        <v>0.06</v>
      </c>
      <c r="J259" s="52" cm="1">
        <f t="array" ref="J25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88</v>
      </c>
      <c r="K259" s="15" t="s">
        <v>345</v>
      </c>
      <c r="L259" s="54" t="s">
        <v>76</v>
      </c>
      <c r="M259" t="s">
        <v>43</v>
      </c>
      <c r="N259" s="15" t="s">
        <v>1129</v>
      </c>
      <c r="O259" s="5" t="s">
        <v>221</v>
      </c>
      <c r="P259" s="17" t="s">
        <v>46</v>
      </c>
      <c r="Q259" s="10" t="s">
        <v>222</v>
      </c>
      <c r="R259" s="11">
        <v>45362</v>
      </c>
      <c r="S259" s="10" t="s">
        <v>48</v>
      </c>
      <c r="T259" s="3" t="str">
        <f>IF(AND(ProtocolosKL[[#This Row],[STATUS]]="APROVADO",ProtocolosKL[[#This Row],[WAIVER]]=""),"Y","")</f>
        <v/>
      </c>
      <c r="U259" s="12" t="s">
        <v>2739</v>
      </c>
      <c r="V259" s="16" t="str">
        <f t="shared" si="4"/>
        <v>YDYKOIPESSOA DE MAGALHAES FILHO/ROBERTO JOSE</v>
      </c>
      <c r="W259">
        <v>464</v>
      </c>
    </row>
    <row r="260" spans="1:23" hidden="1">
      <c r="A260" s="1">
        <v>45362</v>
      </c>
      <c r="B260" t="s">
        <v>11</v>
      </c>
      <c r="C260" t="s">
        <v>2740</v>
      </c>
      <c r="D260" s="23" t="s">
        <v>2741</v>
      </c>
      <c r="E260" t="s">
        <v>207</v>
      </c>
      <c r="F260" s="19"/>
      <c r="G260" s="53"/>
      <c r="H260" s="52">
        <v>35</v>
      </c>
      <c r="I260" s="5" t="s">
        <v>74</v>
      </c>
      <c r="J260" s="52" t="str" cm="1">
        <f t="array" ref="J26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60" s="15" t="s">
        <v>2153</v>
      </c>
      <c r="L260" s="54" t="s">
        <v>513</v>
      </c>
      <c r="M260" t="s">
        <v>100</v>
      </c>
      <c r="N260" s="15" t="s">
        <v>1096</v>
      </c>
      <c r="O260" s="5" t="s">
        <v>2742</v>
      </c>
      <c r="P260" s="17" t="s">
        <v>146</v>
      </c>
      <c r="Q260" s="10"/>
      <c r="R260" s="11"/>
      <c r="S260" s="10"/>
      <c r="T260" s="3" t="str">
        <f>IF(AND(ProtocolosKL[[#This Row],[STATUS]]="APROVADO",ProtocolosKL[[#This Row],[WAIVER]]=""),"Y","")</f>
        <v/>
      </c>
      <c r="U260" s="12" t="s">
        <v>2743</v>
      </c>
      <c r="V260" s="16" t="str">
        <f t="shared" si="4"/>
        <v>DTLGYUMARIO RIETMANN/EMILIO</v>
      </c>
      <c r="W260">
        <v>470</v>
      </c>
    </row>
    <row r="261" spans="1:23" hidden="1">
      <c r="A261" s="1">
        <v>45364</v>
      </c>
      <c r="B261" t="s">
        <v>11</v>
      </c>
      <c r="C261" t="s">
        <v>2744</v>
      </c>
      <c r="D261" s="23" t="s">
        <v>2744</v>
      </c>
      <c r="E261" t="s">
        <v>41</v>
      </c>
      <c r="F261" s="19">
        <v>57564931</v>
      </c>
      <c r="G261" s="53">
        <v>746624278093</v>
      </c>
      <c r="H261" s="52">
        <v>1871</v>
      </c>
      <c r="I261" s="5">
        <v>0.1</v>
      </c>
      <c r="J261" s="52" cm="1">
        <f t="array" ref="J26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188</v>
      </c>
      <c r="K261" s="15" t="s">
        <v>2460</v>
      </c>
      <c r="L261" s="54" t="s">
        <v>76</v>
      </c>
      <c r="M261" t="s">
        <v>43</v>
      </c>
      <c r="N261" s="15" t="s">
        <v>1096</v>
      </c>
      <c r="O261" s="5" t="s">
        <v>2745</v>
      </c>
      <c r="P261" s="17" t="s">
        <v>46</v>
      </c>
      <c r="Q261" s="10" t="s">
        <v>291</v>
      </c>
      <c r="R261" s="11">
        <v>45364</v>
      </c>
      <c r="S261" s="10" t="s">
        <v>48</v>
      </c>
      <c r="T261" s="3" t="str">
        <f>IF(AND(ProtocolosKL[[#This Row],[STATUS]]="APROVADO",ProtocolosKL[[#This Row],[WAIVER]]=""),"Y","")</f>
        <v/>
      </c>
      <c r="U261" s="12" t="s">
        <v>2746</v>
      </c>
      <c r="V261" s="16" t="str">
        <f t="shared" si="4"/>
        <v>2DO6H7DA CUNHA NARIYOSHI/JOAO FERNANDO</v>
      </c>
      <c r="W261">
        <v>471</v>
      </c>
    </row>
    <row r="262" spans="1:23" hidden="1">
      <c r="A262" s="1">
        <v>45365</v>
      </c>
      <c r="B262" t="s">
        <v>13</v>
      </c>
      <c r="C262" t="s">
        <v>2747</v>
      </c>
      <c r="D262" s="23" t="s">
        <v>2747</v>
      </c>
      <c r="E262" t="s">
        <v>41</v>
      </c>
      <c r="F262" s="19">
        <v>57564931</v>
      </c>
      <c r="G262" s="53">
        <v>746624286087</v>
      </c>
      <c r="H262" s="52">
        <v>4045</v>
      </c>
      <c r="I262" s="5">
        <v>0.1</v>
      </c>
      <c r="J262" s="52" cm="1">
        <f t="array" ref="J26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405</v>
      </c>
      <c r="K262" s="15" t="s">
        <v>817</v>
      </c>
      <c r="L262" s="54" t="s">
        <v>66</v>
      </c>
      <c r="M262" t="s">
        <v>43</v>
      </c>
      <c r="N262" s="15" t="s">
        <v>1096</v>
      </c>
      <c r="O262" s="5" t="s">
        <v>140</v>
      </c>
      <c r="P262" s="17" t="s">
        <v>69</v>
      </c>
      <c r="Q262" s="10" t="s">
        <v>291</v>
      </c>
      <c r="R262" s="11">
        <v>45366</v>
      </c>
      <c r="S262" s="10" t="s">
        <v>48</v>
      </c>
      <c r="T262" s="3" t="str">
        <f>IF(AND(ProtocolosKL[[#This Row],[STATUS]]="APROVADO",ProtocolosKL[[#This Row],[WAIVER]]=""),"Y","")</f>
        <v/>
      </c>
      <c r="U262" s="12" t="s">
        <v>2748</v>
      </c>
      <c r="V262" s="16" t="str">
        <f t="shared" si="4"/>
        <v>2P4GNACOELHO/JOSE ROBERTO</v>
      </c>
      <c r="W262">
        <v>476</v>
      </c>
    </row>
    <row r="263" spans="1:23" hidden="1">
      <c r="A263" s="1">
        <v>45365</v>
      </c>
      <c r="B263" t="s">
        <v>13</v>
      </c>
      <c r="C263" t="s">
        <v>2747</v>
      </c>
      <c r="D263" s="23" t="s">
        <v>2747</v>
      </c>
      <c r="E263" t="s">
        <v>41</v>
      </c>
      <c r="F263" s="19">
        <v>57564931</v>
      </c>
      <c r="G263" s="53">
        <v>746624286089</v>
      </c>
      <c r="H263" s="52">
        <v>4045</v>
      </c>
      <c r="I263" s="5">
        <v>0.1</v>
      </c>
      <c r="J263" s="52" cm="1">
        <f t="array" ref="J26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405</v>
      </c>
      <c r="K263" s="15" t="s">
        <v>817</v>
      </c>
      <c r="L263" s="54" t="s">
        <v>66</v>
      </c>
      <c r="M263" t="s">
        <v>43</v>
      </c>
      <c r="N263" s="15" t="s">
        <v>1096</v>
      </c>
      <c r="O263" s="5" t="s">
        <v>140</v>
      </c>
      <c r="P263" s="17" t="s">
        <v>69</v>
      </c>
      <c r="Q263" s="10" t="s">
        <v>291</v>
      </c>
      <c r="R263" s="11">
        <v>45366</v>
      </c>
      <c r="S263" s="10" t="s">
        <v>48</v>
      </c>
      <c r="T263" s="3" t="str">
        <f>IF(AND(ProtocolosKL[[#This Row],[STATUS]]="APROVADO",ProtocolosKL[[#This Row],[WAIVER]]=""),"Y","")</f>
        <v/>
      </c>
      <c r="U263" s="12" t="s">
        <v>2749</v>
      </c>
      <c r="V263" s="16" t="str">
        <f t="shared" si="4"/>
        <v xml:space="preserve">2P4GNATUCUNDUVA ARANTES COELHO/WALKYRIA </v>
      </c>
      <c r="W263">
        <v>476</v>
      </c>
    </row>
    <row r="264" spans="1:23" hidden="1">
      <c r="A264" s="1">
        <v>45365</v>
      </c>
      <c r="B264" t="s">
        <v>13</v>
      </c>
      <c r="C264" t="s">
        <v>2750</v>
      </c>
      <c r="D264" s="23" t="s">
        <v>2750</v>
      </c>
      <c r="E264" t="s">
        <v>41</v>
      </c>
      <c r="F264" s="19"/>
      <c r="G264" s="53"/>
      <c r="H264" s="52">
        <v>4674</v>
      </c>
      <c r="I264" s="5">
        <v>0.1</v>
      </c>
      <c r="J264" s="52" t="str" cm="1">
        <f t="array" ref="J26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64" s="15" t="s">
        <v>817</v>
      </c>
      <c r="L264" s="54" t="s">
        <v>66</v>
      </c>
      <c r="M264" t="s">
        <v>100</v>
      </c>
      <c r="N264" s="15" t="s">
        <v>1096</v>
      </c>
      <c r="O264" s="5" t="s">
        <v>2751</v>
      </c>
      <c r="P264" s="17" t="s">
        <v>69</v>
      </c>
      <c r="Q264" s="10"/>
      <c r="R264" s="11"/>
      <c r="S264" s="10"/>
      <c r="T264" s="3" t="str">
        <f>IF(AND(ProtocolosKL[[#This Row],[STATUS]]="APROVADO",ProtocolosKL[[#This Row],[WAIVER]]=""),"Y","")</f>
        <v/>
      </c>
      <c r="U264" s="12" t="s">
        <v>2752</v>
      </c>
      <c r="V264" s="16" t="str">
        <f t="shared" si="4"/>
        <v>2TO2E2  DIEGUEZ FERNANDEZ/MARIN</v>
      </c>
      <c r="W264">
        <v>477</v>
      </c>
    </row>
    <row r="265" spans="1:23" hidden="1">
      <c r="A265" s="1">
        <v>45365</v>
      </c>
      <c r="B265" t="s">
        <v>13</v>
      </c>
      <c r="C265" t="s">
        <v>2750</v>
      </c>
      <c r="D265" s="23" t="s">
        <v>2750</v>
      </c>
      <c r="E265" t="s">
        <v>41</v>
      </c>
      <c r="F265" s="19"/>
      <c r="G265" s="53"/>
      <c r="H265" s="52">
        <v>4674</v>
      </c>
      <c r="I265" s="5">
        <v>0.1</v>
      </c>
      <c r="J265" s="52" t="str" cm="1">
        <f t="array" ref="J26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65" s="15" t="s">
        <v>817</v>
      </c>
      <c r="L265" s="54" t="s">
        <v>66</v>
      </c>
      <c r="M265" t="s">
        <v>100</v>
      </c>
      <c r="N265" s="15" t="s">
        <v>1096</v>
      </c>
      <c r="O265" s="5" t="s">
        <v>2751</v>
      </c>
      <c r="P265" s="17" t="s">
        <v>69</v>
      </c>
      <c r="Q265" s="10"/>
      <c r="R265" s="11"/>
      <c r="S265" s="10"/>
      <c r="T265" s="3" t="str">
        <f>IF(AND(ProtocolosKL[[#This Row],[STATUS]]="APROVADO",ProtocolosKL[[#This Row],[WAIVER]]=""),"Y","")</f>
        <v/>
      </c>
      <c r="U265" s="12" t="s">
        <v>2753</v>
      </c>
      <c r="V265" s="16" t="str">
        <f t="shared" si="4"/>
        <v>2TO2E2  GODOI DE OLIVEIRA/FABIO</v>
      </c>
      <c r="W265">
        <v>477</v>
      </c>
    </row>
    <row r="266" spans="1:23" hidden="1">
      <c r="A266" s="1">
        <v>45365</v>
      </c>
      <c r="B266" t="s">
        <v>10</v>
      </c>
      <c r="C266" t="s">
        <v>2754</v>
      </c>
      <c r="D266" s="23" t="s">
        <v>2755</v>
      </c>
      <c r="E266" t="s">
        <v>41</v>
      </c>
      <c r="F266" s="19"/>
      <c r="G266" s="53"/>
      <c r="H266" s="52">
        <v>1335</v>
      </c>
      <c r="I266" s="5">
        <v>0.1</v>
      </c>
      <c r="J266" s="52" t="str" cm="1">
        <f t="array" ref="J26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66" s="15" t="s">
        <v>345</v>
      </c>
      <c r="L266" s="54" t="s">
        <v>76</v>
      </c>
      <c r="M266" t="s">
        <v>100</v>
      </c>
      <c r="N266" s="15" t="s">
        <v>1129</v>
      </c>
      <c r="O266" s="5" t="s">
        <v>140</v>
      </c>
      <c r="P266" s="17" t="s">
        <v>69</v>
      </c>
      <c r="Q266" s="10"/>
      <c r="R266" s="11"/>
      <c r="S266" s="10"/>
      <c r="T266" s="3" t="str">
        <f>IF(AND(ProtocolosKL[[#This Row],[STATUS]]="APROVADO",ProtocolosKL[[#This Row],[WAIVER]]=""),"Y","")</f>
        <v/>
      </c>
      <c r="U266" s="12" t="s">
        <v>2756</v>
      </c>
      <c r="V266" s="16" t="str">
        <f t="shared" si="4"/>
        <v>JUMGBYPIRES/JOAO MR</v>
      </c>
      <c r="W266">
        <v>478</v>
      </c>
    </row>
    <row r="267" spans="1:23" hidden="1">
      <c r="A267" s="1">
        <v>45365</v>
      </c>
      <c r="B267" t="s">
        <v>10</v>
      </c>
      <c r="C267" t="s">
        <v>2754</v>
      </c>
      <c r="D267" s="23" t="s">
        <v>2755</v>
      </c>
      <c r="E267" t="s">
        <v>41</v>
      </c>
      <c r="F267" s="19"/>
      <c r="G267" s="53"/>
      <c r="H267" s="52">
        <v>1335</v>
      </c>
      <c r="I267" s="5">
        <v>0.1</v>
      </c>
      <c r="J267" s="52" t="str" cm="1">
        <f t="array" ref="J26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67" s="15" t="s">
        <v>345</v>
      </c>
      <c r="L267" s="54" t="s">
        <v>76</v>
      </c>
      <c r="M267" t="s">
        <v>100</v>
      </c>
      <c r="N267" s="15" t="s">
        <v>1129</v>
      </c>
      <c r="O267" s="5" t="s">
        <v>140</v>
      </c>
      <c r="P267" s="17" t="s">
        <v>69</v>
      </c>
      <c r="Q267" s="10"/>
      <c r="R267" s="11"/>
      <c r="S267" s="10"/>
      <c r="T267" s="3" t="str">
        <f>IF(AND(ProtocolosKL[[#This Row],[STATUS]]="APROVADO",ProtocolosKL[[#This Row],[WAIVER]]=""),"Y","")</f>
        <v/>
      </c>
      <c r="U267" s="12" t="s">
        <v>2757</v>
      </c>
      <c r="V267" s="16" t="str">
        <f t="shared" si="4"/>
        <v>JUMGBYOLIVEIRA/KAUE MR</v>
      </c>
      <c r="W267">
        <v>478</v>
      </c>
    </row>
    <row r="268" spans="1:23" hidden="1">
      <c r="A268" s="1">
        <v>45370</v>
      </c>
      <c r="B268" t="s">
        <v>12</v>
      </c>
      <c r="C268" t="s">
        <v>2688</v>
      </c>
      <c r="D268" s="23" t="s">
        <v>2689</v>
      </c>
      <c r="E268" t="s">
        <v>73</v>
      </c>
      <c r="F268" s="19">
        <v>57994602</v>
      </c>
      <c r="G268" s="53">
        <v>574207249094</v>
      </c>
      <c r="H268" s="52">
        <v>40</v>
      </c>
      <c r="I268" s="5" t="s">
        <v>74</v>
      </c>
      <c r="J268" s="52" cm="1">
        <f t="array" ref="J26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40</v>
      </c>
      <c r="K268" s="15" t="s">
        <v>1089</v>
      </c>
      <c r="L268" s="54" t="s">
        <v>172</v>
      </c>
      <c r="M268" t="s">
        <v>43</v>
      </c>
      <c r="N268" s="15" t="s">
        <v>1096</v>
      </c>
      <c r="O268" s="5" t="s">
        <v>711</v>
      </c>
      <c r="P268" s="17" t="s">
        <v>146</v>
      </c>
      <c r="Q268" s="10" t="s">
        <v>1678</v>
      </c>
      <c r="R268" s="11">
        <v>45371</v>
      </c>
      <c r="S268" s="10" t="s">
        <v>173</v>
      </c>
      <c r="T268" s="3" t="str">
        <f>IF(AND(ProtocolosKL[[#This Row],[STATUS]]="APROVADO",ProtocolosKL[[#This Row],[WAIVER]]=""),"Y","")</f>
        <v/>
      </c>
      <c r="U268" s="12" t="s">
        <v>2690</v>
      </c>
      <c r="V268" s="16" t="str">
        <f t="shared" si="4"/>
        <v>IEFSJPDE SOUZA KLAS/RODRIGO</v>
      </c>
      <c r="W268">
        <v>479</v>
      </c>
    </row>
    <row r="269" spans="1:23" hidden="1">
      <c r="A269" s="1">
        <v>45384</v>
      </c>
      <c r="B269" t="s">
        <v>13</v>
      </c>
      <c r="C269" t="s">
        <v>2758</v>
      </c>
      <c r="D269" s="23" t="s">
        <v>2758</v>
      </c>
      <c r="E269" t="s">
        <v>41</v>
      </c>
      <c r="F269" s="19"/>
      <c r="G269" s="53"/>
      <c r="H269" s="52">
        <v>4228</v>
      </c>
      <c r="I269" s="5">
        <v>0.05</v>
      </c>
      <c r="J269" s="52" t="str" cm="1">
        <f t="array" ref="J26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69" s="15" t="s">
        <v>289</v>
      </c>
      <c r="L269" s="54" t="s">
        <v>76</v>
      </c>
      <c r="M269" t="s">
        <v>100</v>
      </c>
      <c r="N269" s="15" t="s">
        <v>1096</v>
      </c>
      <c r="O269" s="5" t="s">
        <v>372</v>
      </c>
      <c r="P269" s="17" t="s">
        <v>69</v>
      </c>
      <c r="Q269" s="10"/>
      <c r="R269" s="11"/>
      <c r="S269" s="10"/>
      <c r="T269" s="3" t="str">
        <f>IF(AND(ProtocolosKL[[#This Row],[STATUS]]="APROVADO",ProtocolosKL[[#This Row],[WAIVER]]=""),"Y","")</f>
        <v/>
      </c>
      <c r="U269" s="12" t="s">
        <v>2759</v>
      </c>
      <c r="V269" s="16" t="str">
        <f t="shared" si="4"/>
        <v>32JHG3DAVANSO/SOLANGE</v>
      </c>
      <c r="W269">
        <v>491</v>
      </c>
    </row>
    <row r="270" spans="1:23" hidden="1">
      <c r="A270" s="1">
        <v>45384</v>
      </c>
      <c r="B270" t="s">
        <v>13</v>
      </c>
      <c r="C270" t="s">
        <v>2758</v>
      </c>
      <c r="D270" s="23" t="s">
        <v>2758</v>
      </c>
      <c r="E270" t="s">
        <v>41</v>
      </c>
      <c r="F270" s="19"/>
      <c r="G270" s="53"/>
      <c r="H270" s="52">
        <v>4228</v>
      </c>
      <c r="I270" s="5">
        <v>0.05</v>
      </c>
      <c r="J270" s="52" t="str" cm="1">
        <f t="array" ref="J27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70" s="15" t="s">
        <v>289</v>
      </c>
      <c r="L270" s="54" t="s">
        <v>76</v>
      </c>
      <c r="M270" t="s">
        <v>100</v>
      </c>
      <c r="N270" s="15" t="s">
        <v>1096</v>
      </c>
      <c r="O270" s="5" t="s">
        <v>372</v>
      </c>
      <c r="P270" s="17" t="s">
        <v>69</v>
      </c>
      <c r="Q270" s="10"/>
      <c r="R270" s="11"/>
      <c r="S270" s="10"/>
      <c r="T270" s="3" t="str">
        <f>IF(AND(ProtocolosKL[[#This Row],[STATUS]]="APROVADO",ProtocolosKL[[#This Row],[WAIVER]]=""),"Y","")</f>
        <v/>
      </c>
      <c r="U270" s="12" t="s">
        <v>2760</v>
      </c>
      <c r="V270" s="16" t="str">
        <f t="shared" si="4"/>
        <v>32JHG3RIGHI/LUCIO</v>
      </c>
      <c r="W270">
        <v>491</v>
      </c>
    </row>
    <row r="271" spans="1:23" hidden="1">
      <c r="A271" s="1">
        <v>45385</v>
      </c>
      <c r="B271" t="s">
        <v>11</v>
      </c>
      <c r="C271" t="s">
        <v>2761</v>
      </c>
      <c r="D271" s="23" t="s">
        <v>2762</v>
      </c>
      <c r="E271" t="s">
        <v>41</v>
      </c>
      <c r="F271" s="19">
        <v>57564931</v>
      </c>
      <c r="G271" s="53">
        <v>743529098903</v>
      </c>
      <c r="H271" s="52">
        <v>1384</v>
      </c>
      <c r="I271" s="5">
        <v>0.08</v>
      </c>
      <c r="J271" s="52" cm="1">
        <f t="array" ref="J27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111</v>
      </c>
      <c r="K271" s="15" t="s">
        <v>1688</v>
      </c>
      <c r="L271" s="54" t="s">
        <v>76</v>
      </c>
      <c r="M271" t="s">
        <v>43</v>
      </c>
      <c r="N271" s="15" t="s">
        <v>1129</v>
      </c>
      <c r="O271" s="5" t="s">
        <v>583</v>
      </c>
      <c r="P271" s="17" t="s">
        <v>46</v>
      </c>
      <c r="Q271" s="10" t="s">
        <v>2763</v>
      </c>
      <c r="R271" s="11">
        <v>45386</v>
      </c>
      <c r="S271" s="10" t="s">
        <v>48</v>
      </c>
      <c r="T271" s="3" t="str">
        <f>IF(AND(ProtocolosKL[[#This Row],[STATUS]]="APROVADO",ProtocolosKL[[#This Row],[WAIVER]]=""),"Y","")</f>
        <v/>
      </c>
      <c r="U271" s="12" t="s">
        <v>2764</v>
      </c>
      <c r="V271" s="16" t="str">
        <f t="shared" si="4"/>
        <v>YTXSDDFERREIRA/SUELI</v>
      </c>
      <c r="W271">
        <v>492</v>
      </c>
    </row>
    <row r="272" spans="1:23" hidden="1">
      <c r="A272" s="1">
        <v>45385</v>
      </c>
      <c r="B272" t="s">
        <v>11</v>
      </c>
      <c r="C272" t="s">
        <v>2761</v>
      </c>
      <c r="D272" s="23" t="s">
        <v>2762</v>
      </c>
      <c r="E272" t="s">
        <v>41</v>
      </c>
      <c r="F272" s="19">
        <v>57564931</v>
      </c>
      <c r="G272" s="53">
        <v>743529099717</v>
      </c>
      <c r="H272" s="52">
        <v>1384</v>
      </c>
      <c r="I272" s="5">
        <v>0.08</v>
      </c>
      <c r="J272" s="52" cm="1">
        <f t="array" ref="J27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111</v>
      </c>
      <c r="K272" s="15" t="s">
        <v>1688</v>
      </c>
      <c r="L272" s="54" t="s">
        <v>76</v>
      </c>
      <c r="M272" t="s">
        <v>43</v>
      </c>
      <c r="N272" s="15" t="s">
        <v>1129</v>
      </c>
      <c r="O272" s="5" t="s">
        <v>583</v>
      </c>
      <c r="P272" s="17" t="s">
        <v>46</v>
      </c>
      <c r="Q272" s="10" t="s">
        <v>2763</v>
      </c>
      <c r="R272" s="11">
        <v>45386</v>
      </c>
      <c r="S272" s="10" t="s">
        <v>48</v>
      </c>
      <c r="T272" s="3" t="str">
        <f>IF(AND(ProtocolosKL[[#This Row],[STATUS]]="APROVADO",ProtocolosKL[[#This Row],[WAIVER]]=""),"Y","")</f>
        <v/>
      </c>
      <c r="U272" s="12" t="s">
        <v>2765</v>
      </c>
      <c r="V272" s="16" t="str">
        <f t="shared" ref="V272:V335" si="5">_xlfn.CONCAT(C272,U272)</f>
        <v>YTXSDDDE CASTRO ALMEIDA/CELIA MARIA</v>
      </c>
      <c r="W272">
        <v>492</v>
      </c>
    </row>
    <row r="273" spans="1:23" hidden="1">
      <c r="A273" s="1">
        <v>45392</v>
      </c>
      <c r="B273" t="s">
        <v>11</v>
      </c>
      <c r="C273" t="s">
        <v>2766</v>
      </c>
      <c r="D273" s="23" t="s">
        <v>2767</v>
      </c>
      <c r="E273" t="s">
        <v>41</v>
      </c>
      <c r="F273" s="19">
        <v>57564931</v>
      </c>
      <c r="G273" s="53">
        <v>743529146867</v>
      </c>
      <c r="H273" s="52">
        <v>4841</v>
      </c>
      <c r="I273" s="5">
        <v>0.15</v>
      </c>
      <c r="J273" s="52" cm="1">
        <f t="array" ref="J27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727</v>
      </c>
      <c r="K273" s="15" t="s">
        <v>1248</v>
      </c>
      <c r="L273" s="54" t="s">
        <v>76</v>
      </c>
      <c r="M273" t="s">
        <v>43</v>
      </c>
      <c r="N273" s="15" t="s">
        <v>42</v>
      </c>
      <c r="O273" s="5" t="s">
        <v>167</v>
      </c>
      <c r="P273" s="17" t="s">
        <v>146</v>
      </c>
      <c r="Q273" s="10" t="s">
        <v>250</v>
      </c>
      <c r="R273" s="11">
        <v>45392</v>
      </c>
      <c r="S273" s="10" t="s">
        <v>48</v>
      </c>
      <c r="T273" s="3" t="str">
        <f>IF(AND(ProtocolosKL[[#This Row],[STATUS]]="APROVADO",ProtocolosKL[[#This Row],[WAIVER]]=""),"Y","")</f>
        <v/>
      </c>
      <c r="U273" s="12" t="s">
        <v>2768</v>
      </c>
      <c r="V273" s="16" t="str">
        <f t="shared" si="5"/>
        <v>NWUJOQPALHARES GUERRA LAGES/RODRIGO</v>
      </c>
      <c r="W273">
        <v>504</v>
      </c>
    </row>
    <row r="274" spans="1:23" hidden="1">
      <c r="A274" s="1">
        <v>45393</v>
      </c>
      <c r="B274" t="s">
        <v>11</v>
      </c>
      <c r="C274" t="s">
        <v>2766</v>
      </c>
      <c r="D274" s="23" t="s">
        <v>2767</v>
      </c>
      <c r="E274" t="s">
        <v>73</v>
      </c>
      <c r="F274" s="19">
        <v>57564931</v>
      </c>
      <c r="G274" s="53">
        <v>744109090083</v>
      </c>
      <c r="H274" s="52">
        <v>178</v>
      </c>
      <c r="I274" s="5" t="s">
        <v>74</v>
      </c>
      <c r="J274" s="52" cm="1">
        <f t="array" ref="J27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178</v>
      </c>
      <c r="K274" s="15" t="s">
        <v>1248</v>
      </c>
      <c r="L274" s="54" t="s">
        <v>172</v>
      </c>
      <c r="M274" t="s">
        <v>43</v>
      </c>
      <c r="N274" s="15" t="s">
        <v>1318</v>
      </c>
      <c r="O274" s="5" t="s">
        <v>578</v>
      </c>
      <c r="P274" s="17" t="s">
        <v>146</v>
      </c>
      <c r="Q274" s="10" t="s">
        <v>1319</v>
      </c>
      <c r="R274" s="11">
        <v>45395</v>
      </c>
      <c r="S274" s="10" t="s">
        <v>73</v>
      </c>
      <c r="T274" s="3" t="str">
        <f>IF(AND(ProtocolosKL[[#This Row],[STATUS]]="APROVADO",ProtocolosKL[[#This Row],[WAIVER]]=""),"Y","")</f>
        <v/>
      </c>
      <c r="U274" s="12" t="s">
        <v>2769</v>
      </c>
      <c r="V274" s="16" t="str">
        <f t="shared" si="5"/>
        <v xml:space="preserve">NWUJOQPALHARES GUERRA LAGES/RODRIGO-1.1  </v>
      </c>
      <c r="W274">
        <v>507</v>
      </c>
    </row>
    <row r="275" spans="1:23" hidden="1">
      <c r="A275" s="1">
        <v>45393</v>
      </c>
      <c r="B275" t="s">
        <v>13</v>
      </c>
      <c r="C275" t="s">
        <v>2770</v>
      </c>
      <c r="D275" s="23" t="s">
        <v>2770</v>
      </c>
      <c r="E275" t="s">
        <v>41</v>
      </c>
      <c r="F275" s="19">
        <v>57564931</v>
      </c>
      <c r="G275" s="53">
        <v>576624494563</v>
      </c>
      <c r="H275" s="52">
        <v>1400</v>
      </c>
      <c r="I275" s="5">
        <v>0.1</v>
      </c>
      <c r="J275" s="52" cm="1">
        <f t="array" ref="J27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140</v>
      </c>
      <c r="K275" s="15" t="s">
        <v>817</v>
      </c>
      <c r="L275" s="54" t="s">
        <v>66</v>
      </c>
      <c r="M275" t="s">
        <v>43</v>
      </c>
      <c r="N275" s="15" t="s">
        <v>42</v>
      </c>
      <c r="O275" s="5" t="s">
        <v>2771</v>
      </c>
      <c r="P275" s="17" t="s">
        <v>69</v>
      </c>
      <c r="Q275" s="10" t="s">
        <v>2611</v>
      </c>
      <c r="R275" s="11">
        <v>45393</v>
      </c>
      <c r="S275" s="10" t="s">
        <v>48</v>
      </c>
      <c r="T275" s="3" t="str">
        <f>IF(AND(ProtocolosKL[[#This Row],[STATUS]]="APROVADO",ProtocolosKL[[#This Row],[WAIVER]]=""),"Y","")</f>
        <v/>
      </c>
      <c r="U275" s="12" t="s">
        <v>2772</v>
      </c>
      <c r="V275" s="16" t="str">
        <f t="shared" si="5"/>
        <v>4JIXGMAMADO JOAO/SILVIA MARIA</v>
      </c>
      <c r="W275">
        <v>509</v>
      </c>
    </row>
    <row r="276" spans="1:23" hidden="1">
      <c r="A276" s="1">
        <v>45393</v>
      </c>
      <c r="B276" t="s">
        <v>13</v>
      </c>
      <c r="C276" t="s">
        <v>2770</v>
      </c>
      <c r="D276" s="23" t="s">
        <v>2770</v>
      </c>
      <c r="E276" t="s">
        <v>41</v>
      </c>
      <c r="F276" s="19">
        <v>57564931</v>
      </c>
      <c r="G276" s="53">
        <v>576624494596</v>
      </c>
      <c r="H276" s="52">
        <v>1400</v>
      </c>
      <c r="I276" s="5">
        <v>0.1</v>
      </c>
      <c r="J276" s="52" cm="1">
        <f t="array" ref="J27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140</v>
      </c>
      <c r="K276" s="15" t="s">
        <v>817</v>
      </c>
      <c r="L276" s="54" t="s">
        <v>66</v>
      </c>
      <c r="M276" t="s">
        <v>43</v>
      </c>
      <c r="N276" s="15" t="s">
        <v>42</v>
      </c>
      <c r="O276" s="5" t="s">
        <v>2771</v>
      </c>
      <c r="P276" s="17" t="s">
        <v>69</v>
      </c>
      <c r="Q276" s="10" t="s">
        <v>2611</v>
      </c>
      <c r="R276" s="11">
        <v>45393</v>
      </c>
      <c r="S276" s="10" t="s">
        <v>48</v>
      </c>
      <c r="T276" s="3" t="str">
        <f>IF(AND(ProtocolosKL[[#This Row],[STATUS]]="APROVADO",ProtocolosKL[[#This Row],[WAIVER]]=""),"Y","")</f>
        <v/>
      </c>
      <c r="U276" s="12" t="s">
        <v>2773</v>
      </c>
      <c r="V276" s="16" t="str">
        <f t="shared" si="5"/>
        <v>4JIXGMCASAROTTO/RAQUEL APARECIDA</v>
      </c>
      <c r="W276">
        <v>509</v>
      </c>
    </row>
    <row r="277" spans="1:23" hidden="1">
      <c r="A277" s="1">
        <v>45393</v>
      </c>
      <c r="B277" t="s">
        <v>13</v>
      </c>
      <c r="C277" t="s">
        <v>2770</v>
      </c>
      <c r="D277" s="23" t="s">
        <v>2770</v>
      </c>
      <c r="E277" t="s">
        <v>41</v>
      </c>
      <c r="F277" s="19">
        <v>57564931</v>
      </c>
      <c r="G277" s="53">
        <v>576624496836</v>
      </c>
      <c r="H277" s="52">
        <v>1400</v>
      </c>
      <c r="I277" s="5">
        <v>0.1</v>
      </c>
      <c r="J277" s="52" cm="1">
        <f t="array" ref="J27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140</v>
      </c>
      <c r="K277" s="15" t="s">
        <v>817</v>
      </c>
      <c r="L277" s="54" t="s">
        <v>66</v>
      </c>
      <c r="M277" t="s">
        <v>43</v>
      </c>
      <c r="N277" s="15" t="s">
        <v>42</v>
      </c>
      <c r="O277" s="5" t="s">
        <v>2771</v>
      </c>
      <c r="P277" s="17" t="s">
        <v>69</v>
      </c>
      <c r="Q277" s="10" t="s">
        <v>2611</v>
      </c>
      <c r="R277" s="11">
        <v>45393</v>
      </c>
      <c r="S277" s="10" t="s">
        <v>48</v>
      </c>
      <c r="T277" s="3" t="str">
        <f>IF(AND(ProtocolosKL[[#This Row],[STATUS]]="APROVADO",ProtocolosKL[[#This Row],[WAIVER]]=""),"Y","")</f>
        <v/>
      </c>
      <c r="U277" s="12" t="s">
        <v>2774</v>
      </c>
      <c r="V277" s="16" t="str">
        <f t="shared" si="5"/>
        <v>4JIXGMIKEISUMI/ELIZA AKEMI</v>
      </c>
      <c r="W277">
        <v>509</v>
      </c>
    </row>
    <row r="278" spans="1:23" hidden="1">
      <c r="A278" s="1">
        <v>45393</v>
      </c>
      <c r="B278" t="s">
        <v>13</v>
      </c>
      <c r="C278" t="s">
        <v>2770</v>
      </c>
      <c r="D278" s="23" t="s">
        <v>2770</v>
      </c>
      <c r="E278" t="s">
        <v>41</v>
      </c>
      <c r="F278" s="19">
        <v>57564931</v>
      </c>
      <c r="G278" s="53">
        <v>576624496838</v>
      </c>
      <c r="H278" s="52">
        <v>1400</v>
      </c>
      <c r="I278" s="5">
        <v>0.1</v>
      </c>
      <c r="J278" s="52" cm="1">
        <f t="array" ref="J27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140</v>
      </c>
      <c r="K278" s="15" t="s">
        <v>817</v>
      </c>
      <c r="L278" s="54" t="s">
        <v>66</v>
      </c>
      <c r="M278" t="s">
        <v>43</v>
      </c>
      <c r="N278" s="15" t="s">
        <v>42</v>
      </c>
      <c r="O278" s="5" t="s">
        <v>2771</v>
      </c>
      <c r="P278" s="17" t="s">
        <v>69</v>
      </c>
      <c r="Q278" s="10" t="s">
        <v>2611</v>
      </c>
      <c r="R278" s="11">
        <v>45393</v>
      </c>
      <c r="S278" s="10" t="s">
        <v>48</v>
      </c>
      <c r="T278" s="3" t="str">
        <f>IF(AND(ProtocolosKL[[#This Row],[STATUS]]="APROVADO",ProtocolosKL[[#This Row],[WAIVER]]=""),"Y","")</f>
        <v/>
      </c>
      <c r="U278" s="12" t="s">
        <v>2775</v>
      </c>
      <c r="V278" s="16" t="str">
        <f t="shared" si="5"/>
        <v>4JIXGMIKEISUMI/TIEMI MARINA</v>
      </c>
      <c r="W278">
        <v>509</v>
      </c>
    </row>
    <row r="279" spans="1:23" hidden="1">
      <c r="A279" s="1">
        <v>45394</v>
      </c>
      <c r="B279" t="s">
        <v>10</v>
      </c>
      <c r="C279" t="s">
        <v>2776</v>
      </c>
      <c r="D279" s="23" t="s">
        <v>2777</v>
      </c>
      <c r="E279" t="s">
        <v>41</v>
      </c>
      <c r="F279" s="19"/>
      <c r="G279" s="53"/>
      <c r="H279" s="52">
        <v>10020</v>
      </c>
      <c r="I279" s="5">
        <v>0.09</v>
      </c>
      <c r="J279" s="52" t="str" cm="1">
        <f t="array" ref="J27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79" s="15" t="s">
        <v>345</v>
      </c>
      <c r="L279" s="54" t="s">
        <v>76</v>
      </c>
      <c r="M279" t="s">
        <v>100</v>
      </c>
      <c r="N279" s="15" t="s">
        <v>1129</v>
      </c>
      <c r="O279" s="5" t="s">
        <v>706</v>
      </c>
      <c r="P279" s="17" t="s">
        <v>69</v>
      </c>
      <c r="Q279" s="10"/>
      <c r="R279" s="11"/>
      <c r="S279" s="10"/>
      <c r="T279" s="3" t="str">
        <f>IF(AND(ProtocolosKL[[#This Row],[STATUS]]="APROVADO",ProtocolosKL[[#This Row],[WAIVER]]=""),"Y","")</f>
        <v/>
      </c>
      <c r="U279" s="12" t="s">
        <v>2778</v>
      </c>
      <c r="V279" s="16" t="str">
        <f t="shared" si="5"/>
        <v>JMOWJMDE CASTRO E MELO/MARCO MR</v>
      </c>
      <c r="W279">
        <v>511</v>
      </c>
    </row>
    <row r="280" spans="1:23" hidden="1">
      <c r="A280" s="1">
        <v>45394</v>
      </c>
      <c r="B280" t="s">
        <v>10</v>
      </c>
      <c r="C280" t="s">
        <v>2779</v>
      </c>
      <c r="D280" s="23" t="s">
        <v>2780</v>
      </c>
      <c r="E280" t="s">
        <v>41</v>
      </c>
      <c r="F280" s="19">
        <v>57564931</v>
      </c>
      <c r="G280" s="53">
        <v>743529163167</v>
      </c>
      <c r="H280" s="52">
        <v>1713</v>
      </c>
      <c r="I280" s="5">
        <v>7.0000000000000007E-2</v>
      </c>
      <c r="J280" s="52" cm="1">
        <f t="array" ref="J28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120</v>
      </c>
      <c r="K280" s="15" t="s">
        <v>345</v>
      </c>
      <c r="L280" s="54" t="s">
        <v>76</v>
      </c>
      <c r="M280" t="s">
        <v>43</v>
      </c>
      <c r="N280" s="15" t="s">
        <v>1129</v>
      </c>
      <c r="O280" s="5" t="s">
        <v>706</v>
      </c>
      <c r="P280" s="17" t="s">
        <v>69</v>
      </c>
      <c r="Q280" s="10" t="s">
        <v>1701</v>
      </c>
      <c r="R280" s="11">
        <v>45394</v>
      </c>
      <c r="S280" s="10" t="s">
        <v>48</v>
      </c>
      <c r="T280" s="3" t="str">
        <f>IF(AND(ProtocolosKL[[#This Row],[STATUS]]="APROVADO",ProtocolosKL[[#This Row],[WAIVER]]=""),"Y","")</f>
        <v/>
      </c>
      <c r="U280" s="12" t="s">
        <v>2781</v>
      </c>
      <c r="V280" s="16" t="str">
        <f t="shared" si="5"/>
        <v>ODAJHCFRANCO DE PAULA MORENO/MEILY MRS</v>
      </c>
      <c r="W280">
        <v>512</v>
      </c>
    </row>
    <row r="281" spans="1:23" hidden="1">
      <c r="A281" s="1">
        <v>45398</v>
      </c>
      <c r="B281" t="s">
        <v>10</v>
      </c>
      <c r="C281" t="s">
        <v>2782</v>
      </c>
      <c r="D281" s="23" t="s">
        <v>2783</v>
      </c>
      <c r="E281" t="s">
        <v>41</v>
      </c>
      <c r="F281" s="19">
        <v>57564931</v>
      </c>
      <c r="G281" s="53">
        <v>743529183679</v>
      </c>
      <c r="H281" s="52">
        <v>4029</v>
      </c>
      <c r="I281" s="5">
        <v>0.06</v>
      </c>
      <c r="J281" s="52" cm="1">
        <f t="array" ref="J28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242</v>
      </c>
      <c r="K281" s="15" t="s">
        <v>189</v>
      </c>
      <c r="L281" s="54" t="s">
        <v>76</v>
      </c>
      <c r="M281" t="s">
        <v>43</v>
      </c>
      <c r="N281" s="15" t="s">
        <v>65</v>
      </c>
      <c r="O281" s="5" t="s">
        <v>221</v>
      </c>
      <c r="P281" s="17" t="s">
        <v>69</v>
      </c>
      <c r="Q281" s="10" t="s">
        <v>1345</v>
      </c>
      <c r="R281" s="11">
        <v>45398</v>
      </c>
      <c r="S281" s="10" t="s">
        <v>48</v>
      </c>
      <c r="T281" s="3" t="str">
        <f>IF(AND(ProtocolosKL[[#This Row],[STATUS]]="APROVADO",ProtocolosKL[[#This Row],[WAIVER]]=""),"Y","")</f>
        <v/>
      </c>
      <c r="U281" s="12" t="s">
        <v>2784</v>
      </c>
      <c r="V281" s="16" t="str">
        <f t="shared" si="5"/>
        <v>MVKKRUCARVALHO/CARLOS MR</v>
      </c>
      <c r="W281">
        <v>514</v>
      </c>
    </row>
    <row r="282" spans="1:23" hidden="1">
      <c r="A282" s="1">
        <v>45398</v>
      </c>
      <c r="B282" t="s">
        <v>10</v>
      </c>
      <c r="C282" t="s">
        <v>2782</v>
      </c>
      <c r="D282" s="23" t="s">
        <v>2783</v>
      </c>
      <c r="E282" t="s">
        <v>41</v>
      </c>
      <c r="F282" s="19">
        <v>57564931</v>
      </c>
      <c r="G282" s="53">
        <v>743529183681</v>
      </c>
      <c r="H282" s="52">
        <v>4029</v>
      </c>
      <c r="I282" s="5">
        <v>0.06</v>
      </c>
      <c r="J282" s="52" cm="1">
        <f t="array" ref="J28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242</v>
      </c>
      <c r="K282" s="15" t="s">
        <v>189</v>
      </c>
      <c r="L282" s="54" t="s">
        <v>76</v>
      </c>
      <c r="M282" t="s">
        <v>43</v>
      </c>
      <c r="N282" s="15" t="s">
        <v>65</v>
      </c>
      <c r="O282" s="5" t="s">
        <v>221</v>
      </c>
      <c r="P282" s="17" t="s">
        <v>69</v>
      </c>
      <c r="Q282" s="10" t="s">
        <v>1345</v>
      </c>
      <c r="R282" s="11">
        <v>45398</v>
      </c>
      <c r="S282" s="10" t="s">
        <v>48</v>
      </c>
      <c r="T282" s="3" t="str">
        <f>IF(AND(ProtocolosKL[[#This Row],[STATUS]]="APROVADO",ProtocolosKL[[#This Row],[WAIVER]]=""),"Y","")</f>
        <v/>
      </c>
      <c r="U282" s="12" t="s">
        <v>2785</v>
      </c>
      <c r="V282" s="16" t="str">
        <f t="shared" si="5"/>
        <v>MVKKRUCARVALHO/HELOISA MRS</v>
      </c>
      <c r="W282">
        <v>514</v>
      </c>
    </row>
    <row r="283" spans="1:23" hidden="1">
      <c r="A283" s="1">
        <v>45398</v>
      </c>
      <c r="B283" t="s">
        <v>10</v>
      </c>
      <c r="C283" t="s">
        <v>2786</v>
      </c>
      <c r="D283" s="23" t="s">
        <v>2787</v>
      </c>
      <c r="E283" t="s">
        <v>41</v>
      </c>
      <c r="F283" s="19">
        <v>57564931</v>
      </c>
      <c r="G283" s="53">
        <v>743529188300</v>
      </c>
      <c r="H283" s="52">
        <v>1270</v>
      </c>
      <c r="I283" s="5">
        <v>0.08</v>
      </c>
      <c r="J283" s="52" cm="1">
        <f t="array" ref="J28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102</v>
      </c>
      <c r="K283" s="15" t="s">
        <v>345</v>
      </c>
      <c r="L283" s="54" t="s">
        <v>66</v>
      </c>
      <c r="M283" t="s">
        <v>43</v>
      </c>
      <c r="N283" s="15" t="s">
        <v>1129</v>
      </c>
      <c r="O283" s="5" t="s">
        <v>2104</v>
      </c>
      <c r="P283" s="17" t="s">
        <v>69</v>
      </c>
      <c r="Q283" s="10" t="s">
        <v>1701</v>
      </c>
      <c r="R283" s="11">
        <v>45399</v>
      </c>
      <c r="S283" s="10" t="s">
        <v>48</v>
      </c>
      <c r="T283" s="3" t="str">
        <f>IF(AND(ProtocolosKL[[#This Row],[STATUS]]="APROVADO",ProtocolosKL[[#This Row],[WAIVER]]=""),"Y","")</f>
        <v/>
      </c>
      <c r="U283" s="12" t="s">
        <v>2788</v>
      </c>
      <c r="V283" s="16" t="str">
        <f t="shared" si="5"/>
        <v>CURZEMDE OLIVEIRA POSWAR/FABIANO</v>
      </c>
      <c r="W283">
        <v>516</v>
      </c>
    </row>
    <row r="284" spans="1:23" hidden="1">
      <c r="A284" s="1">
        <v>45399</v>
      </c>
      <c r="B284" t="s">
        <v>10</v>
      </c>
      <c r="C284" t="s">
        <v>2789</v>
      </c>
      <c r="D284" s="23" t="s">
        <v>2790</v>
      </c>
      <c r="E284" t="s">
        <v>41</v>
      </c>
      <c r="F284" s="19">
        <v>57564931</v>
      </c>
      <c r="G284" s="53">
        <v>743529199626</v>
      </c>
      <c r="H284" s="52">
        <v>1087</v>
      </c>
      <c r="I284" s="5">
        <v>0.1</v>
      </c>
      <c r="J284" s="52" cm="1">
        <f t="array" ref="J28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109</v>
      </c>
      <c r="K284" s="15" t="s">
        <v>189</v>
      </c>
      <c r="L284" s="54" t="s">
        <v>76</v>
      </c>
      <c r="M284" t="s">
        <v>43</v>
      </c>
      <c r="N284" s="15" t="s">
        <v>65</v>
      </c>
      <c r="O284" s="5" t="s">
        <v>2791</v>
      </c>
      <c r="P284" s="17" t="s">
        <v>146</v>
      </c>
      <c r="Q284" s="10" t="s">
        <v>1345</v>
      </c>
      <c r="R284" s="11">
        <v>45400</v>
      </c>
      <c r="S284" s="10" t="s">
        <v>48</v>
      </c>
      <c r="T284" s="3" t="str">
        <f>IF(AND(ProtocolosKL[[#This Row],[STATUS]]="APROVADO",ProtocolosKL[[#This Row],[WAIVER]]=""),"Y","")</f>
        <v/>
      </c>
      <c r="U284" s="12" t="s">
        <v>2792</v>
      </c>
      <c r="V284" s="16" t="str">
        <f t="shared" si="5"/>
        <v>KTLAPYCHANSKY/DOROTHEA MYRIAM MRS</v>
      </c>
      <c r="W284">
        <v>517</v>
      </c>
    </row>
    <row r="285" spans="1:23" hidden="1">
      <c r="A285" s="1">
        <v>45399</v>
      </c>
      <c r="B285" t="s">
        <v>10</v>
      </c>
      <c r="C285" t="s">
        <v>2789</v>
      </c>
      <c r="D285" s="23" t="s">
        <v>2790</v>
      </c>
      <c r="E285" t="s">
        <v>41</v>
      </c>
      <c r="F285" s="19">
        <v>57564931</v>
      </c>
      <c r="G285" s="53">
        <v>743529194599</v>
      </c>
      <c r="H285" s="52">
        <v>1087</v>
      </c>
      <c r="I285" s="5">
        <v>0.1</v>
      </c>
      <c r="J285" s="52" cm="1">
        <f t="array" ref="J28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109</v>
      </c>
      <c r="K285" s="15" t="s">
        <v>189</v>
      </c>
      <c r="L285" s="54" t="s">
        <v>76</v>
      </c>
      <c r="M285" t="s">
        <v>43</v>
      </c>
      <c r="N285" s="15" t="s">
        <v>65</v>
      </c>
      <c r="O285" s="5" t="s">
        <v>2791</v>
      </c>
      <c r="P285" s="17" t="s">
        <v>146</v>
      </c>
      <c r="Q285" s="10" t="s">
        <v>1345</v>
      </c>
      <c r="R285" s="11">
        <v>45400</v>
      </c>
      <c r="S285" s="10" t="s">
        <v>48</v>
      </c>
      <c r="T285" s="3" t="str">
        <f>IF(AND(ProtocolosKL[[#This Row],[STATUS]]="APROVADO",ProtocolosKL[[#This Row],[WAIVER]]=""),"Y","")</f>
        <v/>
      </c>
      <c r="U285" s="12" t="s">
        <v>2793</v>
      </c>
      <c r="V285" s="16" t="str">
        <f t="shared" si="5"/>
        <v>KTLAPYDAVID/DEISE VAINER MRS</v>
      </c>
      <c r="W285">
        <v>517</v>
      </c>
    </row>
    <row r="286" spans="1:23" hidden="1">
      <c r="A286" s="1">
        <v>45415</v>
      </c>
      <c r="B286" t="s">
        <v>12</v>
      </c>
      <c r="C286" t="s">
        <v>2794</v>
      </c>
      <c r="D286" s="23" t="s">
        <v>2794</v>
      </c>
      <c r="E286" t="s">
        <v>41</v>
      </c>
      <c r="F286" s="19"/>
      <c r="G286" s="53"/>
      <c r="H286" s="52">
        <v>3399</v>
      </c>
      <c r="I286" s="5">
        <v>0.06</v>
      </c>
      <c r="J286" s="52" t="str" cm="1">
        <f t="array" ref="J28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86" s="15" t="s">
        <v>1089</v>
      </c>
      <c r="L286" s="54" t="s">
        <v>172</v>
      </c>
      <c r="M286" t="s">
        <v>100</v>
      </c>
      <c r="N286" s="15" t="s">
        <v>1096</v>
      </c>
      <c r="O286" s="5" t="s">
        <v>111</v>
      </c>
      <c r="P286" s="17" t="s">
        <v>46</v>
      </c>
      <c r="Q286" s="10"/>
      <c r="R286" s="11"/>
      <c r="S286" s="10"/>
      <c r="T286" s="3" t="str">
        <f>IF(AND(ProtocolosKL[[#This Row],[STATUS]]="APROVADO",ProtocolosKL[[#This Row],[WAIVER]]=""),"Y","")</f>
        <v/>
      </c>
      <c r="U286" s="12" t="s">
        <v>2795</v>
      </c>
      <c r="V286" s="16" t="str">
        <f t="shared" si="5"/>
        <v>2AASJV                 AUGUSTO FILHO/MICHEL</v>
      </c>
      <c r="W286">
        <v>534</v>
      </c>
    </row>
    <row r="287" spans="1:23" hidden="1">
      <c r="A287" s="1">
        <v>45415</v>
      </c>
      <c r="B287" t="s">
        <v>12</v>
      </c>
      <c r="C287" t="s">
        <v>2794</v>
      </c>
      <c r="D287" s="23" t="s">
        <v>2794</v>
      </c>
      <c r="E287" t="s">
        <v>41</v>
      </c>
      <c r="F287" s="19"/>
      <c r="G287" s="53"/>
      <c r="H287" s="52">
        <v>3399</v>
      </c>
      <c r="I287" s="5">
        <v>0.06</v>
      </c>
      <c r="J287" s="52" t="str" cm="1">
        <f t="array" ref="J28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87" s="15" t="s">
        <v>1089</v>
      </c>
      <c r="L287" s="54" t="s">
        <v>172</v>
      </c>
      <c r="M287" t="s">
        <v>100</v>
      </c>
      <c r="N287" s="15" t="s">
        <v>1096</v>
      </c>
      <c r="O287" s="5" t="s">
        <v>111</v>
      </c>
      <c r="P287" s="17" t="s">
        <v>46</v>
      </c>
      <c r="Q287" s="10"/>
      <c r="R287" s="11"/>
      <c r="S287" s="10"/>
      <c r="T287" s="3" t="str">
        <f>IF(AND(ProtocolosKL[[#This Row],[STATUS]]="APROVADO",ProtocolosKL[[#This Row],[WAIVER]]=""),"Y","")</f>
        <v/>
      </c>
      <c r="U287" s="12" t="s">
        <v>2796</v>
      </c>
      <c r="V287" s="16" t="str">
        <f t="shared" si="5"/>
        <v>2AASJV                 COIMBRA AUGUSTO/JUSSARA</v>
      </c>
      <c r="W287">
        <v>534</v>
      </c>
    </row>
    <row r="288" spans="1:23" hidden="1">
      <c r="A288" s="1">
        <v>45418</v>
      </c>
      <c r="B288" t="s">
        <v>15</v>
      </c>
      <c r="C288" t="s">
        <v>2797</v>
      </c>
      <c r="D288" s="23" t="s">
        <v>2797</v>
      </c>
      <c r="E288" t="s">
        <v>41</v>
      </c>
      <c r="F288" s="19"/>
      <c r="G288" s="53"/>
      <c r="H288" s="52">
        <v>1220</v>
      </c>
      <c r="I288" s="5">
        <v>0.08</v>
      </c>
      <c r="J288" s="52" t="str" cm="1">
        <f t="array" ref="J28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88" s="15" t="s">
        <v>1293</v>
      </c>
      <c r="L288" s="54" t="s">
        <v>76</v>
      </c>
      <c r="M288" t="s">
        <v>217</v>
      </c>
      <c r="N288" s="15" t="s">
        <v>1012</v>
      </c>
      <c r="O288" s="5" t="s">
        <v>2798</v>
      </c>
      <c r="P288" s="17" t="s">
        <v>69</v>
      </c>
      <c r="Q288" s="10"/>
      <c r="R288" s="11"/>
      <c r="S288" s="10"/>
      <c r="T288" s="3" t="str">
        <f>IF(AND(ProtocolosKL[[#This Row],[STATUS]]="APROVADO",ProtocolosKL[[#This Row],[WAIVER]]=""),"Y","")</f>
        <v/>
      </c>
      <c r="U288" s="12" t="s">
        <v>2799</v>
      </c>
      <c r="V288" s="16" t="str">
        <f t="shared" si="5"/>
        <v>2R2BH91.ALMEIDA/MARGARET</v>
      </c>
      <c r="W288">
        <v>535</v>
      </c>
    </row>
    <row r="289" spans="1:23" hidden="1">
      <c r="A289" s="1">
        <v>45419</v>
      </c>
      <c r="B289" t="s">
        <v>15</v>
      </c>
      <c r="C289" t="s">
        <v>2797</v>
      </c>
      <c r="D289" s="71" t="s">
        <v>2797</v>
      </c>
      <c r="E289" t="s">
        <v>41</v>
      </c>
      <c r="F289" s="19">
        <v>57564931</v>
      </c>
      <c r="G289" s="53">
        <v>743045878499</v>
      </c>
      <c r="H289" s="52">
        <v>1215</v>
      </c>
      <c r="I289" s="5">
        <v>0.08</v>
      </c>
      <c r="J289" s="52" cm="1">
        <f t="array" ref="J28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98</v>
      </c>
      <c r="K289" s="15" t="s">
        <v>1293</v>
      </c>
      <c r="L289" s="54" t="s">
        <v>76</v>
      </c>
      <c r="M289" t="s">
        <v>43</v>
      </c>
      <c r="N289" s="15" t="s">
        <v>1155</v>
      </c>
      <c r="O289" s="5" t="s">
        <v>443</v>
      </c>
      <c r="P289" s="17" t="s">
        <v>46</v>
      </c>
      <c r="Q289" s="10" t="s">
        <v>1298</v>
      </c>
      <c r="R289" s="11">
        <v>45419</v>
      </c>
      <c r="S289" s="10" t="s">
        <v>48</v>
      </c>
      <c r="T289" s="3" t="str">
        <f>IF(AND(ProtocolosKL[[#This Row],[STATUS]]="APROVADO",ProtocolosKL[[#This Row],[WAIVER]]=""),"Y","")</f>
        <v/>
      </c>
      <c r="V289" s="16" t="str">
        <f t="shared" si="5"/>
        <v>2R2BH9</v>
      </c>
    </row>
    <row r="290" spans="1:23" hidden="1">
      <c r="A290" s="1">
        <v>45419</v>
      </c>
      <c r="B290" t="s">
        <v>15</v>
      </c>
      <c r="C290" t="s">
        <v>2797</v>
      </c>
      <c r="D290" s="71" t="s">
        <v>2797</v>
      </c>
      <c r="E290" t="s">
        <v>41</v>
      </c>
      <c r="F290" s="19">
        <v>57564931</v>
      </c>
      <c r="G290" s="53">
        <v>743045878500</v>
      </c>
      <c r="H290" s="52">
        <v>1215</v>
      </c>
      <c r="I290" s="5">
        <v>0.08</v>
      </c>
      <c r="J290" s="52" cm="1">
        <f t="array" ref="J29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98</v>
      </c>
      <c r="K290" s="15" t="s">
        <v>1293</v>
      </c>
      <c r="L290" s="54" t="s">
        <v>76</v>
      </c>
      <c r="M290" t="s">
        <v>43</v>
      </c>
      <c r="N290" s="15" t="s">
        <v>1155</v>
      </c>
      <c r="O290" s="5" t="s">
        <v>443</v>
      </c>
      <c r="P290" s="17" t="s">
        <v>46</v>
      </c>
      <c r="Q290" s="10" t="s">
        <v>1298</v>
      </c>
      <c r="R290" s="11">
        <v>45419</v>
      </c>
      <c r="S290" s="10" t="s">
        <v>48</v>
      </c>
      <c r="T290" s="3" t="str">
        <f>IF(AND(ProtocolosKL[[#This Row],[STATUS]]="APROVADO",ProtocolosKL[[#This Row],[WAIVER]]=""),"Y","")</f>
        <v/>
      </c>
      <c r="V290" s="16" t="str">
        <f t="shared" si="5"/>
        <v>2R2BH9</v>
      </c>
    </row>
    <row r="291" spans="1:23" hidden="1">
      <c r="A291" s="1">
        <v>45425</v>
      </c>
      <c r="B291" t="s">
        <v>13</v>
      </c>
      <c r="C291" t="s">
        <v>2800</v>
      </c>
      <c r="D291" s="71" t="s">
        <v>2801</v>
      </c>
      <c r="E291" t="s">
        <v>41</v>
      </c>
      <c r="F291" s="19">
        <v>57564931</v>
      </c>
      <c r="G291" s="53">
        <v>743529382852</v>
      </c>
      <c r="H291" s="52">
        <v>1739</v>
      </c>
      <c r="I291" s="5">
        <v>0.1</v>
      </c>
      <c r="J291" s="52" cm="1">
        <f t="array" ref="J29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174</v>
      </c>
      <c r="K291" s="15" t="s">
        <v>1355</v>
      </c>
      <c r="L291" s="54" t="s">
        <v>76</v>
      </c>
      <c r="M291" t="s">
        <v>43</v>
      </c>
      <c r="N291" s="15" t="s">
        <v>151</v>
      </c>
      <c r="O291" s="5" t="s">
        <v>2802</v>
      </c>
      <c r="P291" s="17" t="s">
        <v>255</v>
      </c>
      <c r="Q291" s="10" t="s">
        <v>244</v>
      </c>
      <c r="R291" s="11">
        <v>45425</v>
      </c>
      <c r="S291" s="10" t="s">
        <v>48</v>
      </c>
      <c r="T291" s="3" t="str">
        <f>IF(AND(ProtocolosKL[[#This Row],[STATUS]]="APROVADO",ProtocolosKL[[#This Row],[WAIVER]]=""),"Y","")</f>
        <v/>
      </c>
      <c r="U291" t="s">
        <v>2803</v>
      </c>
      <c r="V291" s="16" t="str">
        <f t="shared" si="5"/>
        <v>SYKKQYGABRIEL/LAURA HELENA</v>
      </c>
      <c r="W291">
        <v>539</v>
      </c>
    </row>
    <row r="292" spans="1:23" hidden="1">
      <c r="A292" s="1">
        <v>45426</v>
      </c>
      <c r="B292" t="s">
        <v>11</v>
      </c>
      <c r="C292" t="s">
        <v>2804</v>
      </c>
      <c r="D292" s="71" t="s">
        <v>2805</v>
      </c>
      <c r="E292" t="s">
        <v>73</v>
      </c>
      <c r="F292" s="19">
        <v>57564931</v>
      </c>
      <c r="G292" s="53">
        <v>744109090967</v>
      </c>
      <c r="H292" s="52">
        <v>170</v>
      </c>
      <c r="I292" s="5" t="s">
        <v>74</v>
      </c>
      <c r="J292" s="52" cm="1">
        <f t="array" ref="J29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170</v>
      </c>
      <c r="K292" s="15" t="s">
        <v>1230</v>
      </c>
      <c r="L292" s="54" t="s">
        <v>172</v>
      </c>
      <c r="M292" t="s">
        <v>43</v>
      </c>
      <c r="N292" s="15" t="s">
        <v>1458</v>
      </c>
      <c r="O292" s="5" t="s">
        <v>715</v>
      </c>
      <c r="P292" s="17" t="s">
        <v>46</v>
      </c>
      <c r="Q292" s="10" t="s">
        <v>1473</v>
      </c>
      <c r="R292" s="11">
        <v>45433</v>
      </c>
      <c r="S292" s="10" t="s">
        <v>2806</v>
      </c>
      <c r="T292" s="3" t="str">
        <f>IF(AND(ProtocolosKL[[#This Row],[STATUS]]="APROVADO",ProtocolosKL[[#This Row],[WAIVER]]=""),"Y","")</f>
        <v/>
      </c>
      <c r="U292" t="s">
        <v>2807</v>
      </c>
      <c r="V292" s="16" t="str">
        <f t="shared" si="5"/>
        <v>GJPXRBKLAS/CRISTINA MARIA</v>
      </c>
      <c r="W292">
        <v>540</v>
      </c>
    </row>
    <row r="293" spans="1:23" hidden="1">
      <c r="A293" s="1">
        <v>45427</v>
      </c>
      <c r="B293" t="s">
        <v>10</v>
      </c>
      <c r="C293" t="s">
        <v>2808</v>
      </c>
      <c r="D293" s="71" t="s">
        <v>2808</v>
      </c>
      <c r="E293" t="s">
        <v>41</v>
      </c>
      <c r="F293" s="19">
        <v>57564931</v>
      </c>
      <c r="G293" s="53">
        <v>743045939205</v>
      </c>
      <c r="H293" s="52">
        <v>3763</v>
      </c>
      <c r="I293" s="5">
        <v>0.06</v>
      </c>
      <c r="J293" s="52" cm="1">
        <f t="array" ref="J29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226</v>
      </c>
      <c r="K293" s="15" t="s">
        <v>336</v>
      </c>
      <c r="L293" s="54" t="s">
        <v>76</v>
      </c>
      <c r="M293" t="s">
        <v>43</v>
      </c>
      <c r="N293" s="15" t="s">
        <v>1129</v>
      </c>
      <c r="O293" s="5" t="s">
        <v>2809</v>
      </c>
      <c r="P293" s="17" t="s">
        <v>46</v>
      </c>
      <c r="Q293" s="10" t="s">
        <v>1325</v>
      </c>
      <c r="R293" s="11">
        <v>45427</v>
      </c>
      <c r="S293" s="10" t="s">
        <v>48</v>
      </c>
      <c r="T293" s="3" t="str">
        <f>IF(AND(ProtocolosKL[[#This Row],[STATUS]]="APROVADO",ProtocolosKL[[#This Row],[WAIVER]]=""),"Y","")</f>
        <v/>
      </c>
      <c r="U293" t="s">
        <v>2810</v>
      </c>
      <c r="V293" s="16" t="str">
        <f t="shared" si="5"/>
        <v>3BPVAKANDREETTA/RODRIGO</v>
      </c>
      <c r="W293">
        <v>541</v>
      </c>
    </row>
    <row r="294" spans="1:23" hidden="1">
      <c r="A294" s="1">
        <v>45427</v>
      </c>
      <c r="B294" t="s">
        <v>10</v>
      </c>
      <c r="C294" t="s">
        <v>2808</v>
      </c>
      <c r="D294" s="71" t="s">
        <v>2808</v>
      </c>
      <c r="E294" t="s">
        <v>41</v>
      </c>
      <c r="F294" s="19">
        <v>57564931</v>
      </c>
      <c r="G294" s="53">
        <v>743045939207</v>
      </c>
      <c r="H294" s="52">
        <v>3763</v>
      </c>
      <c r="I294" s="5">
        <v>0.06</v>
      </c>
      <c r="J294" s="52" cm="1">
        <f t="array" ref="J29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226</v>
      </c>
      <c r="K294" s="15" t="s">
        <v>336</v>
      </c>
      <c r="L294" s="54" t="s">
        <v>76</v>
      </c>
      <c r="M294" t="s">
        <v>43</v>
      </c>
      <c r="N294" s="15" t="s">
        <v>1129</v>
      </c>
      <c r="O294" s="5" t="s">
        <v>2809</v>
      </c>
      <c r="P294" s="17" t="s">
        <v>46</v>
      </c>
      <c r="Q294" s="10" t="s">
        <v>1325</v>
      </c>
      <c r="R294" s="11">
        <v>45427</v>
      </c>
      <c r="S294" s="10" t="s">
        <v>48</v>
      </c>
      <c r="T294" s="3" t="str">
        <f>IF(AND(ProtocolosKL[[#This Row],[STATUS]]="APROVADO",ProtocolosKL[[#This Row],[WAIVER]]=""),"Y","")</f>
        <v/>
      </c>
      <c r="U294" t="s">
        <v>2811</v>
      </c>
      <c r="V294" s="16" t="str">
        <f t="shared" si="5"/>
        <v>3BPVAKBLASCZAK ANDREETTA/CAROLINE</v>
      </c>
      <c r="W294">
        <v>541</v>
      </c>
    </row>
    <row r="295" spans="1:23" hidden="1">
      <c r="A295" s="1">
        <v>45432</v>
      </c>
      <c r="B295" t="s">
        <v>14</v>
      </c>
      <c r="C295" t="s">
        <v>2812</v>
      </c>
      <c r="D295" s="71" t="s">
        <v>2813</v>
      </c>
      <c r="E295" t="s">
        <v>41</v>
      </c>
      <c r="F295" s="19"/>
      <c r="G295" s="53"/>
      <c r="H295" s="52">
        <v>1483</v>
      </c>
      <c r="I295" s="5">
        <v>0.06</v>
      </c>
      <c r="J295" s="52" t="str" cm="1">
        <f t="array" ref="J29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95" s="15" t="s">
        <v>1089</v>
      </c>
      <c r="L295" s="54" t="s">
        <v>172</v>
      </c>
      <c r="M295" t="s">
        <v>100</v>
      </c>
      <c r="N295" s="15" t="s">
        <v>1089</v>
      </c>
      <c r="O295" s="5" t="s">
        <v>1539</v>
      </c>
      <c r="P295" s="17" t="s">
        <v>46</v>
      </c>
      <c r="Q295" s="10"/>
      <c r="R295" s="11"/>
      <c r="S295" s="10"/>
      <c r="T295" s="3" t="str">
        <f>IF(AND(ProtocolosKL[[#This Row],[STATUS]]="APROVADO",ProtocolosKL[[#This Row],[WAIVER]]=""),"Y","")</f>
        <v/>
      </c>
      <c r="U295" t="s">
        <v>2814</v>
      </c>
      <c r="V295" s="16" t="str">
        <f t="shared" si="5"/>
        <v>SWYCYEALVES DE SOUZA/DJALMA</v>
      </c>
      <c r="W295">
        <v>542</v>
      </c>
    </row>
    <row r="296" spans="1:23" hidden="1">
      <c r="A296" s="1">
        <v>45432</v>
      </c>
      <c r="B296" t="s">
        <v>14</v>
      </c>
      <c r="C296" t="s">
        <v>2812</v>
      </c>
      <c r="D296" s="71" t="s">
        <v>2813</v>
      </c>
      <c r="E296" t="s">
        <v>41</v>
      </c>
      <c r="F296" s="19"/>
      <c r="G296" s="53"/>
      <c r="H296" s="52">
        <v>1483</v>
      </c>
      <c r="I296" s="5">
        <v>0.06</v>
      </c>
      <c r="J296" s="52" t="str" cm="1">
        <f t="array" ref="J29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96" s="15" t="s">
        <v>1089</v>
      </c>
      <c r="L296" s="54" t="s">
        <v>172</v>
      </c>
      <c r="M296" t="s">
        <v>100</v>
      </c>
      <c r="N296" s="15" t="s">
        <v>1089</v>
      </c>
      <c r="O296" s="5" t="s">
        <v>1539</v>
      </c>
      <c r="P296" s="17" t="s">
        <v>46</v>
      </c>
      <c r="Q296" s="10"/>
      <c r="R296" s="11"/>
      <c r="S296" s="10"/>
      <c r="T296" s="3" t="str">
        <f>IF(AND(ProtocolosKL[[#This Row],[STATUS]]="APROVADO",ProtocolosKL[[#This Row],[WAIVER]]=""),"Y","")</f>
        <v/>
      </c>
      <c r="U296" t="s">
        <v>2815</v>
      </c>
      <c r="V296" s="16" t="str">
        <f t="shared" si="5"/>
        <v>SWYCYERODRIGUES FERREIRA JULIO/JOAO RICARDO</v>
      </c>
      <c r="W296">
        <v>542</v>
      </c>
    </row>
    <row r="297" spans="1:23" hidden="1">
      <c r="A297" s="1">
        <v>45432</v>
      </c>
      <c r="B297" t="s">
        <v>14</v>
      </c>
      <c r="C297" t="s">
        <v>2816</v>
      </c>
      <c r="D297" s="71" t="s">
        <v>2817</v>
      </c>
      <c r="E297" t="s">
        <v>41</v>
      </c>
      <c r="F297" s="19"/>
      <c r="G297" s="53"/>
      <c r="H297" s="52">
        <v>1483</v>
      </c>
      <c r="I297" s="5">
        <v>0.06</v>
      </c>
      <c r="J297" s="52" t="str" cm="1">
        <f t="array" ref="J29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97" s="15" t="s">
        <v>1089</v>
      </c>
      <c r="L297" s="54" t="s">
        <v>172</v>
      </c>
      <c r="M297" t="s">
        <v>100</v>
      </c>
      <c r="N297" s="15" t="s">
        <v>1089</v>
      </c>
      <c r="O297" s="5" t="s">
        <v>1539</v>
      </c>
      <c r="P297" s="17" t="s">
        <v>46</v>
      </c>
      <c r="Q297" s="10"/>
      <c r="R297" s="11"/>
      <c r="S297" s="10"/>
      <c r="T297" s="3" t="str">
        <f>IF(AND(ProtocolosKL[[#This Row],[STATUS]]="APROVADO",ProtocolosKL[[#This Row],[WAIVER]]=""),"Y","")</f>
        <v/>
      </c>
      <c r="U297" t="s">
        <v>2818</v>
      </c>
      <c r="V297" s="16" t="str">
        <f t="shared" si="5"/>
        <v>CJMORDDE SOUZA FERREIRA JULIO/JOAQUIM</v>
      </c>
      <c r="W297">
        <v>543</v>
      </c>
    </row>
    <row r="298" spans="1:23" hidden="1">
      <c r="A298" s="1">
        <v>45433</v>
      </c>
      <c r="B298" t="s">
        <v>13</v>
      </c>
      <c r="C298" t="s">
        <v>2819</v>
      </c>
      <c r="D298" s="71" t="s">
        <v>2820</v>
      </c>
      <c r="E298" t="s">
        <v>41</v>
      </c>
      <c r="F298" s="19"/>
      <c r="G298" s="53"/>
      <c r="H298" s="52">
        <v>5.1379999999999999</v>
      </c>
      <c r="I298" s="5">
        <v>0.1</v>
      </c>
      <c r="J298" s="52" t="str" cm="1">
        <f t="array" ref="J29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98" s="15" t="s">
        <v>1355</v>
      </c>
      <c r="L298" s="54" t="s">
        <v>66</v>
      </c>
      <c r="M298" t="s">
        <v>100</v>
      </c>
      <c r="N298" s="15" t="s">
        <v>151</v>
      </c>
      <c r="O298" s="5" t="s">
        <v>2351</v>
      </c>
      <c r="P298" s="17" t="s">
        <v>146</v>
      </c>
      <c r="Q298" s="10"/>
      <c r="R298" s="11"/>
      <c r="S298" s="10"/>
      <c r="T298" s="3" t="str">
        <f>IF(AND(ProtocolosKL[[#This Row],[STATUS]]="APROVADO",ProtocolosKL[[#This Row],[WAIVER]]=""),"Y","")</f>
        <v/>
      </c>
      <c r="U298" t="s">
        <v>1743</v>
      </c>
      <c r="V298" s="16" t="str">
        <f t="shared" si="5"/>
        <v>EWWYLQWOJDYSLAWSKI/PHILLIP</v>
      </c>
      <c r="W298">
        <v>545</v>
      </c>
    </row>
    <row r="299" spans="1:23" hidden="1">
      <c r="A299" s="1">
        <v>45433</v>
      </c>
      <c r="B299" t="s">
        <v>13</v>
      </c>
      <c r="C299" t="s">
        <v>2819</v>
      </c>
      <c r="D299" s="71" t="s">
        <v>2820</v>
      </c>
      <c r="E299" t="s">
        <v>41</v>
      </c>
      <c r="F299" s="19"/>
      <c r="G299" s="53"/>
      <c r="H299" s="52">
        <v>5.1379999999999999</v>
      </c>
      <c r="I299" s="5">
        <v>0.1</v>
      </c>
      <c r="J299" s="52" t="str" cm="1">
        <f t="array" ref="J29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299" s="15" t="s">
        <v>1355</v>
      </c>
      <c r="L299" s="54" t="s">
        <v>66</v>
      </c>
      <c r="M299" t="s">
        <v>100</v>
      </c>
      <c r="N299" s="15" t="s">
        <v>151</v>
      </c>
      <c r="O299" s="5" t="s">
        <v>2351</v>
      </c>
      <c r="P299" s="17" t="s">
        <v>146</v>
      </c>
      <c r="Q299" s="10"/>
      <c r="R299" s="11"/>
      <c r="S299" s="10"/>
      <c r="T299" s="3" t="str">
        <f>IF(AND(ProtocolosKL[[#This Row],[STATUS]]="APROVADO",ProtocolosKL[[#This Row],[WAIVER]]=""),"Y","")</f>
        <v/>
      </c>
      <c r="U299" t="s">
        <v>1971</v>
      </c>
      <c r="V299" s="16" t="str">
        <f t="shared" si="5"/>
        <v>EWWYLQOLIVEIRA DOS SANTOS/JEFERSON</v>
      </c>
      <c r="W299">
        <v>545</v>
      </c>
    </row>
    <row r="300" spans="1:23" hidden="1">
      <c r="A300" s="1">
        <v>45434</v>
      </c>
      <c r="B300" t="s">
        <v>13</v>
      </c>
      <c r="C300" t="s">
        <v>2819</v>
      </c>
      <c r="D300" s="71" t="s">
        <v>2820</v>
      </c>
      <c r="E300" t="s">
        <v>41</v>
      </c>
      <c r="F300" s="19"/>
      <c r="G300" s="53"/>
      <c r="H300" s="52">
        <v>5138</v>
      </c>
      <c r="I300" s="5">
        <v>0.1</v>
      </c>
      <c r="J300" s="52" t="str" cm="1">
        <f t="array" ref="J30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00" s="15" t="s">
        <v>1355</v>
      </c>
      <c r="L300" s="54" t="s">
        <v>66</v>
      </c>
      <c r="M300" t="s">
        <v>100</v>
      </c>
      <c r="N300" s="15" t="s">
        <v>151</v>
      </c>
      <c r="O300" s="5" t="s">
        <v>2351</v>
      </c>
      <c r="P300" s="17" t="s">
        <v>146</v>
      </c>
      <c r="Q300" s="10"/>
      <c r="R300" s="11"/>
      <c r="S300" s="10"/>
      <c r="T300" s="3" t="str">
        <f>IF(AND(ProtocolosKL[[#This Row],[STATUS]]="APROVADO",ProtocolosKL[[#This Row],[WAIVER]]=""),"Y","")</f>
        <v/>
      </c>
      <c r="U300" t="s">
        <v>1743</v>
      </c>
      <c r="V300" s="16" t="str">
        <f t="shared" si="5"/>
        <v>EWWYLQWOJDYSLAWSKI/PHILLIP</v>
      </c>
      <c r="W300">
        <v>546</v>
      </c>
    </row>
    <row r="301" spans="1:23" hidden="1">
      <c r="A301" s="1">
        <v>45434</v>
      </c>
      <c r="B301" t="s">
        <v>13</v>
      </c>
      <c r="C301" t="s">
        <v>2819</v>
      </c>
      <c r="D301" s="71" t="s">
        <v>2820</v>
      </c>
      <c r="E301" t="s">
        <v>41</v>
      </c>
      <c r="F301" s="19"/>
      <c r="G301" s="53"/>
      <c r="H301" s="52">
        <v>5138</v>
      </c>
      <c r="I301" s="5">
        <v>0.1</v>
      </c>
      <c r="J301" s="52" t="str" cm="1">
        <f t="array" ref="J30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01" s="15" t="s">
        <v>1355</v>
      </c>
      <c r="L301" s="54" t="s">
        <v>66</v>
      </c>
      <c r="M301" t="s">
        <v>100</v>
      </c>
      <c r="N301" s="15" t="s">
        <v>151</v>
      </c>
      <c r="O301" s="5" t="s">
        <v>2351</v>
      </c>
      <c r="P301" s="17" t="s">
        <v>146</v>
      </c>
      <c r="Q301" s="10"/>
      <c r="R301" s="11"/>
      <c r="S301" s="10"/>
      <c r="T301" s="3" t="str">
        <f>IF(AND(ProtocolosKL[[#This Row],[STATUS]]="APROVADO",ProtocolosKL[[#This Row],[WAIVER]]=""),"Y","")</f>
        <v/>
      </c>
      <c r="U301" t="s">
        <v>1971</v>
      </c>
      <c r="V301" s="16" t="str">
        <f t="shared" si="5"/>
        <v>EWWYLQOLIVEIRA DOS SANTOS/JEFERSON</v>
      </c>
      <c r="W301">
        <v>546</v>
      </c>
    </row>
    <row r="302" spans="1:23" hidden="1">
      <c r="A302" s="1">
        <v>45440</v>
      </c>
      <c r="B302" t="s">
        <v>10</v>
      </c>
      <c r="C302" t="s">
        <v>2821</v>
      </c>
      <c r="D302" s="71" t="s">
        <v>2822</v>
      </c>
      <c r="E302" t="s">
        <v>41</v>
      </c>
      <c r="F302" s="19"/>
      <c r="G302" s="53"/>
      <c r="H302" s="52">
        <v>4634</v>
      </c>
      <c r="I302" s="5">
        <v>0.08</v>
      </c>
      <c r="J302" s="52" t="str" cm="1">
        <f t="array" ref="J30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02" s="15" t="s">
        <v>345</v>
      </c>
      <c r="L302" s="54" t="s">
        <v>76</v>
      </c>
      <c r="M302" t="s">
        <v>100</v>
      </c>
      <c r="N302" s="15" t="s">
        <v>65</v>
      </c>
      <c r="O302" s="5" t="s">
        <v>640</v>
      </c>
      <c r="P302" s="17" t="s">
        <v>69</v>
      </c>
      <c r="Q302" s="10"/>
      <c r="R302" s="11"/>
      <c r="S302" s="10"/>
      <c r="T302" s="3" t="str">
        <f>IF(AND(ProtocolosKL[[#This Row],[STATUS]]="APROVADO",ProtocolosKL[[#This Row],[WAIVER]]=""),"Y","")</f>
        <v/>
      </c>
      <c r="U302" t="s">
        <v>2823</v>
      </c>
      <c r="V302" s="16" t="str">
        <f t="shared" si="5"/>
        <v>OGHRJMKUTSCKA/KIM MRS</v>
      </c>
      <c r="W302">
        <v>557</v>
      </c>
    </row>
    <row r="303" spans="1:23" hidden="1">
      <c r="A303" s="1">
        <v>45440</v>
      </c>
      <c r="B303" t="s">
        <v>10</v>
      </c>
      <c r="C303" t="s">
        <v>2821</v>
      </c>
      <c r="D303" s="71" t="s">
        <v>2822</v>
      </c>
      <c r="E303" t="s">
        <v>41</v>
      </c>
      <c r="F303" s="19"/>
      <c r="G303" s="53"/>
      <c r="H303" s="52">
        <v>4634</v>
      </c>
      <c r="I303" s="5">
        <v>0.08</v>
      </c>
      <c r="J303" s="52" t="str" cm="1">
        <f t="array" ref="J30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03" s="15" t="s">
        <v>345</v>
      </c>
      <c r="L303" s="54" t="s">
        <v>76</v>
      </c>
      <c r="M303" t="s">
        <v>100</v>
      </c>
      <c r="N303" s="15" t="s">
        <v>65</v>
      </c>
      <c r="O303" s="5" t="s">
        <v>640</v>
      </c>
      <c r="P303" s="17" t="s">
        <v>69</v>
      </c>
      <c r="Q303" s="10"/>
      <c r="R303" s="11"/>
      <c r="S303" s="10"/>
      <c r="T303" s="3" t="str">
        <f>IF(AND(ProtocolosKL[[#This Row],[STATUS]]="APROVADO",ProtocolosKL[[#This Row],[WAIVER]]=""),"Y","")</f>
        <v/>
      </c>
      <c r="U303" t="s">
        <v>2824</v>
      </c>
      <c r="V303" s="16" t="str">
        <f t="shared" si="5"/>
        <v>OGHRJMGONCALVES COBELO/KIM MR</v>
      </c>
      <c r="W303">
        <v>557</v>
      </c>
    </row>
    <row r="304" spans="1:23" hidden="1">
      <c r="A304" s="1">
        <v>45441</v>
      </c>
      <c r="B304" t="s">
        <v>10</v>
      </c>
      <c r="C304" t="s">
        <v>2825</v>
      </c>
      <c r="D304" s="71" t="s">
        <v>2826</v>
      </c>
      <c r="E304" t="s">
        <v>41</v>
      </c>
      <c r="F304" s="19">
        <v>57564931</v>
      </c>
      <c r="G304" s="53">
        <v>743529500510</v>
      </c>
      <c r="H304" s="52">
        <v>4724</v>
      </c>
      <c r="I304" s="5">
        <v>0.08</v>
      </c>
      <c r="J304" s="52" cm="1">
        <f t="array" ref="J30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378</v>
      </c>
      <c r="K304" s="15" t="s">
        <v>345</v>
      </c>
      <c r="L304" s="54" t="s">
        <v>76</v>
      </c>
      <c r="M304" t="s">
        <v>43</v>
      </c>
      <c r="N304" s="15" t="s">
        <v>65</v>
      </c>
      <c r="O304" s="5" t="s">
        <v>249</v>
      </c>
      <c r="P304" s="17" t="s">
        <v>69</v>
      </c>
      <c r="Q304" s="10" t="s">
        <v>1701</v>
      </c>
      <c r="R304" s="11">
        <v>45443</v>
      </c>
      <c r="S304" s="10" t="s">
        <v>48</v>
      </c>
      <c r="T304" s="3" t="str">
        <f>IF(AND(ProtocolosKL[[#This Row],[STATUS]]="APROVADO",ProtocolosKL[[#This Row],[WAIVER]]=""),"Y","")</f>
        <v/>
      </c>
      <c r="U304" t="s">
        <v>2827</v>
      </c>
      <c r="V304" s="16" t="str">
        <f t="shared" si="5"/>
        <v>WRXEMUCLEIM DE ANDRADE/CELIA MRS</v>
      </c>
      <c r="W304">
        <v>559</v>
      </c>
    </row>
    <row r="305" spans="1:23" hidden="1">
      <c r="A305" s="1">
        <v>45441</v>
      </c>
      <c r="B305" t="s">
        <v>15</v>
      </c>
      <c r="C305" t="s">
        <v>2828</v>
      </c>
      <c r="D305" s="71" t="s">
        <v>2828</v>
      </c>
      <c r="E305" t="s">
        <v>41</v>
      </c>
      <c r="F305" s="19">
        <v>57564931</v>
      </c>
      <c r="G305" s="53">
        <v>743046049769</v>
      </c>
      <c r="H305" s="52">
        <v>1756</v>
      </c>
      <c r="I305" s="5">
        <v>0.1</v>
      </c>
      <c r="J305" s="52" cm="1">
        <f t="array" ref="J30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176</v>
      </c>
      <c r="K305" s="15" t="s">
        <v>1155</v>
      </c>
      <c r="L305" s="54" t="s">
        <v>66</v>
      </c>
      <c r="M305" t="s">
        <v>43</v>
      </c>
      <c r="N305" s="15" t="s">
        <v>1155</v>
      </c>
      <c r="O305" s="5" t="s">
        <v>443</v>
      </c>
      <c r="P305" s="17" t="s">
        <v>69</v>
      </c>
      <c r="Q305" s="10" t="s">
        <v>79</v>
      </c>
      <c r="R305" s="11">
        <v>45441</v>
      </c>
      <c r="S305" s="10" t="s">
        <v>48</v>
      </c>
      <c r="T305" s="3" t="str">
        <f>IF(AND(ProtocolosKL[[#This Row],[STATUS]]="APROVADO",ProtocolosKL[[#This Row],[WAIVER]]=""),"Y","")</f>
        <v/>
      </c>
      <c r="U305" t="s">
        <v>2829</v>
      </c>
      <c r="V305" s="16" t="str">
        <f t="shared" si="5"/>
        <v>3NTZZUMOREIRA/BEATRIZ</v>
      </c>
      <c r="W305">
        <v>560</v>
      </c>
    </row>
    <row r="306" spans="1:23" hidden="1">
      <c r="A306" s="1">
        <v>45441</v>
      </c>
      <c r="B306" t="s">
        <v>15</v>
      </c>
      <c r="C306" t="s">
        <v>2828</v>
      </c>
      <c r="D306" s="71" t="s">
        <v>2828</v>
      </c>
      <c r="E306" t="s">
        <v>41</v>
      </c>
      <c r="F306" s="19">
        <v>57564931</v>
      </c>
      <c r="G306" s="53">
        <v>743046049771</v>
      </c>
      <c r="H306" s="52">
        <v>1756</v>
      </c>
      <c r="I306" s="5">
        <v>0.1</v>
      </c>
      <c r="J306" s="52" cm="1">
        <f t="array" ref="J30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176</v>
      </c>
      <c r="K306" s="15" t="s">
        <v>1155</v>
      </c>
      <c r="L306" s="54" t="s">
        <v>66</v>
      </c>
      <c r="M306" t="s">
        <v>43</v>
      </c>
      <c r="N306" s="15" t="s">
        <v>1155</v>
      </c>
      <c r="O306" s="5" t="s">
        <v>443</v>
      </c>
      <c r="P306" s="17" t="s">
        <v>69</v>
      </c>
      <c r="Q306" s="10" t="s">
        <v>79</v>
      </c>
      <c r="R306" s="11">
        <v>45441</v>
      </c>
      <c r="S306" s="10" t="s">
        <v>48</v>
      </c>
      <c r="T306" s="3" t="str">
        <f>IF(AND(ProtocolosKL[[#This Row],[STATUS]]="APROVADO",ProtocolosKL[[#This Row],[WAIVER]]=""),"Y","")</f>
        <v/>
      </c>
      <c r="U306" t="s">
        <v>2830</v>
      </c>
      <c r="V306" s="16" t="str">
        <f t="shared" si="5"/>
        <v>3NTZZUMOREIRA/CLAUDIO</v>
      </c>
      <c r="W306">
        <v>560</v>
      </c>
    </row>
    <row r="307" spans="1:23" hidden="1">
      <c r="A307" s="1">
        <v>45441</v>
      </c>
      <c r="B307" t="s">
        <v>15</v>
      </c>
      <c r="C307" t="s">
        <v>2828</v>
      </c>
      <c r="D307" s="71" t="s">
        <v>2828</v>
      </c>
      <c r="E307" t="s">
        <v>41</v>
      </c>
      <c r="F307" s="19">
        <v>57564931</v>
      </c>
      <c r="G307" s="53">
        <v>743046049773</v>
      </c>
      <c r="H307" s="52">
        <v>1756</v>
      </c>
      <c r="I307" s="5">
        <v>0.1</v>
      </c>
      <c r="J307" s="52" cm="1">
        <f t="array" ref="J30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176</v>
      </c>
      <c r="K307" s="15" t="s">
        <v>1155</v>
      </c>
      <c r="L307" s="54" t="s">
        <v>66</v>
      </c>
      <c r="M307" t="s">
        <v>43</v>
      </c>
      <c r="N307" s="15" t="s">
        <v>1155</v>
      </c>
      <c r="O307" s="5" t="s">
        <v>443</v>
      </c>
      <c r="P307" s="17" t="s">
        <v>69</v>
      </c>
      <c r="Q307" s="10" t="s">
        <v>79</v>
      </c>
      <c r="R307" s="11">
        <v>45441</v>
      </c>
      <c r="S307" s="10" t="s">
        <v>48</v>
      </c>
      <c r="T307" s="3" t="str">
        <f>IF(AND(ProtocolosKL[[#This Row],[STATUS]]="APROVADO",ProtocolosKL[[#This Row],[WAIVER]]=""),"Y","")</f>
        <v/>
      </c>
      <c r="U307" t="s">
        <v>2831</v>
      </c>
      <c r="V307" s="16" t="str">
        <f t="shared" si="5"/>
        <v>3NTZZUMOREIRA/ROSEMARY</v>
      </c>
      <c r="W307">
        <v>560</v>
      </c>
    </row>
    <row r="308" spans="1:23" hidden="1">
      <c r="A308" s="1">
        <v>45447</v>
      </c>
      <c r="B308" t="s">
        <v>11</v>
      </c>
      <c r="C308" t="s">
        <v>2832</v>
      </c>
      <c r="D308" s="71" t="s">
        <v>2832</v>
      </c>
      <c r="E308" t="s">
        <v>512</v>
      </c>
      <c r="F308" s="19">
        <v>57524401</v>
      </c>
      <c r="G308" s="53">
        <v>743045930992</v>
      </c>
      <c r="H308" s="52">
        <v>200</v>
      </c>
      <c r="I308" s="5" t="s">
        <v>74</v>
      </c>
      <c r="J308" s="52" cm="1">
        <f t="array" ref="J30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200</v>
      </c>
      <c r="K308" s="15" t="s">
        <v>1688</v>
      </c>
      <c r="L308" s="54" t="s">
        <v>529</v>
      </c>
      <c r="M308" t="s">
        <v>43</v>
      </c>
      <c r="N308" s="15" t="s">
        <v>1458</v>
      </c>
      <c r="O308" s="5" t="s">
        <v>2833</v>
      </c>
      <c r="P308" s="17" t="s">
        <v>146</v>
      </c>
      <c r="Q308" s="10" t="s">
        <v>1630</v>
      </c>
      <c r="R308" s="11">
        <v>45447</v>
      </c>
      <c r="S308" s="10" t="s">
        <v>2834</v>
      </c>
      <c r="T308" s="3" t="str">
        <f>IF(AND(ProtocolosKL[[#This Row],[STATUS]]="APROVADO",ProtocolosKL[[#This Row],[WAIVER]]=""),"Y","")</f>
        <v/>
      </c>
      <c r="U308" t="s">
        <v>2835</v>
      </c>
      <c r="V308" s="16" t="str">
        <f t="shared" si="5"/>
        <v xml:space="preserve">3Q8WM9DA SILVEIRA/BRUNA </v>
      </c>
      <c r="W308">
        <v>561</v>
      </c>
    </row>
    <row r="309" spans="1:23" ht="15.6" hidden="1">
      <c r="A309" s="1">
        <v>45448</v>
      </c>
      <c r="B309" t="s">
        <v>13</v>
      </c>
      <c r="C309" t="s">
        <v>2836</v>
      </c>
      <c r="D309" s="71" t="s">
        <v>2836</v>
      </c>
      <c r="E309" t="s">
        <v>41</v>
      </c>
      <c r="F309" s="19"/>
      <c r="G309" s="53"/>
      <c r="H309" s="52">
        <v>1261</v>
      </c>
      <c r="I309" s="5">
        <v>0.06</v>
      </c>
      <c r="J309" s="52" t="str" cm="1">
        <f t="array" ref="J30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09" s="15" t="s">
        <v>1521</v>
      </c>
      <c r="L309" s="54" t="s">
        <v>76</v>
      </c>
      <c r="M309" t="s">
        <v>100</v>
      </c>
      <c r="N309" s="15" t="s">
        <v>151</v>
      </c>
      <c r="O309" s="5" t="s">
        <v>167</v>
      </c>
      <c r="P309" s="17" t="s">
        <v>46</v>
      </c>
      <c r="Q309" s="10"/>
      <c r="R309" s="11"/>
      <c r="S309" s="73"/>
      <c r="T309" s="3" t="str">
        <f>IF(AND(ProtocolosKL[[#This Row],[STATUS]]="APROVADO",ProtocolosKL[[#This Row],[WAIVER]]=""),"Y","")</f>
        <v/>
      </c>
      <c r="U309" t="s">
        <v>2837</v>
      </c>
      <c r="V309" s="16" t="str">
        <f t="shared" si="5"/>
        <v>4UHEBIKELNER/DANIT</v>
      </c>
      <c r="W309">
        <v>569</v>
      </c>
    </row>
    <row r="310" spans="1:23" ht="15.6" hidden="1">
      <c r="A310" s="1">
        <v>45449</v>
      </c>
      <c r="B310" t="s">
        <v>13</v>
      </c>
      <c r="C310" t="s">
        <v>2836</v>
      </c>
      <c r="D310" s="71" t="s">
        <v>2836</v>
      </c>
      <c r="E310" t="s">
        <v>41</v>
      </c>
      <c r="F310" s="19">
        <v>57564931</v>
      </c>
      <c r="G310" s="53">
        <v>743046114436</v>
      </c>
      <c r="H310" s="52">
        <v>1184</v>
      </c>
      <c r="I310" s="5">
        <v>0.06</v>
      </c>
      <c r="J310" s="52" cm="1">
        <f t="array" ref="J31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72</v>
      </c>
      <c r="K310" s="15" t="s">
        <v>1521</v>
      </c>
      <c r="L310" s="54" t="s">
        <v>76</v>
      </c>
      <c r="M310" t="s">
        <v>43</v>
      </c>
      <c r="N310" s="15" t="s">
        <v>151</v>
      </c>
      <c r="O310" s="5" t="s">
        <v>167</v>
      </c>
      <c r="P310" s="17" t="s">
        <v>46</v>
      </c>
      <c r="Q310" s="10" t="s">
        <v>244</v>
      </c>
      <c r="R310" s="11">
        <v>45449</v>
      </c>
      <c r="S310" s="73" t="s">
        <v>48</v>
      </c>
      <c r="T310" s="3" t="str">
        <f>IF(AND(ProtocolosKL[[#This Row],[STATUS]]="APROVADO",ProtocolosKL[[#This Row],[WAIVER]]=""),"Y","")</f>
        <v/>
      </c>
      <c r="U310" t="s">
        <v>2837</v>
      </c>
      <c r="V310" s="16" t="str">
        <f t="shared" si="5"/>
        <v>4UHEBIKELNER/DANIT</v>
      </c>
      <c r="W310">
        <v>570</v>
      </c>
    </row>
    <row r="311" spans="1:23" hidden="1">
      <c r="A311" s="1">
        <v>45450</v>
      </c>
      <c r="B311" t="s">
        <v>16</v>
      </c>
      <c r="C311" t="s">
        <v>2838</v>
      </c>
      <c r="D311" s="71" t="s">
        <v>2838</v>
      </c>
      <c r="E311" t="s">
        <v>41</v>
      </c>
      <c r="F311" s="19">
        <v>57564931</v>
      </c>
      <c r="G311" s="53">
        <v>743046114530</v>
      </c>
      <c r="H311" s="52">
        <v>1592</v>
      </c>
      <c r="I311" s="5">
        <v>0.1</v>
      </c>
      <c r="J311" s="52" cm="1">
        <f t="array" ref="J31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160</v>
      </c>
      <c r="K311" s="15" t="s">
        <v>177</v>
      </c>
      <c r="L311" s="54" t="s">
        <v>76</v>
      </c>
      <c r="M311" t="s">
        <v>43</v>
      </c>
      <c r="N311" s="15" t="s">
        <v>177</v>
      </c>
      <c r="O311" s="5" t="s">
        <v>1065</v>
      </c>
      <c r="P311" s="17" t="s">
        <v>69</v>
      </c>
      <c r="Q311" s="10" t="s">
        <v>396</v>
      </c>
      <c r="R311" s="11">
        <v>45450</v>
      </c>
      <c r="S311" s="10" t="s">
        <v>48</v>
      </c>
      <c r="T311" s="3" t="str">
        <f>IF(AND(ProtocolosKL[[#This Row],[STATUS]]="APROVADO",ProtocolosKL[[#This Row],[WAIVER]]=""),"Y","")</f>
        <v/>
      </c>
      <c r="U311" t="s">
        <v>2839</v>
      </c>
      <c r="V311" s="16" t="str">
        <f t="shared" si="5"/>
        <v>4ZC5BDALVES/BRENO</v>
      </c>
      <c r="W311">
        <v>572</v>
      </c>
    </row>
    <row r="312" spans="1:23" hidden="1">
      <c r="A312" s="1">
        <v>45450</v>
      </c>
      <c r="B312" t="s">
        <v>16</v>
      </c>
      <c r="C312" t="s">
        <v>2838</v>
      </c>
      <c r="D312" s="71" t="s">
        <v>2838</v>
      </c>
      <c r="E312" t="s">
        <v>41</v>
      </c>
      <c r="F312" s="19">
        <v>57564931</v>
      </c>
      <c r="G312" s="53">
        <v>743046114532</v>
      </c>
      <c r="H312" s="52">
        <v>1592</v>
      </c>
      <c r="I312" s="5">
        <v>0.1</v>
      </c>
      <c r="J312" s="52" cm="1">
        <f t="array" ref="J31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160</v>
      </c>
      <c r="K312" s="15" t="s">
        <v>177</v>
      </c>
      <c r="L312" s="54" t="s">
        <v>76</v>
      </c>
      <c r="M312" t="s">
        <v>43</v>
      </c>
      <c r="N312" s="15" t="s">
        <v>177</v>
      </c>
      <c r="O312" s="5" t="s">
        <v>1065</v>
      </c>
      <c r="P312" s="17" t="s">
        <v>69</v>
      </c>
      <c r="Q312" s="10" t="s">
        <v>396</v>
      </c>
      <c r="R312" s="11">
        <v>45450</v>
      </c>
      <c r="S312" s="10" t="s">
        <v>48</v>
      </c>
      <c r="T312" s="3" t="str">
        <f>IF(AND(ProtocolosKL[[#This Row],[STATUS]]="APROVADO",ProtocolosKL[[#This Row],[WAIVER]]=""),"Y","")</f>
        <v/>
      </c>
      <c r="U312" t="s">
        <v>2840</v>
      </c>
      <c r="V312" s="16" t="str">
        <f t="shared" si="5"/>
        <v xml:space="preserve">4ZC5BDSANTOS JUNIOR/FELIX  </v>
      </c>
      <c r="W312">
        <v>572</v>
      </c>
    </row>
    <row r="313" spans="1:23" hidden="1">
      <c r="A313" s="1">
        <v>45450</v>
      </c>
      <c r="B313" t="s">
        <v>16</v>
      </c>
      <c r="C313" t="s">
        <v>2841</v>
      </c>
      <c r="D313" s="71" t="s">
        <v>2841</v>
      </c>
      <c r="E313" t="s">
        <v>41</v>
      </c>
      <c r="F313" s="19">
        <v>57564931</v>
      </c>
      <c r="G313" s="53">
        <v>743046114528</v>
      </c>
      <c r="H313" s="52">
        <v>1592</v>
      </c>
      <c r="I313" s="5">
        <v>0.1</v>
      </c>
      <c r="J313" s="52" cm="1">
        <f t="array" ref="J31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160</v>
      </c>
      <c r="K313" s="15" t="s">
        <v>177</v>
      </c>
      <c r="L313" s="54" t="s">
        <v>76</v>
      </c>
      <c r="M313" t="s">
        <v>43</v>
      </c>
      <c r="N313" s="15" t="s">
        <v>177</v>
      </c>
      <c r="O313" s="5" t="s">
        <v>1065</v>
      </c>
      <c r="P313" s="17" t="s">
        <v>69</v>
      </c>
      <c r="Q313" s="10" t="s">
        <v>396</v>
      </c>
      <c r="R313" s="11">
        <v>45450</v>
      </c>
      <c r="S313" s="10" t="s">
        <v>48</v>
      </c>
      <c r="T313" s="3" t="str">
        <f>IF(AND(ProtocolosKL[[#This Row],[STATUS]]="APROVADO",ProtocolosKL[[#This Row],[WAIVER]]=""),"Y","")</f>
        <v/>
      </c>
      <c r="U313" t="s">
        <v>2842</v>
      </c>
      <c r="V313" s="16" t="str">
        <f t="shared" si="5"/>
        <v>4ZBC54ALVES/SANDRO</v>
      </c>
      <c r="W313">
        <v>573</v>
      </c>
    </row>
    <row r="314" spans="1:23" hidden="1">
      <c r="A314" s="1">
        <v>45453</v>
      </c>
      <c r="B314" t="s">
        <v>14</v>
      </c>
      <c r="C314" t="s">
        <v>2843</v>
      </c>
      <c r="D314" s="71" t="s">
        <v>2844</v>
      </c>
      <c r="E314" t="s">
        <v>41</v>
      </c>
      <c r="F314" s="19"/>
      <c r="G314" s="53"/>
      <c r="H314" s="52">
        <v>5781</v>
      </c>
      <c r="I314" s="5">
        <v>0.1</v>
      </c>
      <c r="J314" s="52" t="str" cm="1">
        <f t="array" ref="J31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14" s="15" t="s">
        <v>1089</v>
      </c>
      <c r="L314" s="54" t="s">
        <v>172</v>
      </c>
      <c r="M314" t="s">
        <v>100</v>
      </c>
      <c r="N314" s="15" t="s">
        <v>1089</v>
      </c>
      <c r="O314" s="5" t="s">
        <v>2745</v>
      </c>
      <c r="P314" s="17" t="s">
        <v>69</v>
      </c>
      <c r="Q314" s="10"/>
      <c r="R314" s="11"/>
      <c r="S314" s="10"/>
      <c r="T314" s="3" t="str">
        <f>IF(AND(ProtocolosKL[[#This Row],[STATUS]]="APROVADO",ProtocolosKL[[#This Row],[WAIVER]]=""),"Y","")</f>
        <v/>
      </c>
      <c r="U314" t="s">
        <v>2845</v>
      </c>
      <c r="V314" s="16" t="str">
        <f t="shared" si="5"/>
        <v>ALYWCBDA COSTA XAVIER/DIEGO</v>
      </c>
      <c r="W314">
        <v>575</v>
      </c>
    </row>
    <row r="315" spans="1:23" hidden="1">
      <c r="A315" s="1">
        <v>45453</v>
      </c>
      <c r="B315" t="s">
        <v>14</v>
      </c>
      <c r="C315" t="s">
        <v>2843</v>
      </c>
      <c r="D315" s="71" t="s">
        <v>2844</v>
      </c>
      <c r="E315" t="s">
        <v>41</v>
      </c>
      <c r="F315" s="19"/>
      <c r="G315" s="53"/>
      <c r="H315" s="52">
        <v>5781</v>
      </c>
      <c r="I315" s="5">
        <v>0.1</v>
      </c>
      <c r="J315" s="52" t="str" cm="1">
        <f t="array" ref="J31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15" s="15" t="s">
        <v>1089</v>
      </c>
      <c r="L315" s="54" t="s">
        <v>172</v>
      </c>
      <c r="M315" t="s">
        <v>100</v>
      </c>
      <c r="N315" s="15" t="s">
        <v>1089</v>
      </c>
      <c r="O315" s="5" t="s">
        <v>2745</v>
      </c>
      <c r="P315" s="17" t="s">
        <v>69</v>
      </c>
      <c r="Q315" s="10"/>
      <c r="R315" s="11"/>
      <c r="S315" s="10"/>
      <c r="T315" s="3" t="str">
        <f>IF(AND(ProtocolosKL[[#This Row],[STATUS]]="APROVADO",ProtocolosKL[[#This Row],[WAIVER]]=""),"Y","")</f>
        <v/>
      </c>
      <c r="U315" t="s">
        <v>2846</v>
      </c>
      <c r="V315" s="16" t="str">
        <f t="shared" si="5"/>
        <v>ALYWCBCAPOBIANCO SILVA/THEO</v>
      </c>
      <c r="W315">
        <v>575</v>
      </c>
    </row>
    <row r="316" spans="1:23" hidden="1">
      <c r="A316" s="1">
        <v>45454</v>
      </c>
      <c r="B316" t="s">
        <v>11</v>
      </c>
      <c r="C316" t="s">
        <v>2847</v>
      </c>
      <c r="D316" s="71" t="s">
        <v>2847</v>
      </c>
      <c r="E316" t="s">
        <v>41</v>
      </c>
      <c r="F316" s="19">
        <v>57564931</v>
      </c>
      <c r="G316" s="53">
        <v>743046147889</v>
      </c>
      <c r="H316" s="52">
        <v>930</v>
      </c>
      <c r="I316" s="5">
        <v>0.1</v>
      </c>
      <c r="J316" s="52" cm="1">
        <f t="array" ref="J31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93</v>
      </c>
      <c r="K316" s="15" t="s">
        <v>1457</v>
      </c>
      <c r="L316" s="54" t="s">
        <v>76</v>
      </c>
      <c r="M316" t="s">
        <v>43</v>
      </c>
      <c r="N316" s="15" t="s">
        <v>1458</v>
      </c>
      <c r="O316" s="5" t="s">
        <v>167</v>
      </c>
      <c r="P316" s="17" t="s">
        <v>146</v>
      </c>
      <c r="Q316" s="10" t="s">
        <v>1460</v>
      </c>
      <c r="R316" s="11">
        <v>45454</v>
      </c>
      <c r="S316" s="10" t="s">
        <v>48</v>
      </c>
      <c r="T316" s="3" t="str">
        <f>IF(AND(ProtocolosKL[[#This Row],[STATUS]]="APROVADO",ProtocolosKL[[#This Row],[WAIVER]]=""),"Y","")</f>
        <v/>
      </c>
      <c r="U316" t="s">
        <v>2848</v>
      </c>
      <c r="V316" s="16" t="str">
        <f t="shared" si="5"/>
        <v>2TIVZ2DOS SANTOS/CARLOS EDUARDO</v>
      </c>
      <c r="W316">
        <v>576</v>
      </c>
    </row>
    <row r="317" spans="1:23" hidden="1">
      <c r="A317" s="1">
        <v>45455</v>
      </c>
      <c r="B317" t="s">
        <v>13</v>
      </c>
      <c r="C317" t="s">
        <v>2849</v>
      </c>
      <c r="D317" s="71" t="s">
        <v>2850</v>
      </c>
      <c r="E317" t="s">
        <v>41</v>
      </c>
      <c r="F317" s="19">
        <v>57564931</v>
      </c>
      <c r="G317" s="53">
        <v>745820271504</v>
      </c>
      <c r="H317" s="52">
        <v>1275</v>
      </c>
      <c r="I317" s="5">
        <v>0.06</v>
      </c>
      <c r="J317" s="52" cm="1">
        <f t="array" ref="J31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77</v>
      </c>
      <c r="K317" s="15" t="s">
        <v>2851</v>
      </c>
      <c r="L317" s="54" t="s">
        <v>76</v>
      </c>
      <c r="M317" t="s">
        <v>43</v>
      </c>
      <c r="N317" s="15" t="s">
        <v>151</v>
      </c>
      <c r="O317" s="5" t="s">
        <v>2852</v>
      </c>
      <c r="P317" s="17" t="s">
        <v>69</v>
      </c>
      <c r="Q317" s="10" t="s">
        <v>2853</v>
      </c>
      <c r="R317" s="11">
        <v>45455</v>
      </c>
      <c r="S317" s="10" t="s">
        <v>48</v>
      </c>
      <c r="T317" s="3" t="str">
        <f>IF(AND(ProtocolosKL[[#This Row],[STATUS]]="APROVADO",ProtocolosKL[[#This Row],[WAIVER]]=""),"Y","")</f>
        <v/>
      </c>
      <c r="U317" t="s">
        <v>2854</v>
      </c>
      <c r="V317" s="16" t="str">
        <f t="shared" si="5"/>
        <v>OIXTAZSIMOES/WELLINGTON</v>
      </c>
      <c r="W317">
        <v>577</v>
      </c>
    </row>
    <row r="318" spans="1:23" hidden="1">
      <c r="A318" s="1">
        <v>45455</v>
      </c>
      <c r="B318" t="s">
        <v>13</v>
      </c>
      <c r="C318" t="s">
        <v>2855</v>
      </c>
      <c r="D318" s="71" t="s">
        <v>2856</v>
      </c>
      <c r="E318" t="s">
        <v>41</v>
      </c>
      <c r="F318" s="19">
        <v>57564931</v>
      </c>
      <c r="G318" s="53">
        <v>745820271505</v>
      </c>
      <c r="H318" s="52">
        <v>1524</v>
      </c>
      <c r="I318" s="5">
        <v>0.06</v>
      </c>
      <c r="J318" s="52" cm="1">
        <f t="array" ref="J31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92</v>
      </c>
      <c r="K318" s="15" t="s">
        <v>2851</v>
      </c>
      <c r="L318" s="54" t="s">
        <v>76</v>
      </c>
      <c r="M318" t="s">
        <v>43</v>
      </c>
      <c r="N318" s="15" t="s">
        <v>151</v>
      </c>
      <c r="O318" s="5" t="s">
        <v>2857</v>
      </c>
      <c r="P318" s="17" t="s">
        <v>69</v>
      </c>
      <c r="Q318" s="10" t="s">
        <v>2853</v>
      </c>
      <c r="R318" s="11">
        <v>45455</v>
      </c>
      <c r="S318" s="10" t="s">
        <v>48</v>
      </c>
      <c r="T318" s="3" t="str">
        <f>IF(AND(ProtocolosKL[[#This Row],[STATUS]]="APROVADO",ProtocolosKL[[#This Row],[WAIVER]]=""),"Y","")</f>
        <v/>
      </c>
      <c r="U318" t="s">
        <v>2858</v>
      </c>
      <c r="V318" s="16" t="str">
        <f t="shared" si="5"/>
        <v>OJEHLMSOUSA/EVAIR</v>
      </c>
      <c r="W318">
        <v>578</v>
      </c>
    </row>
    <row r="319" spans="1:23" hidden="1">
      <c r="A319" s="1">
        <v>45457</v>
      </c>
      <c r="B319" t="s">
        <v>10</v>
      </c>
      <c r="C319" t="s">
        <v>2859</v>
      </c>
      <c r="D319" s="71" t="s">
        <v>2860</v>
      </c>
      <c r="E319" t="s">
        <v>41</v>
      </c>
      <c r="F319" s="19">
        <v>57564931</v>
      </c>
      <c r="G319" s="53">
        <v>745820287951</v>
      </c>
      <c r="H319" s="52">
        <v>1269</v>
      </c>
      <c r="I319" s="5">
        <v>0.06</v>
      </c>
      <c r="J319" s="52" cm="1">
        <f t="array" ref="J31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77</v>
      </c>
      <c r="K319" s="15" t="s">
        <v>189</v>
      </c>
      <c r="L319" s="54" t="s">
        <v>76</v>
      </c>
      <c r="M319" t="s">
        <v>43</v>
      </c>
      <c r="N319" s="15" t="s">
        <v>65</v>
      </c>
      <c r="O319" s="5" t="s">
        <v>145</v>
      </c>
      <c r="P319" s="17" t="s">
        <v>69</v>
      </c>
      <c r="Q319" s="10" t="s">
        <v>1345</v>
      </c>
      <c r="R319" s="11">
        <v>45457</v>
      </c>
      <c r="S319" s="10" t="s">
        <v>48</v>
      </c>
      <c r="T319" s="3" t="str">
        <f>IF(AND(ProtocolosKL[[#This Row],[STATUS]]="APROVADO",ProtocolosKL[[#This Row],[WAIVER]]=""),"Y","")</f>
        <v/>
      </c>
      <c r="U319" t="s">
        <v>2861</v>
      </c>
      <c r="V319" s="16" t="str">
        <f t="shared" si="5"/>
        <v>WTKFMGVILELLA/PAULO HENRIQUE</v>
      </c>
      <c r="W319">
        <v>579</v>
      </c>
    </row>
    <row r="320" spans="1:23" hidden="1">
      <c r="A320" s="1">
        <v>45457</v>
      </c>
      <c r="B320" t="s">
        <v>14</v>
      </c>
      <c r="C320" t="s">
        <v>2862</v>
      </c>
      <c r="D320" s="71" t="s">
        <v>2862</v>
      </c>
      <c r="E320" t="s">
        <v>41</v>
      </c>
      <c r="F320" s="19">
        <v>57564931</v>
      </c>
      <c r="G320" s="53">
        <v>743046178425</v>
      </c>
      <c r="H320" s="52">
        <v>6236</v>
      </c>
      <c r="I320" s="5">
        <v>0.08</v>
      </c>
      <c r="J320" s="52" cm="1">
        <f t="array" ref="J32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499</v>
      </c>
      <c r="K320" s="15" t="s">
        <v>1089</v>
      </c>
      <c r="L320" s="54" t="s">
        <v>76</v>
      </c>
      <c r="M320" t="s">
        <v>43</v>
      </c>
      <c r="N320" s="15" t="s">
        <v>1089</v>
      </c>
      <c r="O320" s="5" t="s">
        <v>2745</v>
      </c>
      <c r="P320" s="17" t="s">
        <v>69</v>
      </c>
      <c r="Q320" s="10" t="s">
        <v>1678</v>
      </c>
      <c r="R320" s="11">
        <v>45460</v>
      </c>
      <c r="S320" s="10" t="s">
        <v>48</v>
      </c>
      <c r="T320" s="3" t="str">
        <f>IF(AND(ProtocolosKL[[#This Row],[STATUS]]="APROVADO",ProtocolosKL[[#This Row],[WAIVER]]=""),"Y","")</f>
        <v/>
      </c>
      <c r="U320" t="s">
        <v>2845</v>
      </c>
      <c r="V320" s="16" t="str">
        <f t="shared" si="5"/>
        <v>37T8T6DA COSTA XAVIER/DIEGO</v>
      </c>
      <c r="W320">
        <v>580</v>
      </c>
    </row>
    <row r="321" spans="1:23" hidden="1">
      <c r="A321" s="1">
        <v>45457</v>
      </c>
      <c r="B321" t="s">
        <v>14</v>
      </c>
      <c r="C321" t="s">
        <v>2863</v>
      </c>
      <c r="D321" s="71" t="s">
        <v>2863</v>
      </c>
      <c r="E321" t="s">
        <v>41</v>
      </c>
      <c r="F321" s="19">
        <v>57564931</v>
      </c>
      <c r="G321" s="53">
        <v>743046178419</v>
      </c>
      <c r="H321" s="52">
        <v>5741</v>
      </c>
      <c r="I321" s="5">
        <v>0.06</v>
      </c>
      <c r="J321" s="52" cm="1">
        <f t="array" ref="J32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345</v>
      </c>
      <c r="K321" s="15" t="s">
        <v>1089</v>
      </c>
      <c r="L321" s="54" t="s">
        <v>76</v>
      </c>
      <c r="M321" t="s">
        <v>43</v>
      </c>
      <c r="N321" s="15" t="s">
        <v>1089</v>
      </c>
      <c r="O321" s="5" t="s">
        <v>2745</v>
      </c>
      <c r="P321" s="17" t="s">
        <v>69</v>
      </c>
      <c r="Q321" s="10" t="s">
        <v>1678</v>
      </c>
      <c r="R321" s="11">
        <v>45460</v>
      </c>
      <c r="S321" s="10" t="s">
        <v>48</v>
      </c>
      <c r="T321" s="3" t="str">
        <f>IF(AND(ProtocolosKL[[#This Row],[STATUS]]="APROVADO",ProtocolosKL[[#This Row],[WAIVER]]=""),"Y","")</f>
        <v/>
      </c>
      <c r="U321" t="s">
        <v>2846</v>
      </c>
      <c r="V321" s="16" t="str">
        <f t="shared" si="5"/>
        <v>378EDRCAPOBIANCO SILVA/THEO</v>
      </c>
      <c r="W321">
        <v>581</v>
      </c>
    </row>
    <row r="322" spans="1:23" hidden="1">
      <c r="A322" s="1">
        <v>45457</v>
      </c>
      <c r="B322" t="s">
        <v>13</v>
      </c>
      <c r="C322" t="s">
        <v>2864</v>
      </c>
      <c r="D322" s="72" t="s">
        <v>2864</v>
      </c>
      <c r="E322" t="s">
        <v>41</v>
      </c>
      <c r="F322" s="19"/>
      <c r="G322" s="53"/>
      <c r="H322" s="52">
        <v>694</v>
      </c>
      <c r="I322" s="5">
        <v>0.12</v>
      </c>
      <c r="J322" s="52" t="str" cm="1">
        <f t="array" ref="J32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22" s="15" t="s">
        <v>1521</v>
      </c>
      <c r="L322" s="54" t="s">
        <v>66</v>
      </c>
      <c r="M322" t="s">
        <v>100</v>
      </c>
      <c r="N322" s="15" t="s">
        <v>151</v>
      </c>
      <c r="O322" s="5" t="s">
        <v>68</v>
      </c>
      <c r="P322" s="17" t="s">
        <v>46</v>
      </c>
      <c r="Q322" s="10"/>
      <c r="R322" s="11"/>
      <c r="S322" s="10"/>
      <c r="T322" s="3" t="str">
        <f>IF(AND(ProtocolosKL[[#This Row],[STATUS]]="APROVADO",ProtocolosKL[[#This Row],[WAIVER]]=""),"Y","")</f>
        <v/>
      </c>
      <c r="U322" t="s">
        <v>2865</v>
      </c>
      <c r="V322" s="16" t="str">
        <f t="shared" si="5"/>
        <v>38LADTBECK/IVANIA MARIA</v>
      </c>
      <c r="W322">
        <v>582</v>
      </c>
    </row>
    <row r="323" spans="1:23" hidden="1">
      <c r="A323" s="1">
        <v>45457</v>
      </c>
      <c r="B323" t="s">
        <v>13</v>
      </c>
      <c r="C323" t="s">
        <v>2864</v>
      </c>
      <c r="D323" s="72" t="s">
        <v>2864</v>
      </c>
      <c r="E323" t="s">
        <v>41</v>
      </c>
      <c r="F323" s="19"/>
      <c r="G323" s="53"/>
      <c r="H323" s="52">
        <v>694</v>
      </c>
      <c r="I323" s="5">
        <v>0.12</v>
      </c>
      <c r="J323" s="52" t="str" cm="1">
        <f t="array" ref="J32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23" s="15" t="s">
        <v>1521</v>
      </c>
      <c r="L323" s="54" t="s">
        <v>66</v>
      </c>
      <c r="M323" t="s">
        <v>100</v>
      </c>
      <c r="N323" s="15" t="s">
        <v>151</v>
      </c>
      <c r="O323" s="5" t="s">
        <v>68</v>
      </c>
      <c r="P323" s="17" t="s">
        <v>46</v>
      </c>
      <c r="Q323" s="10"/>
      <c r="R323" s="11"/>
      <c r="S323" s="10"/>
      <c r="T323" s="3" t="str">
        <f>IF(AND(ProtocolosKL[[#This Row],[STATUS]]="APROVADO",ProtocolosKL[[#This Row],[WAIVER]]=""),"Y","")</f>
        <v/>
      </c>
      <c r="U323" t="s">
        <v>2866</v>
      </c>
      <c r="V323" s="16" t="str">
        <f t="shared" si="5"/>
        <v>38LADTRODRIGUES DE FREITAS/CARLOS ALBERTO</v>
      </c>
      <c r="W323">
        <v>582</v>
      </c>
    </row>
    <row r="324" spans="1:23" hidden="1">
      <c r="A324" s="1">
        <v>45461</v>
      </c>
      <c r="B324" t="s">
        <v>11</v>
      </c>
      <c r="C324" t="s">
        <v>2867</v>
      </c>
      <c r="D324" s="72" t="s">
        <v>2868</v>
      </c>
      <c r="E324" t="s">
        <v>41</v>
      </c>
      <c r="F324" s="19"/>
      <c r="G324" s="53"/>
      <c r="H324" s="52">
        <v>1077</v>
      </c>
      <c r="I324" s="5">
        <v>0.1</v>
      </c>
      <c r="J324" s="52" t="str" cm="1">
        <f t="array" ref="J32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24" s="15" t="s">
        <v>1230</v>
      </c>
      <c r="L324" s="54" t="s">
        <v>2869</v>
      </c>
      <c r="M324" t="s">
        <v>100</v>
      </c>
      <c r="N324" s="15" t="s">
        <v>1458</v>
      </c>
      <c r="O324" s="5" t="s">
        <v>167</v>
      </c>
      <c r="P324" s="17" t="s">
        <v>46</v>
      </c>
      <c r="Q324" s="10"/>
      <c r="R324" s="11"/>
      <c r="S324" s="10"/>
      <c r="T324" s="3" t="str">
        <f>IF(AND(ProtocolosKL[[#This Row],[STATUS]]="APROVADO",ProtocolosKL[[#This Row],[WAIVER]]=""),"Y","")</f>
        <v/>
      </c>
      <c r="U324" t="s">
        <v>2870</v>
      </c>
      <c r="V324" s="16" t="str">
        <f t="shared" si="5"/>
        <v>LIVHQBKLAS/CRISTINA MRS</v>
      </c>
      <c r="W324">
        <v>587</v>
      </c>
    </row>
    <row r="325" spans="1:23" hidden="1">
      <c r="A325" s="1">
        <v>45461</v>
      </c>
      <c r="B325" t="s">
        <v>11</v>
      </c>
      <c r="C325" t="s">
        <v>2871</v>
      </c>
      <c r="D325" s="72" t="s">
        <v>2872</v>
      </c>
      <c r="E325" t="s">
        <v>41</v>
      </c>
      <c r="F325" s="19"/>
      <c r="G325" s="53"/>
      <c r="H325" s="52">
        <v>1162</v>
      </c>
      <c r="I325" s="5">
        <v>0.1</v>
      </c>
      <c r="J325" s="52" t="str" cm="1">
        <f t="array" ref="J32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25" s="15" t="s">
        <v>1230</v>
      </c>
      <c r="L325" s="54" t="s">
        <v>2873</v>
      </c>
      <c r="M325" t="s">
        <v>100</v>
      </c>
      <c r="N325" s="15" t="s">
        <v>1458</v>
      </c>
      <c r="O325" s="5" t="s">
        <v>167</v>
      </c>
      <c r="P325" s="17" t="s">
        <v>46</v>
      </c>
      <c r="Q325" s="10"/>
      <c r="R325" s="11"/>
      <c r="S325" s="10"/>
      <c r="T325" s="3" t="str">
        <f>IF(AND(ProtocolosKL[[#This Row],[STATUS]]="APROVADO",ProtocolosKL[[#This Row],[WAIVER]]=""),"Y","")</f>
        <v/>
      </c>
      <c r="U325" t="s">
        <v>2874</v>
      </c>
      <c r="V325" s="16" t="str">
        <f t="shared" si="5"/>
        <v>NFPDHJKLAS NETO/LAURO MR</v>
      </c>
      <c r="W325">
        <v>588</v>
      </c>
    </row>
    <row r="326" spans="1:23" hidden="1">
      <c r="A326" s="1">
        <v>45468</v>
      </c>
      <c r="B326" t="s">
        <v>10</v>
      </c>
      <c r="C326" t="s">
        <v>2875</v>
      </c>
      <c r="D326" s="72" t="s">
        <v>2875</v>
      </c>
      <c r="E326" t="s">
        <v>41</v>
      </c>
      <c r="F326" s="19">
        <v>57564931</v>
      </c>
      <c r="G326" s="53">
        <v>743046240727</v>
      </c>
      <c r="H326" s="52">
        <v>1026</v>
      </c>
      <c r="I326" s="5">
        <v>0.1</v>
      </c>
      <c r="J326" s="52" cm="1">
        <f t="array" ref="J32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103</v>
      </c>
      <c r="K326" s="15" t="s">
        <v>2876</v>
      </c>
      <c r="L326" s="54" t="s">
        <v>76</v>
      </c>
      <c r="M326" t="s">
        <v>43</v>
      </c>
      <c r="N326" s="15" t="s">
        <v>65</v>
      </c>
      <c r="O326" s="5" t="s">
        <v>234</v>
      </c>
      <c r="P326" s="17" t="s">
        <v>146</v>
      </c>
      <c r="Q326" s="10" t="s">
        <v>2877</v>
      </c>
      <c r="R326" s="11">
        <v>45469</v>
      </c>
      <c r="S326" s="10" t="s">
        <v>48</v>
      </c>
      <c r="T326" s="3" t="str">
        <f>IF(AND(ProtocolosKL[[#This Row],[STATUS]]="APROVADO",ProtocolosKL[[#This Row],[WAIVER]]=""),"Y","")</f>
        <v/>
      </c>
      <c r="U326" t="s">
        <v>2878</v>
      </c>
      <c r="V326" s="16" t="str">
        <f t="shared" si="5"/>
        <v>23NO53ARAUJO DE OLIVEIRA/MARCOS MR</v>
      </c>
      <c r="W326">
        <v>597</v>
      </c>
    </row>
    <row r="327" spans="1:23" hidden="1">
      <c r="A327" s="1">
        <v>45468</v>
      </c>
      <c r="B327" t="s">
        <v>10</v>
      </c>
      <c r="C327" t="s">
        <v>2875</v>
      </c>
      <c r="D327" s="72" t="s">
        <v>2875</v>
      </c>
      <c r="E327" t="s">
        <v>41</v>
      </c>
      <c r="F327" s="19">
        <v>57564931</v>
      </c>
      <c r="G327" s="53">
        <v>743046240728</v>
      </c>
      <c r="H327" s="52">
        <v>1026</v>
      </c>
      <c r="I327" s="5">
        <v>0.1</v>
      </c>
      <c r="J327" s="52" cm="1">
        <f t="array" ref="J32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103</v>
      </c>
      <c r="K327" s="15" t="s">
        <v>2876</v>
      </c>
      <c r="L327" s="54" t="s">
        <v>76</v>
      </c>
      <c r="M327" t="s">
        <v>43</v>
      </c>
      <c r="N327" s="15" t="s">
        <v>65</v>
      </c>
      <c r="O327" s="5" t="s">
        <v>234</v>
      </c>
      <c r="P327" s="17" t="s">
        <v>146</v>
      </c>
      <c r="Q327" s="10" t="s">
        <v>2877</v>
      </c>
      <c r="R327" s="11">
        <v>45469</v>
      </c>
      <c r="S327" s="10" t="s">
        <v>48</v>
      </c>
      <c r="T327" s="3" t="str">
        <f>IF(AND(ProtocolosKL[[#This Row],[STATUS]]="APROVADO",ProtocolosKL[[#This Row],[WAIVER]]=""),"Y","")</f>
        <v/>
      </c>
      <c r="U327" t="s">
        <v>2879</v>
      </c>
      <c r="V327" s="16" t="str">
        <f t="shared" si="5"/>
        <v>23NO53DA COSTA FAVELA/JAILTON MR</v>
      </c>
      <c r="W327">
        <v>597</v>
      </c>
    </row>
    <row r="328" spans="1:23" hidden="1">
      <c r="A328" s="1">
        <v>45468</v>
      </c>
      <c r="B328" t="s">
        <v>10</v>
      </c>
      <c r="C328" t="s">
        <v>2875</v>
      </c>
      <c r="D328" s="72" t="s">
        <v>2875</v>
      </c>
      <c r="E328" t="s">
        <v>41</v>
      </c>
      <c r="F328" s="19">
        <v>57564931</v>
      </c>
      <c r="G328" s="53">
        <v>743046240729</v>
      </c>
      <c r="H328" s="52">
        <v>1026</v>
      </c>
      <c r="I328" s="5">
        <v>0.1</v>
      </c>
      <c r="J328" s="52" cm="1">
        <f t="array" ref="J32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103</v>
      </c>
      <c r="K328" s="15" t="s">
        <v>2876</v>
      </c>
      <c r="L328" s="54" t="s">
        <v>76</v>
      </c>
      <c r="M328" t="s">
        <v>43</v>
      </c>
      <c r="N328" s="15" t="s">
        <v>65</v>
      </c>
      <c r="O328" s="5" t="s">
        <v>234</v>
      </c>
      <c r="P328" s="17" t="s">
        <v>146</v>
      </c>
      <c r="Q328" s="10" t="s">
        <v>2877</v>
      </c>
      <c r="R328" s="11">
        <v>45469</v>
      </c>
      <c r="S328" s="10" t="s">
        <v>48</v>
      </c>
      <c r="T328" s="3" t="str">
        <f>IF(AND(ProtocolosKL[[#This Row],[STATUS]]="APROVADO",ProtocolosKL[[#This Row],[WAIVER]]=""),"Y","")</f>
        <v/>
      </c>
      <c r="U328" t="s">
        <v>2880</v>
      </c>
      <c r="V328" s="16" t="str">
        <f t="shared" si="5"/>
        <v xml:space="preserve">23NO53VERONEZI/LEANDRO MR </v>
      </c>
      <c r="W328">
        <v>597</v>
      </c>
    </row>
    <row r="329" spans="1:23" hidden="1">
      <c r="A329" s="1">
        <v>45468</v>
      </c>
      <c r="B329" t="s">
        <v>10</v>
      </c>
      <c r="C329" t="s">
        <v>2875</v>
      </c>
      <c r="D329" s="72" t="s">
        <v>2875</v>
      </c>
      <c r="E329" t="s">
        <v>41</v>
      </c>
      <c r="F329" s="19">
        <v>57564931</v>
      </c>
      <c r="G329" s="53">
        <v>743046240730</v>
      </c>
      <c r="H329" s="52">
        <v>1026</v>
      </c>
      <c r="I329" s="5">
        <v>0.1</v>
      </c>
      <c r="J329" s="52" cm="1">
        <f t="array" ref="J32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103</v>
      </c>
      <c r="K329" s="15" t="s">
        <v>2876</v>
      </c>
      <c r="L329" s="54" t="s">
        <v>76</v>
      </c>
      <c r="M329" t="s">
        <v>43</v>
      </c>
      <c r="N329" s="15" t="s">
        <v>65</v>
      </c>
      <c r="O329" s="5" t="s">
        <v>234</v>
      </c>
      <c r="P329" s="17" t="s">
        <v>146</v>
      </c>
      <c r="Q329" s="10" t="s">
        <v>2877</v>
      </c>
      <c r="R329" s="11">
        <v>45469</v>
      </c>
      <c r="S329" s="10" t="s">
        <v>48</v>
      </c>
      <c r="T329" s="3" t="str">
        <f>IF(AND(ProtocolosKL[[#This Row],[STATUS]]="APROVADO",ProtocolosKL[[#This Row],[WAIVER]]=""),"Y","")</f>
        <v/>
      </c>
      <c r="U329" t="s">
        <v>2881</v>
      </c>
      <c r="V329" s="16" t="str">
        <f t="shared" si="5"/>
        <v>23NO53ZANON DIAS/IGOR MR</v>
      </c>
      <c r="W329">
        <v>597</v>
      </c>
    </row>
    <row r="330" spans="1:23" hidden="1">
      <c r="A330" s="1">
        <v>45471</v>
      </c>
      <c r="B330" t="s">
        <v>10</v>
      </c>
      <c r="C330" t="s">
        <v>2882</v>
      </c>
      <c r="D330" s="23" t="s">
        <v>2883</v>
      </c>
      <c r="E330" t="s">
        <v>73</v>
      </c>
      <c r="F330" s="19">
        <v>57564931</v>
      </c>
      <c r="G330" s="53">
        <v>744111268044</v>
      </c>
      <c r="H330" s="52">
        <v>89</v>
      </c>
      <c r="I330" s="5" t="s">
        <v>74</v>
      </c>
      <c r="J330" s="52" cm="1">
        <f t="array" ref="J330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230</v>
      </c>
      <c r="K330" s="15" t="s">
        <v>903</v>
      </c>
      <c r="L330" s="54" t="s">
        <v>172</v>
      </c>
      <c r="M330" t="s">
        <v>43</v>
      </c>
      <c r="N330" s="15" t="s">
        <v>65</v>
      </c>
      <c r="O330" s="5" t="s">
        <v>140</v>
      </c>
      <c r="P330" s="17"/>
      <c r="Q330" s="10" t="s">
        <v>1333</v>
      </c>
      <c r="R330" s="11">
        <v>45472</v>
      </c>
      <c r="S330" s="10" t="s">
        <v>173</v>
      </c>
      <c r="T330" s="3" t="str">
        <f>IF(AND(ProtocolosKL[[#This Row],[STATUS]]="APROVADO",ProtocolosKL[[#This Row],[WAIVER]]=""),"Y","")</f>
        <v/>
      </c>
      <c r="U330" t="s">
        <v>1504</v>
      </c>
      <c r="V330" s="16" t="str">
        <f t="shared" si="5"/>
        <v>KJFYKIPOUSADA/MARCILIO</v>
      </c>
    </row>
    <row r="331" spans="1:23" hidden="1">
      <c r="A331" s="1">
        <v>45471</v>
      </c>
      <c r="B331" t="s">
        <v>10</v>
      </c>
      <c r="C331" t="s">
        <v>2882</v>
      </c>
      <c r="D331" s="23" t="s">
        <v>2883</v>
      </c>
      <c r="E331" t="s">
        <v>73</v>
      </c>
      <c r="F331" s="19">
        <v>57564931</v>
      </c>
      <c r="G331" s="53">
        <v>744111268043</v>
      </c>
      <c r="H331" s="52">
        <v>89</v>
      </c>
      <c r="I331" s="5" t="s">
        <v>74</v>
      </c>
      <c r="J331" s="52" cm="1">
        <f t="array" ref="J331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230</v>
      </c>
      <c r="K331" s="15" t="s">
        <v>903</v>
      </c>
      <c r="L331" s="54" t="s">
        <v>172</v>
      </c>
      <c r="M331" t="s">
        <v>43</v>
      </c>
      <c r="N331" s="15" t="s">
        <v>65</v>
      </c>
      <c r="O331" s="5" t="s">
        <v>140</v>
      </c>
      <c r="P331" s="17"/>
      <c r="Q331" s="10" t="s">
        <v>1333</v>
      </c>
      <c r="R331" s="11">
        <v>45472</v>
      </c>
      <c r="S331" s="10" t="s">
        <v>173</v>
      </c>
      <c r="T331" s="3" t="str">
        <f>IF(AND(ProtocolosKL[[#This Row],[STATUS]]="APROVADO",ProtocolosKL[[#This Row],[WAIVER]]=""),"Y","")</f>
        <v/>
      </c>
      <c r="U331" t="s">
        <v>2884</v>
      </c>
      <c r="V331" s="16" t="str">
        <f t="shared" si="5"/>
        <v>KJFYKIPOUSADA/ANA</v>
      </c>
    </row>
    <row r="332" spans="1:23" hidden="1">
      <c r="A332" s="1">
        <v>45471</v>
      </c>
      <c r="B332" t="s">
        <v>10</v>
      </c>
      <c r="C332" t="s">
        <v>1416</v>
      </c>
      <c r="D332" s="23" t="s">
        <v>2885</v>
      </c>
      <c r="E332" t="s">
        <v>73</v>
      </c>
      <c r="F332" s="19">
        <v>57564931</v>
      </c>
      <c r="G332" s="53">
        <v>744111268045</v>
      </c>
      <c r="H332" s="52">
        <v>55</v>
      </c>
      <c r="I332" s="5" t="s">
        <v>74</v>
      </c>
      <c r="J332" s="52" cm="1">
        <f t="array" ref="J332">IFERROR(_xlfn.IFS(AND(ProtocolosAF[[#This Row],[STATUS]]&lt;&gt;"APROVADO",ProtocolosAF[[#This Row],[STATUS]]&lt;&gt;"STANDBY",ProtocolosAF[[#This Row],[STATUS]]&lt;&gt;""),"-",ProtocolosAF[[#This Row],[% DESC]]&lt;&gt;"",ROUNDUP(ProtocolosAF[[#This Row],[% DESC]]*ProtocolosAF[[#This Row],[TARIFA ORIG MULTA SERVIÇO EUR]],0)),ProtocolosAF[[#This Row],[TARIFA ORIG MULTA SERVIÇO EUR]])</f>
        <v>230</v>
      </c>
      <c r="K332" s="15" t="s">
        <v>903</v>
      </c>
      <c r="L332" s="54" t="s">
        <v>172</v>
      </c>
      <c r="M332" t="s">
        <v>43</v>
      </c>
      <c r="N332" s="15" t="s">
        <v>65</v>
      </c>
      <c r="O332" s="5" t="s">
        <v>140</v>
      </c>
      <c r="P332" s="17"/>
      <c r="Q332" s="10" t="s">
        <v>1333</v>
      </c>
      <c r="R332" s="11">
        <v>45472</v>
      </c>
      <c r="S332" s="10" t="s">
        <v>173</v>
      </c>
      <c r="T332" s="3" t="str">
        <f>IF(AND(ProtocolosKL[[#This Row],[STATUS]]="APROVADO",ProtocolosKL[[#This Row],[WAIVER]]=""),"Y","")</f>
        <v/>
      </c>
      <c r="U332" t="s">
        <v>1419</v>
      </c>
      <c r="V332" s="16" t="str">
        <f t="shared" si="5"/>
        <v>NDJFVGPOUSADA/ISABELA</v>
      </c>
    </row>
    <row r="333" spans="1:23" hidden="1">
      <c r="A333" s="1">
        <v>45477</v>
      </c>
      <c r="B333" t="s">
        <v>14</v>
      </c>
      <c r="C333" t="s">
        <v>2886</v>
      </c>
      <c r="D333" s="23" t="s">
        <v>2887</v>
      </c>
      <c r="E333" t="s">
        <v>41</v>
      </c>
      <c r="F333" s="19">
        <v>57564931</v>
      </c>
      <c r="G333" s="53">
        <v>745820424122</v>
      </c>
      <c r="H333" s="52">
        <v>994</v>
      </c>
      <c r="I333" s="5">
        <v>0.1</v>
      </c>
      <c r="J333" s="52" cm="1">
        <f t="array" ref="J33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100</v>
      </c>
      <c r="K333" s="15" t="s">
        <v>1089</v>
      </c>
      <c r="L333" s="54" t="s">
        <v>172</v>
      </c>
      <c r="M333" t="s">
        <v>43</v>
      </c>
      <c r="N333" s="15" t="s">
        <v>1089</v>
      </c>
      <c r="O333" s="5" t="s">
        <v>167</v>
      </c>
      <c r="P333" s="17" t="s">
        <v>46</v>
      </c>
      <c r="Q333" s="74" t="s">
        <v>2888</v>
      </c>
      <c r="R333" s="11">
        <v>45478</v>
      </c>
      <c r="S333" s="10" t="s">
        <v>48</v>
      </c>
      <c r="T333" s="3" t="str">
        <f>IF(AND(ProtocolosKL[[#This Row],[STATUS]]="APROVADO",ProtocolosKL[[#This Row],[WAIVER]]=""),"Y","")</f>
        <v/>
      </c>
      <c r="U333" t="s">
        <v>2889</v>
      </c>
      <c r="V333" s="16" t="str">
        <f t="shared" si="5"/>
        <v>WXZUPUOLIVEIRA SOUZA ALMEIDA/ELIANE</v>
      </c>
      <c r="W333">
        <v>601</v>
      </c>
    </row>
    <row r="334" spans="1:23" hidden="1">
      <c r="A334" s="1">
        <v>45477</v>
      </c>
      <c r="B334" t="s">
        <v>14</v>
      </c>
      <c r="C334" t="s">
        <v>2890</v>
      </c>
      <c r="D334" s="23" t="s">
        <v>2891</v>
      </c>
      <c r="E334" t="s">
        <v>41</v>
      </c>
      <c r="F334" s="19">
        <v>57564931</v>
      </c>
      <c r="G334" s="53">
        <v>742041183678</v>
      </c>
      <c r="H334" s="52">
        <v>840</v>
      </c>
      <c r="I334" s="5">
        <v>0.06</v>
      </c>
      <c r="J334" s="52" cm="1">
        <f t="array" ref="J33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51</v>
      </c>
      <c r="K334" s="15" t="s">
        <v>1089</v>
      </c>
      <c r="L334" s="54" t="s">
        <v>172</v>
      </c>
      <c r="M334" t="s">
        <v>43</v>
      </c>
      <c r="N334" s="15" t="s">
        <v>1089</v>
      </c>
      <c r="O334" s="5" t="s">
        <v>167</v>
      </c>
      <c r="P334" s="17" t="s">
        <v>46</v>
      </c>
      <c r="Q334" s="10" t="s">
        <v>2888</v>
      </c>
      <c r="R334" s="11">
        <v>45478</v>
      </c>
      <c r="S334" s="10" t="s">
        <v>48</v>
      </c>
      <c r="T334" s="3" t="str">
        <f>IF(AND(ProtocolosKL[[#This Row],[STATUS]]="APROVADO",ProtocolosKL[[#This Row],[WAIVER]]=""),"Y","")</f>
        <v/>
      </c>
      <c r="U334" t="s">
        <v>2892</v>
      </c>
      <c r="V334" s="16" t="str">
        <f t="shared" si="5"/>
        <v>89P8XBDE ALMEIDA/MARCELO</v>
      </c>
      <c r="W334">
        <v>602</v>
      </c>
    </row>
    <row r="335" spans="1:23" hidden="1">
      <c r="A335" s="1">
        <v>45477</v>
      </c>
      <c r="B335" t="s">
        <v>10</v>
      </c>
      <c r="C335" t="s">
        <v>2893</v>
      </c>
      <c r="D335" s="23" t="s">
        <v>2893</v>
      </c>
      <c r="E335" t="s">
        <v>41</v>
      </c>
      <c r="F335" s="19"/>
      <c r="G335" s="53"/>
      <c r="H335" s="52">
        <v>831</v>
      </c>
      <c r="I335" s="5">
        <v>0.2</v>
      </c>
      <c r="J335" s="52" t="str" cm="1">
        <f t="array" ref="J33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35" s="15" t="s">
        <v>189</v>
      </c>
      <c r="L335" s="54" t="s">
        <v>76</v>
      </c>
      <c r="M335" t="s">
        <v>100</v>
      </c>
      <c r="N335" s="15" t="s">
        <v>65</v>
      </c>
      <c r="O335" s="5" t="s">
        <v>2894</v>
      </c>
      <c r="P335" s="17" t="s">
        <v>69</v>
      </c>
      <c r="Q335" s="10"/>
      <c r="R335" s="11"/>
      <c r="S335" s="10"/>
      <c r="T335" s="3" t="str">
        <f>IF(AND(ProtocolosKL[[#This Row],[STATUS]]="APROVADO",ProtocolosKL[[#This Row],[WAIVER]]=""),"Y","")</f>
        <v/>
      </c>
      <c r="U335" t="s">
        <v>2895</v>
      </c>
      <c r="V335" s="16" t="str">
        <f t="shared" si="5"/>
        <v xml:space="preserve">3QZJI8CIMINO/CARLA MRS </v>
      </c>
      <c r="W335">
        <v>603</v>
      </c>
    </row>
    <row r="336" spans="1:23" hidden="1">
      <c r="A336" s="1">
        <v>45477</v>
      </c>
      <c r="B336" t="s">
        <v>10</v>
      </c>
      <c r="C336" t="s">
        <v>2893</v>
      </c>
      <c r="D336" s="23" t="s">
        <v>2893</v>
      </c>
      <c r="E336" t="s">
        <v>41</v>
      </c>
      <c r="F336" s="19"/>
      <c r="G336" s="53"/>
      <c r="H336" s="52">
        <v>831</v>
      </c>
      <c r="I336" s="5">
        <v>0.2</v>
      </c>
      <c r="J336" s="52" t="str" cm="1">
        <f t="array" ref="J33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36" s="15" t="s">
        <v>189</v>
      </c>
      <c r="L336" s="54" t="s">
        <v>76</v>
      </c>
      <c r="M336" t="s">
        <v>100</v>
      </c>
      <c r="N336" s="15" t="s">
        <v>65</v>
      </c>
      <c r="O336" s="5" t="s">
        <v>2894</v>
      </c>
      <c r="P336" s="17" t="s">
        <v>69</v>
      </c>
      <c r="Q336" s="10"/>
      <c r="R336" s="11"/>
      <c r="S336" s="10"/>
      <c r="T336" s="3" t="str">
        <f>IF(AND(ProtocolosKL[[#This Row],[STATUS]]="APROVADO",ProtocolosKL[[#This Row],[WAIVER]]=""),"Y","")</f>
        <v/>
      </c>
      <c r="U336" t="s">
        <v>2896</v>
      </c>
      <c r="V336" s="16" t="str">
        <f t="shared" ref="V336:V392" si="6">_xlfn.CONCAT(C336,U336)</f>
        <v>3QZJI8CREDIDIO/GIULIANA MRS</v>
      </c>
      <c r="W336">
        <v>603</v>
      </c>
    </row>
    <row r="337" spans="1:23" hidden="1">
      <c r="A337" s="1">
        <v>45481</v>
      </c>
      <c r="B337" t="s">
        <v>11</v>
      </c>
      <c r="C337" t="s">
        <v>2897</v>
      </c>
      <c r="D337" s="23" t="s">
        <v>2897</v>
      </c>
      <c r="E337" t="s">
        <v>41</v>
      </c>
      <c r="F337" s="19"/>
      <c r="G337" s="53"/>
      <c r="H337" s="52">
        <v>2679</v>
      </c>
      <c r="I337" s="5">
        <v>0.1</v>
      </c>
      <c r="J337" s="52" t="str" cm="1">
        <f t="array" ref="J33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37" s="15" t="s">
        <v>846</v>
      </c>
      <c r="L337" s="54" t="s">
        <v>172</v>
      </c>
      <c r="M337" t="s">
        <v>100</v>
      </c>
      <c r="N337" s="15" t="s">
        <v>1458</v>
      </c>
      <c r="O337" s="5" t="s">
        <v>624</v>
      </c>
      <c r="P337" s="17" t="s">
        <v>46</v>
      </c>
      <c r="Q337" s="10"/>
      <c r="R337" s="11"/>
      <c r="S337" s="10"/>
      <c r="T337" s="3" t="str">
        <f>IF(AND(ProtocolosKL[[#This Row],[STATUS]]="APROVADO",ProtocolosKL[[#This Row],[WAIVER]]=""),"Y","")</f>
        <v/>
      </c>
      <c r="U337" t="s">
        <v>2898</v>
      </c>
      <c r="V337" s="16" t="str">
        <f t="shared" si="6"/>
        <v>3X5LM9ROHNELT CARRILHO/CECILIA</v>
      </c>
      <c r="W337">
        <v>608</v>
      </c>
    </row>
    <row r="338" spans="1:23" hidden="1">
      <c r="A338" s="1">
        <v>45481</v>
      </c>
      <c r="B338" t="s">
        <v>11</v>
      </c>
      <c r="C338" t="s">
        <v>2899</v>
      </c>
      <c r="D338" s="23" t="s">
        <v>2899</v>
      </c>
      <c r="E338" t="s">
        <v>41</v>
      </c>
      <c r="F338" s="19"/>
      <c r="G338" s="53"/>
      <c r="H338" s="52">
        <v>4319</v>
      </c>
      <c r="I338" s="5">
        <v>0.1</v>
      </c>
      <c r="J338" s="52" t="str" cm="1">
        <f t="array" ref="J33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38" s="15" t="s">
        <v>846</v>
      </c>
      <c r="L338" s="54" t="s">
        <v>172</v>
      </c>
      <c r="M338" t="s">
        <v>100</v>
      </c>
      <c r="N338" s="15" t="s">
        <v>1458</v>
      </c>
      <c r="O338" s="5" t="s">
        <v>624</v>
      </c>
      <c r="P338" s="17" t="s">
        <v>46</v>
      </c>
      <c r="Q338" s="10"/>
      <c r="R338" s="11"/>
      <c r="S338" s="10"/>
      <c r="T338" s="3" t="str">
        <f>IF(AND(ProtocolosKL[[#This Row],[STATUS]]="APROVADO",ProtocolosKL[[#This Row],[WAIVER]]=""),"Y","")</f>
        <v/>
      </c>
      <c r="U338" t="s">
        <v>2900</v>
      </c>
      <c r="V338" s="16" t="str">
        <f t="shared" si="6"/>
        <v>3X5X8YGOMES CARRILHO/LUCIANO</v>
      </c>
      <c r="W338">
        <v>609</v>
      </c>
    </row>
    <row r="339" spans="1:23" hidden="1">
      <c r="A339" s="1">
        <v>45484</v>
      </c>
      <c r="B339" t="s">
        <v>11</v>
      </c>
      <c r="C339" t="s">
        <v>2901</v>
      </c>
      <c r="D339" s="23" t="s">
        <v>2902</v>
      </c>
      <c r="E339" t="s">
        <v>512</v>
      </c>
      <c r="F339" s="19">
        <v>57564931</v>
      </c>
      <c r="G339" s="53">
        <v>745820459789</v>
      </c>
      <c r="H339" s="52">
        <v>185</v>
      </c>
      <c r="I339" s="5" t="s">
        <v>74</v>
      </c>
      <c r="J339" s="52" cm="1">
        <f t="array" ref="J33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185</v>
      </c>
      <c r="K339" s="15" t="s">
        <v>1317</v>
      </c>
      <c r="L339" s="54" t="s">
        <v>529</v>
      </c>
      <c r="M339" t="s">
        <v>43</v>
      </c>
      <c r="N339" s="15" t="s">
        <v>1458</v>
      </c>
      <c r="O339" s="5" t="s">
        <v>1893</v>
      </c>
      <c r="P339" s="17" t="s">
        <v>69</v>
      </c>
      <c r="Q339" s="10" t="s">
        <v>2159</v>
      </c>
      <c r="R339" s="11">
        <v>45485</v>
      </c>
      <c r="S339" s="10" t="s">
        <v>2903</v>
      </c>
      <c r="T339" s="3" t="str">
        <f>IF(AND(ProtocolosKL[[#This Row],[STATUS]]="APROVADO",ProtocolosKL[[#This Row],[WAIVER]]=""),"Y","")</f>
        <v/>
      </c>
      <c r="U339" t="s">
        <v>2904</v>
      </c>
      <c r="V339" s="16" t="str">
        <f t="shared" si="6"/>
        <v>IMYEUUTERRANOVA/ANDREA</v>
      </c>
      <c r="W339">
        <v>613</v>
      </c>
    </row>
    <row r="340" spans="1:23" hidden="1">
      <c r="A340" s="1">
        <v>45490</v>
      </c>
      <c r="B340" t="s">
        <v>16</v>
      </c>
      <c r="C340" t="s">
        <v>2905</v>
      </c>
      <c r="D340" s="23" t="s">
        <v>2905</v>
      </c>
      <c r="E340" t="s">
        <v>41</v>
      </c>
      <c r="F340" s="19">
        <v>57564931</v>
      </c>
      <c r="G340" s="53">
        <v>743046372791</v>
      </c>
      <c r="H340" s="52">
        <v>3620</v>
      </c>
      <c r="I340" s="5">
        <v>0.15</v>
      </c>
      <c r="J340" s="52" cm="1">
        <f t="array" ref="J34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543</v>
      </c>
      <c r="K340" s="15" t="s">
        <v>1670</v>
      </c>
      <c r="L340" s="54" t="s">
        <v>76</v>
      </c>
      <c r="M340" t="s">
        <v>43</v>
      </c>
      <c r="N340" s="15" t="s">
        <v>1012</v>
      </c>
      <c r="O340" s="5" t="s">
        <v>640</v>
      </c>
      <c r="P340" s="17" t="s">
        <v>69</v>
      </c>
      <c r="Q340" s="10" t="s">
        <v>2906</v>
      </c>
      <c r="R340" s="11">
        <v>45490</v>
      </c>
      <c r="S340" s="10" t="s">
        <v>48</v>
      </c>
      <c r="T340" s="3" t="str">
        <f>IF(AND(ProtocolosKL[[#This Row],[STATUS]]="APROVADO",ProtocolosKL[[#This Row],[WAIVER]]=""),"Y","")</f>
        <v/>
      </c>
      <c r="U340" t="s">
        <v>2907</v>
      </c>
      <c r="V340" s="16" t="str">
        <f t="shared" si="6"/>
        <v>2QITHDCARRARA/RODOLFO MR</v>
      </c>
      <c r="W340">
        <v>620</v>
      </c>
    </row>
    <row r="341" spans="1:23" hidden="1">
      <c r="A341" s="1">
        <v>45490</v>
      </c>
      <c r="B341" t="s">
        <v>16</v>
      </c>
      <c r="C341" t="s">
        <v>2905</v>
      </c>
      <c r="D341" s="23" t="s">
        <v>2905</v>
      </c>
      <c r="E341" t="s">
        <v>73</v>
      </c>
      <c r="F341" s="19">
        <v>57490484</v>
      </c>
      <c r="G341" s="53">
        <v>744111268309</v>
      </c>
      <c r="H341" s="52">
        <v>310.04000000000002</v>
      </c>
      <c r="I341" s="5" t="s">
        <v>74</v>
      </c>
      <c r="J341" s="52" cm="1">
        <f t="array" ref="J34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310.04000000000002</v>
      </c>
      <c r="K341" s="15" t="s">
        <v>1670</v>
      </c>
      <c r="L341" s="54" t="s">
        <v>172</v>
      </c>
      <c r="M341" t="s">
        <v>43</v>
      </c>
      <c r="N341" s="15" t="s">
        <v>1012</v>
      </c>
      <c r="O341" s="5" t="s">
        <v>640</v>
      </c>
      <c r="P341" s="17" t="s">
        <v>46</v>
      </c>
      <c r="Q341" s="10"/>
      <c r="R341" s="11">
        <v>45491</v>
      </c>
      <c r="S341" s="10" t="s">
        <v>1517</v>
      </c>
      <c r="T341" s="3" t="str">
        <f>IF(AND(ProtocolosKL[[#This Row],[STATUS]]="APROVADO",ProtocolosKL[[#This Row],[WAIVER]]=""),"Y","")</f>
        <v/>
      </c>
      <c r="U341" t="s">
        <v>2907</v>
      </c>
      <c r="V341" s="16" t="str">
        <f t="shared" si="6"/>
        <v>2QITHDCARRARA/RODOLFO MR</v>
      </c>
      <c r="W341">
        <v>621</v>
      </c>
    </row>
    <row r="342" spans="1:23" hidden="1">
      <c r="A342" s="1">
        <v>45495</v>
      </c>
      <c r="B342" t="s">
        <v>16</v>
      </c>
      <c r="C342" t="s">
        <v>2908</v>
      </c>
      <c r="D342" s="23" t="s">
        <v>2908</v>
      </c>
      <c r="E342" t="s">
        <v>41</v>
      </c>
      <c r="F342" s="19">
        <v>57564931</v>
      </c>
      <c r="G342" s="53">
        <v>743046401363</v>
      </c>
      <c r="H342" s="52">
        <v>4291</v>
      </c>
      <c r="I342" s="5">
        <v>0.1</v>
      </c>
      <c r="J342" s="52" cm="1">
        <f t="array" ref="J34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430</v>
      </c>
      <c r="K342" s="15" t="s">
        <v>1670</v>
      </c>
      <c r="L342" s="54" t="s">
        <v>76</v>
      </c>
      <c r="M342" t="s">
        <v>43</v>
      </c>
      <c r="N342" s="15" t="s">
        <v>1012</v>
      </c>
      <c r="O342" s="5" t="s">
        <v>640</v>
      </c>
      <c r="P342" s="17" t="s">
        <v>69</v>
      </c>
      <c r="Q342" s="10" t="s">
        <v>2909</v>
      </c>
      <c r="R342" s="11">
        <v>45495</v>
      </c>
      <c r="S342" s="10" t="s">
        <v>48</v>
      </c>
      <c r="T342" s="3" t="str">
        <f>IF(AND(ProtocolosKL[[#This Row],[STATUS]]="APROVADO",ProtocolosKL[[#This Row],[WAIVER]]=""),"Y","")</f>
        <v/>
      </c>
      <c r="U342" t="s">
        <v>2910</v>
      </c>
      <c r="V342" s="16" t="str">
        <f t="shared" si="6"/>
        <v>399AN4TAKIYAMA/BRENO NORIO MR</v>
      </c>
      <c r="W342">
        <v>625</v>
      </c>
    </row>
    <row r="343" spans="1:23" hidden="1">
      <c r="A343" s="1">
        <v>45498</v>
      </c>
      <c r="B343" t="s">
        <v>10</v>
      </c>
      <c r="C343" t="s">
        <v>2911</v>
      </c>
      <c r="D343" s="23" t="s">
        <v>2911</v>
      </c>
      <c r="E343" t="s">
        <v>41</v>
      </c>
      <c r="F343" s="19">
        <v>57564931</v>
      </c>
      <c r="G343" s="53">
        <v>743046427114</v>
      </c>
      <c r="H343" s="52">
        <v>1258</v>
      </c>
      <c r="I343" s="5">
        <v>0.15</v>
      </c>
      <c r="J343" s="52" cm="1">
        <f t="array" ref="J34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189</v>
      </c>
      <c r="K343" s="15" t="s">
        <v>2876</v>
      </c>
      <c r="L343" s="54" t="s">
        <v>76</v>
      </c>
      <c r="M343" t="s">
        <v>43</v>
      </c>
      <c r="N343" s="15" t="s">
        <v>65</v>
      </c>
      <c r="O343" s="5" t="s">
        <v>886</v>
      </c>
      <c r="P343" s="17" t="s">
        <v>69</v>
      </c>
      <c r="Q343" s="10" t="s">
        <v>2912</v>
      </c>
      <c r="R343" s="11">
        <v>45499</v>
      </c>
      <c r="S343" s="10" t="s">
        <v>48</v>
      </c>
      <c r="T343" s="3" t="str">
        <f>IF(AND(ProtocolosKL[[#This Row],[STATUS]]="APROVADO",ProtocolosKL[[#This Row],[WAIVER]]=""),"Y","")</f>
        <v/>
      </c>
      <c r="U343" t="s">
        <v>2913</v>
      </c>
      <c r="V343" s="16" t="str">
        <f t="shared" si="6"/>
        <v>4ADSG5BELCHIOR TORRES/RICARDO MR</v>
      </c>
      <c r="W343">
        <v>627</v>
      </c>
    </row>
    <row r="344" spans="1:23" hidden="1">
      <c r="A344" s="1">
        <v>45502</v>
      </c>
      <c r="B344" t="s">
        <v>15</v>
      </c>
      <c r="C344" t="s">
        <v>2914</v>
      </c>
      <c r="D344" s="23" t="s">
        <v>2914</v>
      </c>
      <c r="E344" t="s">
        <v>512</v>
      </c>
      <c r="F344" s="19">
        <v>57564931</v>
      </c>
      <c r="G344" s="53">
        <v>743046442789</v>
      </c>
      <c r="H344" s="52">
        <v>185</v>
      </c>
      <c r="I344" s="5" t="s">
        <v>74</v>
      </c>
      <c r="J344" s="52" cm="1">
        <f t="array" ref="J34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185</v>
      </c>
      <c r="K344" s="15" t="s">
        <v>1155</v>
      </c>
      <c r="L344" s="54" t="s">
        <v>172</v>
      </c>
      <c r="M344" t="s">
        <v>43</v>
      </c>
      <c r="N344" s="15" t="s">
        <v>1155</v>
      </c>
      <c r="O344" s="5" t="s">
        <v>1192</v>
      </c>
      <c r="P344" s="17" t="s">
        <v>146</v>
      </c>
      <c r="Q344" s="10" t="s">
        <v>79</v>
      </c>
      <c r="R344" s="11">
        <v>45502</v>
      </c>
      <c r="S344" s="10" t="s">
        <v>2915</v>
      </c>
      <c r="T344" s="3" t="str">
        <f>IF(AND(ProtocolosKL[[#This Row],[STATUS]]="APROVADO",ProtocolosKL[[#This Row],[WAIVER]]=""),"Y","")</f>
        <v/>
      </c>
      <c r="U344" t="s">
        <v>2916</v>
      </c>
      <c r="V344" s="16" t="str">
        <f t="shared" si="6"/>
        <v>4YJYOFFERREIRA/GERALDINO</v>
      </c>
      <c r="W344">
        <v>628</v>
      </c>
    </row>
    <row r="345" spans="1:23" hidden="1">
      <c r="A345" s="1">
        <v>45502</v>
      </c>
      <c r="B345" t="s">
        <v>10</v>
      </c>
      <c r="C345" t="s">
        <v>2917</v>
      </c>
      <c r="D345" s="23" t="s">
        <v>2917</v>
      </c>
      <c r="E345" t="s">
        <v>41</v>
      </c>
      <c r="F345" s="19">
        <v>57564931</v>
      </c>
      <c r="G345" s="53">
        <v>743046442868</v>
      </c>
      <c r="H345" s="52">
        <v>912</v>
      </c>
      <c r="I345" s="5">
        <v>0.08</v>
      </c>
      <c r="J345" s="52" cm="1">
        <f t="array" ref="J34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73</v>
      </c>
      <c r="K345" s="15" t="s">
        <v>105</v>
      </c>
      <c r="L345" s="54" t="s">
        <v>66</v>
      </c>
      <c r="M345" t="s">
        <v>43</v>
      </c>
      <c r="N345" s="15" t="s">
        <v>65</v>
      </c>
      <c r="O345" s="5" t="s">
        <v>160</v>
      </c>
      <c r="P345" s="17" t="s">
        <v>46</v>
      </c>
      <c r="Q345" s="10" t="s">
        <v>1418</v>
      </c>
      <c r="R345" s="11">
        <v>45503</v>
      </c>
      <c r="S345" s="10" t="s">
        <v>48</v>
      </c>
      <c r="T345" s="3" t="str">
        <f>IF(AND(ProtocolosKL[[#This Row],[STATUS]]="APROVADO",ProtocolosKL[[#This Row],[WAIVER]]=""),"Y","")</f>
        <v/>
      </c>
      <c r="U345" t="s">
        <v>2918</v>
      </c>
      <c r="V345" s="16" t="str">
        <f t="shared" si="6"/>
        <v>4Y66X4LONGARCO/CARLOS EDUARDO</v>
      </c>
      <c r="W345">
        <v>629</v>
      </c>
    </row>
    <row r="346" spans="1:23" hidden="1">
      <c r="A346" s="1">
        <v>45502</v>
      </c>
      <c r="B346" t="s">
        <v>10</v>
      </c>
      <c r="C346" t="s">
        <v>2919</v>
      </c>
      <c r="D346" t="s">
        <v>2919</v>
      </c>
      <c r="E346" t="s">
        <v>41</v>
      </c>
      <c r="F346" s="19">
        <v>57564931</v>
      </c>
      <c r="G346" s="53">
        <v>743046444919</v>
      </c>
      <c r="H346" s="52">
        <v>912</v>
      </c>
      <c r="I346" s="5">
        <v>0.08</v>
      </c>
      <c r="J346" s="52" cm="1">
        <f t="array" ref="J34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73</v>
      </c>
      <c r="K346" s="15" t="s">
        <v>105</v>
      </c>
      <c r="L346" s="54" t="s">
        <v>66</v>
      </c>
      <c r="M346" t="s">
        <v>43</v>
      </c>
      <c r="N346" s="15" t="s">
        <v>65</v>
      </c>
      <c r="O346" s="5" t="s">
        <v>160</v>
      </c>
      <c r="P346" s="17" t="s">
        <v>46</v>
      </c>
      <c r="Q346" s="10" t="s">
        <v>1418</v>
      </c>
      <c r="R346" s="11">
        <v>45503</v>
      </c>
      <c r="S346" s="10" t="s">
        <v>48</v>
      </c>
      <c r="T346" s="3" t="str">
        <f>IF(AND(ProtocolosKL[[#This Row],[STATUS]]="APROVADO",ProtocolosKL[[#This Row],[WAIVER]]=""),"Y","")</f>
        <v/>
      </c>
      <c r="U346" t="s">
        <v>2920</v>
      </c>
      <c r="V346" s="16" t="str">
        <f t="shared" si="6"/>
        <v>4Y6YXXRABELO LONGARCO/LORENZO</v>
      </c>
      <c r="W346">
        <v>630</v>
      </c>
    </row>
    <row r="347" spans="1:23" hidden="1">
      <c r="A347" s="1">
        <v>45509</v>
      </c>
      <c r="B347" t="s">
        <v>10</v>
      </c>
      <c r="C347" t="s">
        <v>2921</v>
      </c>
      <c r="D347" t="s">
        <v>2922</v>
      </c>
      <c r="E347" t="s">
        <v>41</v>
      </c>
      <c r="F347" s="19"/>
      <c r="G347" s="53"/>
      <c r="H347" s="52">
        <v>848.73</v>
      </c>
      <c r="I347" s="5">
        <v>0.1</v>
      </c>
      <c r="J347" s="52" t="str" cm="1">
        <f t="array" ref="J34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47" s="15" t="s">
        <v>336</v>
      </c>
      <c r="L347" s="54" t="s">
        <v>76</v>
      </c>
      <c r="M347" t="s">
        <v>100</v>
      </c>
      <c r="N347" s="15" t="s">
        <v>65</v>
      </c>
      <c r="O347" s="5" t="s">
        <v>221</v>
      </c>
      <c r="P347" s="17" t="s">
        <v>46</v>
      </c>
      <c r="Q347" s="10"/>
      <c r="R347" s="11"/>
      <c r="S347" s="10"/>
      <c r="T347" s="3" t="str">
        <f>IF(AND(ProtocolosKL[[#This Row],[STATUS]]="APROVADO",ProtocolosKL[[#This Row],[WAIVER]]=""),"Y","")</f>
        <v/>
      </c>
      <c r="U347" t="s">
        <v>2923</v>
      </c>
      <c r="V347" s="16" t="str">
        <f t="shared" si="6"/>
        <v>MIPDFXTERMINI/LARA</v>
      </c>
      <c r="W347">
        <v>642</v>
      </c>
    </row>
    <row r="348" spans="1:23" hidden="1">
      <c r="A348" s="1">
        <v>45512</v>
      </c>
      <c r="B348" t="s">
        <v>14</v>
      </c>
      <c r="C348" t="s">
        <v>2924</v>
      </c>
      <c r="D348" s="23" t="s">
        <v>2925</v>
      </c>
      <c r="E348" t="s">
        <v>41</v>
      </c>
      <c r="F348" s="19"/>
      <c r="G348" s="53"/>
      <c r="H348" s="52">
        <v>4207</v>
      </c>
      <c r="I348" s="5">
        <v>0.04</v>
      </c>
      <c r="J348" s="52" t="str" cm="1">
        <f t="array" ref="J34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48" s="15" t="s">
        <v>1089</v>
      </c>
      <c r="L348" s="54" t="s">
        <v>66</v>
      </c>
      <c r="M348" t="s">
        <v>100</v>
      </c>
      <c r="N348" s="15" t="s">
        <v>1089</v>
      </c>
      <c r="O348" s="5" t="s">
        <v>160</v>
      </c>
      <c r="P348" s="17" t="s">
        <v>255</v>
      </c>
      <c r="Q348" s="10"/>
      <c r="R348" s="11"/>
      <c r="S348" s="10"/>
      <c r="T348" s="3" t="str">
        <f>IF(AND(ProtocolosKL[[#This Row],[STATUS]]="APROVADO",ProtocolosKL[[#This Row],[WAIVER]]=""),"Y","")</f>
        <v/>
      </c>
      <c r="U348" t="s">
        <v>1386</v>
      </c>
      <c r="V348" s="16" t="str">
        <f t="shared" si="6"/>
        <v>MPDKNFDEUCHER NETO/GUILHERME PAULO</v>
      </c>
      <c r="W348">
        <v>648</v>
      </c>
    </row>
    <row r="349" spans="1:23" hidden="1">
      <c r="A349" s="1">
        <v>45516</v>
      </c>
      <c r="B349" t="s">
        <v>13</v>
      </c>
      <c r="C349" t="s">
        <v>2926</v>
      </c>
      <c r="D349" s="23" t="s">
        <v>2927</v>
      </c>
      <c r="E349" t="s">
        <v>41</v>
      </c>
      <c r="F349" s="19">
        <v>57564931</v>
      </c>
      <c r="G349" s="53">
        <v>745820657413</v>
      </c>
      <c r="H349" s="52">
        <v>456</v>
      </c>
      <c r="I349" s="5">
        <v>0.15</v>
      </c>
      <c r="J349" s="52" cm="1">
        <f t="array" ref="J34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69</v>
      </c>
      <c r="K349" s="15" t="s">
        <v>1464</v>
      </c>
      <c r="L349" s="54" t="s">
        <v>76</v>
      </c>
      <c r="M349" t="s">
        <v>43</v>
      </c>
      <c r="N349" s="15" t="s">
        <v>151</v>
      </c>
      <c r="O349" s="5" t="s">
        <v>417</v>
      </c>
      <c r="P349" s="17" t="s">
        <v>46</v>
      </c>
      <c r="Q349" s="10" t="s">
        <v>168</v>
      </c>
      <c r="R349" s="11">
        <v>45517</v>
      </c>
      <c r="S349" s="10" t="s">
        <v>48</v>
      </c>
      <c r="T349" s="3" t="str">
        <f>IF(AND(ProtocolosKL[[#This Row],[STATUS]]="APROVADO",ProtocolosKL[[#This Row],[WAIVER]]=""),"Y","")</f>
        <v/>
      </c>
      <c r="U349" t="s">
        <v>2928</v>
      </c>
      <c r="V349" s="16" t="str">
        <f t="shared" si="6"/>
        <v>YJCYWHDIETRICH/ROSELEIDE</v>
      </c>
      <c r="W349">
        <v>659</v>
      </c>
    </row>
    <row r="350" spans="1:23" hidden="1">
      <c r="A350" s="1">
        <v>45516</v>
      </c>
      <c r="B350" t="s">
        <v>13</v>
      </c>
      <c r="C350" t="s">
        <v>2929</v>
      </c>
      <c r="D350" s="23" t="s">
        <v>2930</v>
      </c>
      <c r="E350" t="s">
        <v>41</v>
      </c>
      <c r="F350" s="19">
        <v>57564931</v>
      </c>
      <c r="G350" s="53">
        <v>745820657385</v>
      </c>
      <c r="H350" s="52">
        <v>456</v>
      </c>
      <c r="I350" s="5">
        <v>0.15</v>
      </c>
      <c r="J350" s="52" cm="1">
        <f t="array" ref="J35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69</v>
      </c>
      <c r="K350" s="15" t="s">
        <v>1464</v>
      </c>
      <c r="L350" s="54" t="s">
        <v>66</v>
      </c>
      <c r="M350" t="s">
        <v>43</v>
      </c>
      <c r="N350" s="15" t="s">
        <v>151</v>
      </c>
      <c r="O350" s="5" t="s">
        <v>417</v>
      </c>
      <c r="P350" s="17" t="s">
        <v>46</v>
      </c>
      <c r="Q350" s="10" t="s">
        <v>168</v>
      </c>
      <c r="R350" s="11">
        <v>45517</v>
      </c>
      <c r="S350" s="10" t="s">
        <v>48</v>
      </c>
      <c r="T350" s="3" t="str">
        <f>IF(AND(ProtocolosKL[[#This Row],[STATUS]]="APROVADO",ProtocolosKL[[#This Row],[WAIVER]]=""),"Y","")</f>
        <v/>
      </c>
      <c r="U350" t="s">
        <v>2931</v>
      </c>
      <c r="V350" s="16" t="str">
        <f t="shared" si="6"/>
        <v>YLADNGCAMPOS/JULIA</v>
      </c>
      <c r="W350">
        <v>660</v>
      </c>
    </row>
    <row r="351" spans="1:23" hidden="1">
      <c r="A351" s="1">
        <v>45520</v>
      </c>
      <c r="B351" t="s">
        <v>13</v>
      </c>
      <c r="C351" t="s">
        <v>2932</v>
      </c>
      <c r="D351" s="23" t="s">
        <v>2933</v>
      </c>
      <c r="E351" t="s">
        <v>41</v>
      </c>
      <c r="F351" s="19"/>
      <c r="G351" s="53"/>
      <c r="H351" s="52">
        <v>953</v>
      </c>
      <c r="I351" s="5">
        <v>0.06</v>
      </c>
      <c r="J351" s="52" t="str" cm="1">
        <f t="array" ref="J35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51" s="15" t="s">
        <v>2934</v>
      </c>
      <c r="L351" s="54" t="s">
        <v>66</v>
      </c>
      <c r="M351" t="s">
        <v>100</v>
      </c>
      <c r="N351" s="15" t="s">
        <v>151</v>
      </c>
      <c r="O351" s="5" t="s">
        <v>1539</v>
      </c>
      <c r="P351" s="17" t="s">
        <v>146</v>
      </c>
      <c r="Q351" s="10"/>
      <c r="R351" s="11"/>
      <c r="S351" s="10"/>
      <c r="T351" s="3" t="str">
        <f>IF(AND(ProtocolosKL[[#This Row],[STATUS]]="APROVADO",ProtocolosKL[[#This Row],[WAIVER]]=""),"Y","")</f>
        <v/>
      </c>
      <c r="U351" t="s">
        <v>2935</v>
      </c>
      <c r="V351" s="16" t="str">
        <f t="shared" si="6"/>
        <v>EHYQUSDINIZ LAGE/NATALIA</v>
      </c>
      <c r="W351">
        <v>663</v>
      </c>
    </row>
    <row r="352" spans="1:23" hidden="1">
      <c r="A352" s="1">
        <v>45525</v>
      </c>
      <c r="B352" t="s">
        <v>14</v>
      </c>
      <c r="C352" t="s">
        <v>2936</v>
      </c>
      <c r="D352" s="23" t="s">
        <v>2936</v>
      </c>
      <c r="E352" t="s">
        <v>41</v>
      </c>
      <c r="F352" s="19"/>
      <c r="G352" s="53"/>
      <c r="H352" s="52">
        <v>1119</v>
      </c>
      <c r="I352" s="5">
        <v>0.11</v>
      </c>
      <c r="J352" s="52" t="str" cm="1">
        <f t="array" ref="J35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52" s="15" t="s">
        <v>1089</v>
      </c>
      <c r="L352" s="54" t="s">
        <v>76</v>
      </c>
      <c r="M352" t="s">
        <v>100</v>
      </c>
      <c r="N352" s="15" t="s">
        <v>1089</v>
      </c>
      <c r="O352" s="5" t="s">
        <v>160</v>
      </c>
      <c r="P352" s="17" t="s">
        <v>69</v>
      </c>
      <c r="Q352" s="10"/>
      <c r="R352" s="11"/>
      <c r="S352" s="10"/>
      <c r="T352" s="3" t="str">
        <f>IF(AND(ProtocolosKL[[#This Row],[STATUS]]="APROVADO",ProtocolosKL[[#This Row],[WAIVER]]=""),"Y","")</f>
        <v/>
      </c>
      <c r="U352" t="s">
        <v>2937</v>
      </c>
      <c r="V352" s="16" t="str">
        <f t="shared" si="6"/>
        <v>2SWVMCBRAGANHOLO LEAL/BRUNO</v>
      </c>
      <c r="W352">
        <v>668</v>
      </c>
    </row>
    <row r="353" spans="1:23" hidden="1">
      <c r="A353" s="1">
        <v>45525</v>
      </c>
      <c r="B353" t="s">
        <v>14</v>
      </c>
      <c r="C353" t="s">
        <v>2936</v>
      </c>
      <c r="D353" s="23" t="s">
        <v>2936</v>
      </c>
      <c r="E353" t="s">
        <v>41</v>
      </c>
      <c r="F353" s="19"/>
      <c r="G353" s="53"/>
      <c r="H353" s="52">
        <v>1119</v>
      </c>
      <c r="I353" s="5">
        <v>0.11</v>
      </c>
      <c r="J353" s="52" t="str" cm="1">
        <f t="array" ref="J35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53" s="15" t="s">
        <v>1089</v>
      </c>
      <c r="L353" s="54" t="s">
        <v>76</v>
      </c>
      <c r="M353" t="s">
        <v>100</v>
      </c>
      <c r="N353" s="15" t="s">
        <v>1089</v>
      </c>
      <c r="O353" s="5" t="s">
        <v>160</v>
      </c>
      <c r="P353" s="17" t="s">
        <v>69</v>
      </c>
      <c r="Q353" s="10"/>
      <c r="R353" s="11"/>
      <c r="S353" s="10"/>
      <c r="T353" s="3" t="str">
        <f>IF(AND(ProtocolosKL[[#This Row],[STATUS]]="APROVADO",ProtocolosKL[[#This Row],[WAIVER]]=""),"Y","")</f>
        <v/>
      </c>
      <c r="U353" t="s">
        <v>2938</v>
      </c>
      <c r="V353" s="16" t="str">
        <f t="shared" si="6"/>
        <v>2SWVMCSILVA/JAMES</v>
      </c>
      <c r="W353">
        <v>668</v>
      </c>
    </row>
    <row r="354" spans="1:23" hidden="1">
      <c r="A354" s="1">
        <v>45525</v>
      </c>
      <c r="B354" t="s">
        <v>13</v>
      </c>
      <c r="C354" t="s">
        <v>2939</v>
      </c>
      <c r="D354" s="23" t="s">
        <v>2940</v>
      </c>
      <c r="E354" t="s">
        <v>41</v>
      </c>
      <c r="F354" s="19"/>
      <c r="G354" s="53"/>
      <c r="H354" s="52">
        <v>2842</v>
      </c>
      <c r="I354" s="5">
        <v>0.08</v>
      </c>
      <c r="J354" s="52" t="str" cm="1">
        <f t="array" ref="J35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54" s="15" t="s">
        <v>1096</v>
      </c>
      <c r="L354" s="54" t="s">
        <v>2941</v>
      </c>
      <c r="M354" t="s">
        <v>100</v>
      </c>
      <c r="N354" s="15" t="s">
        <v>1096</v>
      </c>
      <c r="O354" s="5" t="s">
        <v>443</v>
      </c>
      <c r="P354" s="17" t="s">
        <v>503</v>
      </c>
      <c r="Q354" s="10"/>
      <c r="R354" s="11"/>
      <c r="S354" s="10"/>
      <c r="T354" s="3" t="str">
        <f>IF(AND(ProtocolosKL[[#This Row],[STATUS]]="APROVADO",ProtocolosKL[[#This Row],[WAIVER]]=""),"Y","")</f>
        <v/>
      </c>
      <c r="U354" t="s">
        <v>2942</v>
      </c>
      <c r="V354" s="16" t="str">
        <f t="shared" si="6"/>
        <v>CLHPMEOLIVEIRA/RENATA</v>
      </c>
    </row>
    <row r="355" spans="1:23" hidden="1">
      <c r="A355" s="1">
        <v>45525</v>
      </c>
      <c r="B355" t="s">
        <v>13</v>
      </c>
      <c r="C355" t="s">
        <v>2939</v>
      </c>
      <c r="D355" s="23" t="s">
        <v>2940</v>
      </c>
      <c r="E355" t="s">
        <v>41</v>
      </c>
      <c r="F355" s="19"/>
      <c r="G355" s="53"/>
      <c r="H355" s="52">
        <v>2842</v>
      </c>
      <c r="I355" s="5">
        <v>0.08</v>
      </c>
      <c r="J355" s="52" t="str" cm="1">
        <f t="array" ref="J35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55" s="15" t="s">
        <v>1096</v>
      </c>
      <c r="L355" s="54" t="s">
        <v>2941</v>
      </c>
      <c r="M355" t="s">
        <v>100</v>
      </c>
      <c r="N355" s="15" t="s">
        <v>1096</v>
      </c>
      <c r="O355" s="5" t="s">
        <v>443</v>
      </c>
      <c r="P355" s="17" t="s">
        <v>503</v>
      </c>
      <c r="Q355" s="10"/>
      <c r="R355" s="11"/>
      <c r="S355" s="10"/>
      <c r="T355" s="3" t="str">
        <f>IF(AND(ProtocolosKL[[#This Row],[STATUS]]="APROVADO",ProtocolosKL[[#This Row],[WAIVER]]=""),"Y","")</f>
        <v/>
      </c>
      <c r="U355" t="s">
        <v>1680</v>
      </c>
      <c r="V355" s="16" t="str">
        <f t="shared" si="6"/>
        <v>CLHPMEOLIVEIRA/CLAUDIO EDUARDO</v>
      </c>
    </row>
    <row r="356" spans="1:23" hidden="1">
      <c r="A356" s="1">
        <v>45525</v>
      </c>
      <c r="B356" t="s">
        <v>13</v>
      </c>
      <c r="C356" t="s">
        <v>2939</v>
      </c>
      <c r="D356" s="23" t="s">
        <v>2940</v>
      </c>
      <c r="E356" t="s">
        <v>41</v>
      </c>
      <c r="F356" s="19"/>
      <c r="G356" s="53"/>
      <c r="H356" s="52">
        <v>2842</v>
      </c>
      <c r="I356" s="5">
        <v>0.08</v>
      </c>
      <c r="J356" s="52" t="str" cm="1">
        <f t="array" ref="J35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56" s="15" t="s">
        <v>1096</v>
      </c>
      <c r="L356" s="54" t="s">
        <v>2941</v>
      </c>
      <c r="M356" t="s">
        <v>100</v>
      </c>
      <c r="N356" s="15" t="s">
        <v>1096</v>
      </c>
      <c r="O356" s="5" t="s">
        <v>443</v>
      </c>
      <c r="P356" s="17" t="s">
        <v>503</v>
      </c>
      <c r="Q356" s="10"/>
      <c r="R356" s="11"/>
      <c r="S356" s="10"/>
      <c r="T356" s="3" t="str">
        <f>IF(AND(ProtocolosKL[[#This Row],[STATUS]]="APROVADO",ProtocolosKL[[#This Row],[WAIVER]]=""),"Y","")</f>
        <v/>
      </c>
      <c r="U356" t="s">
        <v>2943</v>
      </c>
      <c r="V356" s="16" t="str">
        <f t="shared" si="6"/>
        <v>CLHPMEOLIVEIRA/LETICIA</v>
      </c>
    </row>
    <row r="357" spans="1:23" hidden="1">
      <c r="A357" s="1">
        <v>45525</v>
      </c>
      <c r="B357" t="s">
        <v>13</v>
      </c>
      <c r="C357" t="s">
        <v>2939</v>
      </c>
      <c r="D357" s="23" t="s">
        <v>2940</v>
      </c>
      <c r="E357" t="s">
        <v>41</v>
      </c>
      <c r="F357" s="19"/>
      <c r="G357" s="53"/>
      <c r="H357" s="52">
        <v>2842</v>
      </c>
      <c r="I357" s="5">
        <v>0.08</v>
      </c>
      <c r="J357" s="52" t="str" cm="1">
        <f t="array" ref="J35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57" s="15" t="s">
        <v>1096</v>
      </c>
      <c r="L357" s="54" t="s">
        <v>2941</v>
      </c>
      <c r="M357" t="s">
        <v>100</v>
      </c>
      <c r="N357" s="15" t="s">
        <v>1096</v>
      </c>
      <c r="O357" s="5" t="s">
        <v>443</v>
      </c>
      <c r="P357" s="17" t="s">
        <v>503</v>
      </c>
      <c r="Q357" s="10"/>
      <c r="R357" s="11"/>
      <c r="S357" s="10"/>
      <c r="T357" s="3" t="str">
        <f>IF(AND(ProtocolosKL[[#This Row],[STATUS]]="APROVADO",ProtocolosKL[[#This Row],[WAIVER]]=""),"Y","")</f>
        <v/>
      </c>
      <c r="U357" t="s">
        <v>2944</v>
      </c>
      <c r="V357" s="16" t="str">
        <f t="shared" si="6"/>
        <v>CLHPMECARVALHO/JOSE RENATO</v>
      </c>
    </row>
    <row r="358" spans="1:23" hidden="1">
      <c r="A358" s="1">
        <v>45525</v>
      </c>
      <c r="B358" t="s">
        <v>13</v>
      </c>
      <c r="C358" t="s">
        <v>2939</v>
      </c>
      <c r="D358" s="23" t="s">
        <v>2940</v>
      </c>
      <c r="E358" t="s">
        <v>41</v>
      </c>
      <c r="F358" s="19"/>
      <c r="G358" s="53"/>
      <c r="H358" s="52">
        <v>2842</v>
      </c>
      <c r="I358" s="5">
        <v>0.08</v>
      </c>
      <c r="J358" s="52" t="str" cm="1">
        <f t="array" ref="J35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58" s="15" t="s">
        <v>1096</v>
      </c>
      <c r="L358" s="54" t="s">
        <v>2941</v>
      </c>
      <c r="M358" t="s">
        <v>100</v>
      </c>
      <c r="N358" s="15" t="s">
        <v>1096</v>
      </c>
      <c r="O358" s="5" t="s">
        <v>443</v>
      </c>
      <c r="P358" s="17" t="s">
        <v>503</v>
      </c>
      <c r="Q358" s="10"/>
      <c r="R358" s="11"/>
      <c r="S358" s="10"/>
      <c r="T358" s="3" t="str">
        <f>IF(AND(ProtocolosKL[[#This Row],[STATUS]]="APROVADO",ProtocolosKL[[#This Row],[WAIVER]]=""),"Y","")</f>
        <v/>
      </c>
      <c r="U358" t="s">
        <v>2945</v>
      </c>
      <c r="V358" s="16" t="str">
        <f t="shared" si="6"/>
        <v>CLHPMEOLIVEIRA/LUANA</v>
      </c>
    </row>
    <row r="359" spans="1:23" hidden="1">
      <c r="A359" s="1">
        <v>45530</v>
      </c>
      <c r="B359" t="s">
        <v>11</v>
      </c>
      <c r="C359" t="s">
        <v>1661</v>
      </c>
      <c r="D359" s="23" t="s">
        <v>1662</v>
      </c>
      <c r="E359" t="s">
        <v>73</v>
      </c>
      <c r="F359" s="19">
        <v>57490484</v>
      </c>
      <c r="G359" s="53">
        <v>744112870110</v>
      </c>
      <c r="H359" s="52">
        <v>80</v>
      </c>
      <c r="I359" s="5" t="s">
        <v>74</v>
      </c>
      <c r="J359" s="52" cm="1">
        <f t="array" ref="J35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80</v>
      </c>
      <c r="K359" s="15" t="s">
        <v>1457</v>
      </c>
      <c r="L359" s="54" t="s">
        <v>172</v>
      </c>
      <c r="M359" t="s">
        <v>43</v>
      </c>
      <c r="N359" s="15" t="s">
        <v>1458</v>
      </c>
      <c r="O359" s="5" t="s">
        <v>436</v>
      </c>
      <c r="P359" s="17" t="s">
        <v>69</v>
      </c>
      <c r="Q359" s="10" t="s">
        <v>1473</v>
      </c>
      <c r="R359" s="11">
        <v>45534</v>
      </c>
      <c r="S359" s="77" t="s">
        <v>2946</v>
      </c>
      <c r="T359" s="3" t="str">
        <f>IF(AND(ProtocolosKL[[#This Row],[STATUS]]="APROVADO",ProtocolosKL[[#This Row],[WAIVER]]=""),"Y","")</f>
        <v/>
      </c>
      <c r="U359" t="s">
        <v>1663</v>
      </c>
      <c r="V359" s="16" t="str">
        <f t="shared" si="6"/>
        <v>YJXFOJDE OLIVEIRA/MARCOS EDUARDO</v>
      </c>
      <c r="W359">
        <v>672</v>
      </c>
    </row>
    <row r="360" spans="1:23" hidden="1">
      <c r="A360" s="1">
        <v>45532</v>
      </c>
      <c r="B360" t="s">
        <v>11</v>
      </c>
      <c r="C360" t="s">
        <v>2947</v>
      </c>
      <c r="D360" s="23" t="s">
        <v>2947</v>
      </c>
      <c r="E360" t="s">
        <v>41</v>
      </c>
      <c r="F360" s="19">
        <v>57564931</v>
      </c>
      <c r="G360" s="53">
        <v>575901807241</v>
      </c>
      <c r="H360" s="52">
        <v>1199</v>
      </c>
      <c r="I360" s="5">
        <v>0.1</v>
      </c>
      <c r="J360" s="52" cm="1">
        <f t="array" ref="J36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120</v>
      </c>
      <c r="K360" s="15" t="s">
        <v>1799</v>
      </c>
      <c r="L360" s="54" t="s">
        <v>172</v>
      </c>
      <c r="M360" t="s">
        <v>43</v>
      </c>
      <c r="N360" s="15" t="s">
        <v>1318</v>
      </c>
      <c r="O360" s="5" t="s">
        <v>724</v>
      </c>
      <c r="P360" s="17" t="s">
        <v>46</v>
      </c>
      <c r="Q360" s="10" t="s">
        <v>2948</v>
      </c>
      <c r="R360" s="11">
        <v>45532</v>
      </c>
      <c r="S360" s="76" t="s">
        <v>2949</v>
      </c>
      <c r="T360" s="3" t="str">
        <f>IF(AND(ProtocolosKL[[#This Row],[STATUS]]="APROVADO",ProtocolosKL[[#This Row],[WAIVER]]=""),"Y","")</f>
        <v/>
      </c>
      <c r="U360" t="s">
        <v>2950</v>
      </c>
      <c r="V360" s="16" t="str">
        <f t="shared" si="6"/>
        <v xml:space="preserve">3TBJOCRODRIGUES/PEDRO HENRIQUE </v>
      </c>
      <c r="W360">
        <v>674</v>
      </c>
    </row>
    <row r="361" spans="1:23" hidden="1">
      <c r="A361" s="1">
        <v>45532</v>
      </c>
      <c r="B361" t="s">
        <v>10</v>
      </c>
      <c r="C361" t="s">
        <v>2951</v>
      </c>
      <c r="D361" s="23" t="s">
        <v>2952</v>
      </c>
      <c r="E361" t="s">
        <v>41</v>
      </c>
      <c r="F361" s="19">
        <v>57564931</v>
      </c>
      <c r="G361" s="53">
        <v>745820762650</v>
      </c>
      <c r="H361" s="52">
        <v>1919</v>
      </c>
      <c r="I361" s="5">
        <v>0.06</v>
      </c>
      <c r="J361" s="52" cm="1">
        <f t="array" ref="J36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116</v>
      </c>
      <c r="K361" s="15" t="s">
        <v>189</v>
      </c>
      <c r="L361" s="54" t="s">
        <v>76</v>
      </c>
      <c r="M361" t="s">
        <v>43</v>
      </c>
      <c r="N361" s="15" t="s">
        <v>65</v>
      </c>
      <c r="O361" s="5" t="s">
        <v>126</v>
      </c>
      <c r="P361" s="17" t="s">
        <v>69</v>
      </c>
      <c r="Q361" s="10" t="s">
        <v>1345</v>
      </c>
      <c r="R361" s="11">
        <v>45532</v>
      </c>
      <c r="S361" s="10" t="s">
        <v>48</v>
      </c>
      <c r="T361" s="3" t="str">
        <f>IF(AND(ProtocolosKL[[#This Row],[STATUS]]="APROVADO",ProtocolosKL[[#This Row],[WAIVER]]=""),"Y","")</f>
        <v/>
      </c>
      <c r="U361" t="s">
        <v>2953</v>
      </c>
      <c r="V361" s="16" t="str">
        <f t="shared" si="6"/>
        <v>JWESGQALVES DE ALMEIDA/LUCIANO</v>
      </c>
      <c r="W361">
        <v>675</v>
      </c>
    </row>
    <row r="362" spans="1:23" hidden="1">
      <c r="A362" s="1">
        <v>45532</v>
      </c>
      <c r="B362" t="s">
        <v>10</v>
      </c>
      <c r="C362" t="s">
        <v>2951</v>
      </c>
      <c r="D362" s="23" t="s">
        <v>2952</v>
      </c>
      <c r="E362" t="s">
        <v>41</v>
      </c>
      <c r="F362" s="19">
        <v>57564931</v>
      </c>
      <c r="G362" s="53">
        <v>745820762651</v>
      </c>
      <c r="H362" s="52">
        <v>1919</v>
      </c>
      <c r="I362" s="5">
        <v>0.06</v>
      </c>
      <c r="J362" s="52" cm="1">
        <f t="array" ref="J36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116</v>
      </c>
      <c r="K362" s="15" t="s">
        <v>189</v>
      </c>
      <c r="L362" s="54" t="s">
        <v>76</v>
      </c>
      <c r="M362" t="s">
        <v>43</v>
      </c>
      <c r="N362" s="15" t="s">
        <v>65</v>
      </c>
      <c r="O362" s="5" t="s">
        <v>126</v>
      </c>
      <c r="P362" s="17" t="s">
        <v>69</v>
      </c>
      <c r="Q362" s="10" t="s">
        <v>1345</v>
      </c>
      <c r="R362" s="11">
        <v>45532</v>
      </c>
      <c r="S362" s="10" t="s">
        <v>48</v>
      </c>
      <c r="T362" s="3" t="str">
        <f>IF(AND(ProtocolosKL[[#This Row],[STATUS]]="APROVADO",ProtocolosKL[[#This Row],[WAIVER]]=""),"Y","")</f>
        <v/>
      </c>
      <c r="U362" t="s">
        <v>2954</v>
      </c>
      <c r="V362" s="16" t="str">
        <f t="shared" si="6"/>
        <v>JWESGQALVES DE ALMEIDA/LUIS HENRIQUE</v>
      </c>
      <c r="W362">
        <v>675</v>
      </c>
    </row>
    <row r="363" spans="1:23" hidden="1">
      <c r="A363" s="1">
        <v>45532</v>
      </c>
      <c r="B363" t="s">
        <v>10</v>
      </c>
      <c r="C363" t="s">
        <v>2955</v>
      </c>
      <c r="D363" s="23" t="s">
        <v>2956</v>
      </c>
      <c r="E363" t="s">
        <v>41</v>
      </c>
      <c r="F363" s="19">
        <v>57564931</v>
      </c>
      <c r="G363" s="53">
        <v>745820757446</v>
      </c>
      <c r="H363" s="52">
        <v>1983</v>
      </c>
      <c r="I363" s="5">
        <v>0.09</v>
      </c>
      <c r="J363" s="52" cm="1">
        <f t="array" ref="J36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179</v>
      </c>
      <c r="K363" s="15" t="s">
        <v>189</v>
      </c>
      <c r="L363" s="54" t="s">
        <v>76</v>
      </c>
      <c r="M363" t="s">
        <v>43</v>
      </c>
      <c r="N363" s="15" t="s">
        <v>65</v>
      </c>
      <c r="O363" s="5" t="s">
        <v>2590</v>
      </c>
      <c r="P363" s="17" t="s">
        <v>69</v>
      </c>
      <c r="Q363" s="10" t="s">
        <v>1345</v>
      </c>
      <c r="R363" s="11">
        <v>45532</v>
      </c>
      <c r="S363" s="10" t="s">
        <v>48</v>
      </c>
      <c r="T363" s="3" t="str">
        <f>IF(AND(ProtocolosKL[[#This Row],[STATUS]]="APROVADO",ProtocolosKL[[#This Row],[WAIVER]]=""),"Y","")</f>
        <v/>
      </c>
      <c r="U363" t="s">
        <v>2957</v>
      </c>
      <c r="V363" s="16" t="str">
        <f t="shared" si="6"/>
        <v>IFHMYUSANCHES TIMPANARO/TALITA</v>
      </c>
      <c r="W363">
        <v>676</v>
      </c>
    </row>
    <row r="364" spans="1:23" hidden="1">
      <c r="A364" s="1">
        <v>45532</v>
      </c>
      <c r="B364" t="s">
        <v>11</v>
      </c>
      <c r="C364" t="s">
        <v>2958</v>
      </c>
      <c r="D364" s="23" t="s">
        <v>2958</v>
      </c>
      <c r="E364" t="s">
        <v>41</v>
      </c>
      <c r="F364" s="19"/>
      <c r="G364" s="53"/>
      <c r="H364" s="52">
        <v>1798</v>
      </c>
      <c r="I364" s="5">
        <v>0.1</v>
      </c>
      <c r="J364" s="52" t="str" cm="1">
        <f t="array" ref="J36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64" s="15" t="s">
        <v>2959</v>
      </c>
      <c r="L364" s="54" t="s">
        <v>76</v>
      </c>
      <c r="M364" t="s">
        <v>217</v>
      </c>
      <c r="N364" s="15" t="s">
        <v>1458</v>
      </c>
      <c r="O364" s="5" t="s">
        <v>2960</v>
      </c>
      <c r="P364" s="17" t="s">
        <v>69</v>
      </c>
      <c r="Q364" s="10"/>
      <c r="R364" s="11"/>
      <c r="S364" s="10"/>
      <c r="T364" s="3" t="str">
        <f>IF(AND(ProtocolosKL[[#This Row],[STATUS]]="APROVADO",ProtocolosKL[[#This Row],[WAIVER]]=""),"Y","")</f>
        <v/>
      </c>
      <c r="U364" t="s">
        <v>2961</v>
      </c>
      <c r="V364" s="16" t="str">
        <f t="shared" si="6"/>
        <v>42UXN4COSMAI/PEDRO</v>
      </c>
      <c r="W364">
        <v>678</v>
      </c>
    </row>
    <row r="365" spans="1:23" hidden="1">
      <c r="A365" s="1">
        <v>45532</v>
      </c>
      <c r="B365" t="s">
        <v>13</v>
      </c>
      <c r="C365" t="s">
        <v>2962</v>
      </c>
      <c r="D365" s="23" t="s">
        <v>2963</v>
      </c>
      <c r="E365" t="s">
        <v>41</v>
      </c>
      <c r="F365" s="19">
        <v>57564931</v>
      </c>
      <c r="G365" s="80">
        <v>745820762745</v>
      </c>
      <c r="H365" s="52">
        <v>1945</v>
      </c>
      <c r="I365" s="5">
        <v>0.2</v>
      </c>
      <c r="J365" s="52" cm="1">
        <f t="array" ref="J36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389</v>
      </c>
      <c r="K365" s="15" t="s">
        <v>817</v>
      </c>
      <c r="L365" s="54" t="s">
        <v>2964</v>
      </c>
      <c r="M365" t="s">
        <v>43</v>
      </c>
      <c r="N365" s="15" t="s">
        <v>151</v>
      </c>
      <c r="O365" s="5" t="s">
        <v>134</v>
      </c>
      <c r="P365" s="17" t="s">
        <v>146</v>
      </c>
      <c r="Q365" s="10" t="s">
        <v>2965</v>
      </c>
      <c r="R365" s="11">
        <v>45532</v>
      </c>
      <c r="S365" s="10" t="s">
        <v>48</v>
      </c>
      <c r="T365" s="3" t="str">
        <f>IF(AND(ProtocolosKL[[#This Row],[STATUS]]="APROVADO",ProtocolosKL[[#This Row],[WAIVER]]=""),"Y","")</f>
        <v/>
      </c>
      <c r="U365" t="s">
        <v>2966</v>
      </c>
      <c r="V365" s="16" t="str">
        <f t="shared" si="6"/>
        <v>YXJGMYDANTAS GERALDI/NICOLAS</v>
      </c>
      <c r="W365">
        <v>679</v>
      </c>
    </row>
    <row r="366" spans="1:23" hidden="1">
      <c r="A366" s="1">
        <v>45534</v>
      </c>
      <c r="B366" t="s">
        <v>10</v>
      </c>
      <c r="C366" t="s">
        <v>2967</v>
      </c>
      <c r="D366" s="23" t="s">
        <v>2968</v>
      </c>
      <c r="E366" t="s">
        <v>41</v>
      </c>
      <c r="F366" s="19">
        <v>57564931</v>
      </c>
      <c r="G366" s="80">
        <v>743456367313</v>
      </c>
      <c r="H366" s="52">
        <v>1378</v>
      </c>
      <c r="I366" s="5">
        <v>0.1</v>
      </c>
      <c r="J366" s="52" cm="1">
        <f t="array" ref="J36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138</v>
      </c>
      <c r="K366" s="15" t="s">
        <v>189</v>
      </c>
      <c r="L366" s="54" t="s">
        <v>76</v>
      </c>
      <c r="M366" t="s">
        <v>43</v>
      </c>
      <c r="N366" s="15" t="s">
        <v>65</v>
      </c>
      <c r="O366" s="5" t="s">
        <v>614</v>
      </c>
      <c r="P366" s="17" t="s">
        <v>146</v>
      </c>
      <c r="Q366" s="10" t="s">
        <v>1345</v>
      </c>
      <c r="R366" s="11">
        <v>45534</v>
      </c>
      <c r="S366" s="10" t="s">
        <v>48</v>
      </c>
      <c r="T366" s="3" t="str">
        <f>IF(AND(ProtocolosKL[[#This Row],[STATUS]]="APROVADO",ProtocolosKL[[#This Row],[WAIVER]]=""),"Y","")</f>
        <v/>
      </c>
      <c r="U366" t="s">
        <v>2969</v>
      </c>
      <c r="V366" s="16" t="str">
        <f t="shared" si="6"/>
        <v>LDEKSUBARBOSA/VALERIA</v>
      </c>
      <c r="W366">
        <v>680</v>
      </c>
    </row>
    <row r="367" spans="1:23" hidden="1">
      <c r="A367" s="1">
        <v>45534</v>
      </c>
      <c r="B367" t="s">
        <v>10</v>
      </c>
      <c r="C367" t="s">
        <v>2967</v>
      </c>
      <c r="D367" s="23" t="s">
        <v>2968</v>
      </c>
      <c r="E367" t="s">
        <v>41</v>
      </c>
      <c r="F367" s="19">
        <v>57564931</v>
      </c>
      <c r="G367" s="80">
        <v>743456367315</v>
      </c>
      <c r="H367" s="52">
        <v>1378</v>
      </c>
      <c r="I367" s="5">
        <v>0.1</v>
      </c>
      <c r="J367" s="52" cm="1">
        <f t="array" ref="J36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138</v>
      </c>
      <c r="K367" s="15" t="s">
        <v>189</v>
      </c>
      <c r="L367" s="54" t="s">
        <v>76</v>
      </c>
      <c r="M367" t="s">
        <v>43</v>
      </c>
      <c r="N367" s="15" t="s">
        <v>65</v>
      </c>
      <c r="O367" s="5" t="s">
        <v>614</v>
      </c>
      <c r="P367" s="17" t="s">
        <v>146</v>
      </c>
      <c r="Q367" s="10" t="s">
        <v>1345</v>
      </c>
      <c r="R367" s="11">
        <v>45534</v>
      </c>
      <c r="S367" s="10" t="s">
        <v>48</v>
      </c>
      <c r="T367" s="3" t="str">
        <f>IF(AND(ProtocolosKL[[#This Row],[STATUS]]="APROVADO",ProtocolosKL[[#This Row],[WAIVER]]=""),"Y","")</f>
        <v/>
      </c>
      <c r="U367" t="s">
        <v>2970</v>
      </c>
      <c r="V367" s="16" t="str">
        <f t="shared" si="6"/>
        <v>LDEKSUBERNUSSI/SYRLEID</v>
      </c>
      <c r="W367">
        <v>680</v>
      </c>
    </row>
    <row r="368" spans="1:23" hidden="1">
      <c r="A368" s="1">
        <v>45700</v>
      </c>
      <c r="B368" t="s">
        <v>13</v>
      </c>
      <c r="C368" t="s">
        <v>2971</v>
      </c>
      <c r="D368" s="23" t="s">
        <v>2972</v>
      </c>
      <c r="E368" t="s">
        <v>73</v>
      </c>
      <c r="F368" s="19">
        <v>57994602</v>
      </c>
      <c r="G368" s="80">
        <v>742120500509</v>
      </c>
      <c r="H368" s="52">
        <v>155</v>
      </c>
      <c r="I368" s="5" t="s">
        <v>74</v>
      </c>
      <c r="J368" s="52" cm="1">
        <f t="array" ref="J36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155</v>
      </c>
      <c r="K368" s="15" t="s">
        <v>1089</v>
      </c>
      <c r="L368" s="54" t="s">
        <v>513</v>
      </c>
      <c r="M368" t="s">
        <v>43</v>
      </c>
      <c r="N368" s="15" t="s">
        <v>1089</v>
      </c>
      <c r="O368" s="5" t="s">
        <v>436</v>
      </c>
      <c r="P368" s="17" t="s">
        <v>46</v>
      </c>
      <c r="Q368" s="10" t="s">
        <v>1678</v>
      </c>
      <c r="R368" s="11">
        <v>45713</v>
      </c>
      <c r="S368" s="10" t="s">
        <v>173</v>
      </c>
      <c r="T368" s="3" t="str">
        <f>IF(AND(ProtocolosKL[[#This Row],[STATUS]]="APROVADO",ProtocolosKL[[#This Row],[WAIVER]]=""),"Y","")</f>
        <v/>
      </c>
      <c r="U368" t="s">
        <v>2973</v>
      </c>
      <c r="V368" s="16" t="str">
        <f t="shared" si="6"/>
        <v>23HZ8UGAMA ARRUDA/RODRIGO</v>
      </c>
      <c r="W368">
        <v>682</v>
      </c>
    </row>
    <row r="369" spans="1:23" hidden="1">
      <c r="A369" s="1">
        <v>45700</v>
      </c>
      <c r="B369" t="s">
        <v>13</v>
      </c>
      <c r="C369" t="s">
        <v>2971</v>
      </c>
      <c r="D369" s="23" t="s">
        <v>2972</v>
      </c>
      <c r="E369" t="s">
        <v>73</v>
      </c>
      <c r="F369" s="19">
        <v>57994602</v>
      </c>
      <c r="G369" s="80">
        <v>742120500510</v>
      </c>
      <c r="H369" s="52">
        <v>155</v>
      </c>
      <c r="I369" s="5" t="s">
        <v>74</v>
      </c>
      <c r="J369" s="52" cm="1">
        <f t="array" ref="J36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155</v>
      </c>
      <c r="K369" s="15" t="s">
        <v>1089</v>
      </c>
      <c r="L369" s="54" t="s">
        <v>513</v>
      </c>
      <c r="M369" t="s">
        <v>43</v>
      </c>
      <c r="N369" s="15" t="s">
        <v>1089</v>
      </c>
      <c r="O369" s="5" t="s">
        <v>436</v>
      </c>
      <c r="P369" s="17" t="s">
        <v>46</v>
      </c>
      <c r="Q369" s="10" t="s">
        <v>1678</v>
      </c>
      <c r="R369" s="11">
        <v>45713</v>
      </c>
      <c r="S369" s="10" t="s">
        <v>173</v>
      </c>
      <c r="T369" s="3" t="str">
        <f>IF(AND(ProtocolosKL[[#This Row],[STATUS]]="APROVADO",ProtocolosKL[[#This Row],[WAIVER]]=""),"Y","")</f>
        <v/>
      </c>
      <c r="U369" t="s">
        <v>2974</v>
      </c>
      <c r="V369" s="16" t="str">
        <f t="shared" si="6"/>
        <v>23HZ8UMICELI DE ABREU ARRUDA/DANIELLE</v>
      </c>
      <c r="W369">
        <v>682</v>
      </c>
    </row>
    <row r="370" spans="1:23" hidden="1">
      <c r="A370" s="1">
        <v>45707</v>
      </c>
      <c r="B370" t="s">
        <v>10</v>
      </c>
      <c r="C370" t="s">
        <v>2975</v>
      </c>
      <c r="D370" s="23" t="s">
        <v>2975</v>
      </c>
      <c r="E370" t="s">
        <v>41</v>
      </c>
      <c r="F370" s="19">
        <v>57564931</v>
      </c>
      <c r="G370" s="53">
        <v>741408381789</v>
      </c>
      <c r="H370" s="52">
        <v>2760</v>
      </c>
      <c r="I370" s="5">
        <v>0.1</v>
      </c>
      <c r="J370" s="52" cm="1">
        <f t="array" ref="J37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276</v>
      </c>
      <c r="K370" t="s">
        <v>2976</v>
      </c>
      <c r="L370" s="54" t="s">
        <v>66</v>
      </c>
      <c r="M370" t="s">
        <v>43</v>
      </c>
      <c r="N370" s="15" t="s">
        <v>1129</v>
      </c>
      <c r="O370" s="5" t="s">
        <v>164</v>
      </c>
      <c r="P370" s="17" t="s">
        <v>1075</v>
      </c>
      <c r="Q370" s="10" t="s">
        <v>222</v>
      </c>
      <c r="R370" s="11">
        <v>45707</v>
      </c>
      <c r="S370" s="10" t="s">
        <v>1510</v>
      </c>
      <c r="T370" s="3" t="str">
        <f>IF(AND(ProtocolosKL[[#This Row],[STATUS]]="APROVADO",ProtocolosKL[[#This Row],[WAIVER]]=""),"Y","")</f>
        <v/>
      </c>
      <c r="U370" t="s">
        <v>2977</v>
      </c>
      <c r="V370" s="16" t="str">
        <f t="shared" si="6"/>
        <v>3LNAX9OLIVEIRA SANTOS/VINICIUS WAGNER MR</v>
      </c>
      <c r="W370">
        <v>683</v>
      </c>
    </row>
    <row r="371" spans="1:23" hidden="1">
      <c r="A371" s="1">
        <v>45721</v>
      </c>
      <c r="B371" t="s">
        <v>14</v>
      </c>
      <c r="C371" t="s">
        <v>2978</v>
      </c>
      <c r="D371" s="23" t="s">
        <v>2979</v>
      </c>
      <c r="E371" t="s">
        <v>207</v>
      </c>
      <c r="F371" s="19"/>
      <c r="G371" s="53"/>
      <c r="H371" s="52">
        <v>203</v>
      </c>
      <c r="I371" s="5" t="s">
        <v>74</v>
      </c>
      <c r="J371" s="52" t="str" cm="1">
        <f t="array" ref="J37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71" s="15" t="s">
        <v>1279</v>
      </c>
      <c r="L371" s="54" t="s">
        <v>172</v>
      </c>
      <c r="M371" t="s">
        <v>100</v>
      </c>
      <c r="N371" s="15" t="s">
        <v>1279</v>
      </c>
      <c r="O371" s="5" t="s">
        <v>134</v>
      </c>
      <c r="P371" s="17" t="s">
        <v>46</v>
      </c>
      <c r="Q371" s="10"/>
      <c r="R371" s="11"/>
      <c r="S371" s="10"/>
      <c r="T371" s="3" t="str">
        <f>IF(AND(ProtocolosKL[[#This Row],[STATUS]]="APROVADO",ProtocolosKL[[#This Row],[WAIVER]]=""),"Y","")</f>
        <v/>
      </c>
      <c r="U371" t="s">
        <v>2980</v>
      </c>
      <c r="V371" s="16" t="str">
        <f t="shared" si="6"/>
        <v>EIIAISSOUSA LUCAS DE ANDRADE/CINTIA MRS</v>
      </c>
      <c r="W371">
        <v>686</v>
      </c>
    </row>
    <row r="372" spans="1:23" hidden="1">
      <c r="A372" s="1">
        <v>45726</v>
      </c>
      <c r="B372" t="s">
        <v>14</v>
      </c>
      <c r="C372" t="s">
        <v>2978</v>
      </c>
      <c r="D372" s="23" t="s">
        <v>2979</v>
      </c>
      <c r="E372" t="s">
        <v>207</v>
      </c>
      <c r="F372" s="19">
        <v>57994602</v>
      </c>
      <c r="G372" s="53">
        <v>57421644546</v>
      </c>
      <c r="H372" s="52">
        <v>153</v>
      </c>
      <c r="I372" s="5" t="s">
        <v>74</v>
      </c>
      <c r="J372" s="52" cm="1">
        <f t="array" ref="J37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153</v>
      </c>
      <c r="K372" s="15" t="s">
        <v>1279</v>
      </c>
      <c r="L372" s="54" t="s">
        <v>172</v>
      </c>
      <c r="M372" t="s">
        <v>43</v>
      </c>
      <c r="N372" t="s">
        <v>1096</v>
      </c>
      <c r="O372" s="5" t="s">
        <v>134</v>
      </c>
      <c r="P372" s="17" t="s">
        <v>46</v>
      </c>
      <c r="Q372" s="10" t="s">
        <v>291</v>
      </c>
      <c r="R372" s="11">
        <v>45728</v>
      </c>
      <c r="S372" s="10" t="s">
        <v>1143</v>
      </c>
      <c r="T372" s="3" t="str">
        <f>IF(AND(ProtocolosKL[[#This Row],[STATUS]]="APROVADO",ProtocolosKL[[#This Row],[WAIVER]]=""),"Y","")</f>
        <v/>
      </c>
      <c r="U372" t="s">
        <v>2981</v>
      </c>
      <c r="V372" s="16" t="str">
        <f t="shared" si="6"/>
        <v>EIIAISDE ANDRADE/ALAN FERNANDO MR</v>
      </c>
      <c r="W372">
        <v>687</v>
      </c>
    </row>
    <row r="373" spans="1:23" hidden="1">
      <c r="A373" s="1">
        <v>45726</v>
      </c>
      <c r="B373" t="s">
        <v>14</v>
      </c>
      <c r="C373" t="s">
        <v>2978</v>
      </c>
      <c r="D373" s="23" t="s">
        <v>2979</v>
      </c>
      <c r="E373" t="s">
        <v>207</v>
      </c>
      <c r="F373" s="19">
        <v>57490484</v>
      </c>
      <c r="G373" s="53">
        <v>74411812738</v>
      </c>
      <c r="H373" s="52">
        <v>95</v>
      </c>
      <c r="I373" s="5"/>
      <c r="J373" s="52" cm="1">
        <f t="array" ref="J37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95</v>
      </c>
      <c r="K373" t="s">
        <v>1279</v>
      </c>
      <c r="L373" s="54" t="s">
        <v>172</v>
      </c>
      <c r="M373" t="s">
        <v>43</v>
      </c>
      <c r="N373" t="s">
        <v>1096</v>
      </c>
      <c r="O373" s="5" t="s">
        <v>372</v>
      </c>
      <c r="P373" s="17" t="s">
        <v>46</v>
      </c>
      <c r="Q373" s="10" t="s">
        <v>291</v>
      </c>
      <c r="R373" s="11">
        <v>45728</v>
      </c>
      <c r="S373" s="10" t="s">
        <v>1143</v>
      </c>
      <c r="T373" s="3" t="str">
        <f>IF(AND(ProtocolosKL[[#This Row],[STATUS]]="APROVADO",ProtocolosKL[[#This Row],[WAIVER]]=""),"Y","")</f>
        <v/>
      </c>
      <c r="U373" t="s">
        <v>2981</v>
      </c>
      <c r="V373" s="16" t="str">
        <f t="shared" si="6"/>
        <v>EIIAISDE ANDRADE/ALAN FERNANDO MR</v>
      </c>
      <c r="W373">
        <v>688</v>
      </c>
    </row>
    <row r="374" spans="1:23" hidden="1">
      <c r="A374" s="1">
        <v>45726</v>
      </c>
      <c r="B374" t="s">
        <v>10</v>
      </c>
      <c r="C374" t="s">
        <v>2982</v>
      </c>
      <c r="D374" s="23" t="s">
        <v>2982</v>
      </c>
      <c r="E374" t="s">
        <v>73</v>
      </c>
      <c r="F374" s="19">
        <v>57994602</v>
      </c>
      <c r="G374" s="53">
        <v>574216445469</v>
      </c>
      <c r="H374" s="52">
        <v>165</v>
      </c>
      <c r="I374" s="5" t="s">
        <v>74</v>
      </c>
      <c r="J374" s="52" cm="1">
        <f t="array" ref="J37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165</v>
      </c>
      <c r="K374" s="15" t="s">
        <v>345</v>
      </c>
      <c r="L374" s="54" t="s">
        <v>76</v>
      </c>
      <c r="M374" t="s">
        <v>43</v>
      </c>
      <c r="N374" s="15" t="s">
        <v>65</v>
      </c>
      <c r="O374" s="5" t="s">
        <v>669</v>
      </c>
      <c r="P374" s="17" t="s">
        <v>146</v>
      </c>
      <c r="Q374" s="10" t="s">
        <v>2983</v>
      </c>
      <c r="R374" s="11">
        <v>45728</v>
      </c>
      <c r="S374" s="10" t="s">
        <v>173</v>
      </c>
      <c r="T374" s="3" t="str">
        <f>IF(AND(ProtocolosKL[[#This Row],[STATUS]]="APROVADO",ProtocolosKL[[#This Row],[WAIVER]]=""),"Y","")</f>
        <v/>
      </c>
      <c r="U374" t="s">
        <v>2984</v>
      </c>
      <c r="V374" s="16" t="str">
        <f t="shared" si="6"/>
        <v>3A69WOOLIVEIRA MOTA MENDES/RICARDO MR</v>
      </c>
      <c r="W374">
        <v>689</v>
      </c>
    </row>
    <row r="375" spans="1:23" hidden="1">
      <c r="A375" s="1">
        <v>45728</v>
      </c>
      <c r="B375" t="s">
        <v>10</v>
      </c>
      <c r="C375" t="s">
        <v>2985</v>
      </c>
      <c r="D375" s="23" t="s">
        <v>2986</v>
      </c>
      <c r="E375" t="s">
        <v>41</v>
      </c>
      <c r="F375" s="19"/>
      <c r="G375" s="53"/>
      <c r="H375" s="52">
        <v>4032</v>
      </c>
      <c r="I375" s="5">
        <v>0.1</v>
      </c>
      <c r="J375" s="52" t="str" cm="1">
        <f t="array" ref="J37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75" s="15" t="s">
        <v>189</v>
      </c>
      <c r="L375" s="54" t="s">
        <v>76</v>
      </c>
      <c r="M375" t="s">
        <v>100</v>
      </c>
      <c r="N375" s="15" t="s">
        <v>1458</v>
      </c>
      <c r="O375" s="5" t="s">
        <v>417</v>
      </c>
      <c r="P375" s="17" t="s">
        <v>146</v>
      </c>
      <c r="Q375" s="10"/>
      <c r="R375" s="11"/>
      <c r="S375" s="10"/>
      <c r="T375" s="3" t="str">
        <f>IF(AND(ProtocolosKL[[#This Row],[STATUS]]="APROVADO",ProtocolosKL[[#This Row],[WAIVER]]=""),"Y","")</f>
        <v/>
      </c>
      <c r="U375" t="s">
        <v>2987</v>
      </c>
      <c r="V375" s="16" t="str">
        <f t="shared" si="6"/>
        <v>SUVYVBMALUHY FILHO/MILTON</v>
      </c>
      <c r="W375">
        <v>692</v>
      </c>
    </row>
    <row r="376" spans="1:23" hidden="1">
      <c r="A376" s="1">
        <v>45733</v>
      </c>
      <c r="B376" t="s">
        <v>10</v>
      </c>
      <c r="C376" t="s">
        <v>2988</v>
      </c>
      <c r="D376" s="23" t="s">
        <v>2989</v>
      </c>
      <c r="E376" t="s">
        <v>41</v>
      </c>
      <c r="F376" s="19">
        <v>57564931</v>
      </c>
      <c r="G376" s="53">
        <v>742872526740</v>
      </c>
      <c r="H376" s="52">
        <v>8360</v>
      </c>
      <c r="I376" s="5">
        <v>0.1</v>
      </c>
      <c r="J376" s="52" cm="1">
        <f t="array" ref="J37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836</v>
      </c>
      <c r="K376" s="15" t="s">
        <v>1939</v>
      </c>
      <c r="L376" s="54" t="s">
        <v>76</v>
      </c>
      <c r="M376" t="s">
        <v>43</v>
      </c>
      <c r="N376" s="15" t="s">
        <v>65</v>
      </c>
      <c r="O376" s="5" t="s">
        <v>644</v>
      </c>
      <c r="P376" s="17" t="s">
        <v>146</v>
      </c>
      <c r="Q376" s="10" t="s">
        <v>1325</v>
      </c>
      <c r="R376" s="11">
        <v>45734</v>
      </c>
      <c r="S376" s="10" t="s">
        <v>1510</v>
      </c>
      <c r="T376" s="3" t="str">
        <f>IF(AND(ProtocolosKL[[#This Row],[STATUS]]="APROVADO",ProtocolosKL[[#This Row],[WAIVER]]=""),"Y","")</f>
        <v/>
      </c>
      <c r="U376" t="s">
        <v>2990</v>
      </c>
      <c r="V376" s="16" t="str">
        <f t="shared" si="6"/>
        <v>DSSFSMBRABO/ADRIANO mr</v>
      </c>
      <c r="W376">
        <v>693</v>
      </c>
    </row>
    <row r="377" spans="1:23" hidden="1">
      <c r="A377" s="1">
        <v>45741</v>
      </c>
      <c r="B377" t="s">
        <v>11</v>
      </c>
      <c r="C377" t="s">
        <v>2991</v>
      </c>
      <c r="D377" s="23" t="s">
        <v>2992</v>
      </c>
      <c r="E377" t="s">
        <v>512</v>
      </c>
      <c r="F377" s="19">
        <v>57564931</v>
      </c>
      <c r="G377" s="53">
        <v>742872575827</v>
      </c>
      <c r="H377" s="52">
        <v>324</v>
      </c>
      <c r="I377" s="5" t="s">
        <v>74</v>
      </c>
      <c r="J377" s="52" cm="1">
        <f t="array" ref="J37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324</v>
      </c>
      <c r="K377" s="15" t="s">
        <v>1007</v>
      </c>
      <c r="L377" s="54" t="s">
        <v>529</v>
      </c>
      <c r="M377" t="s">
        <v>43</v>
      </c>
      <c r="N377" s="15" t="s">
        <v>1458</v>
      </c>
      <c r="O377" s="5" t="s">
        <v>724</v>
      </c>
      <c r="P377" s="17" t="s">
        <v>69</v>
      </c>
      <c r="Q377" s="10" t="s">
        <v>2993</v>
      </c>
      <c r="R377" s="11">
        <v>45741</v>
      </c>
      <c r="S377" s="83" t="s">
        <v>2994</v>
      </c>
      <c r="T377" s="3" t="str">
        <f>IF(AND(ProtocolosKL[[#This Row],[STATUS]]="APROVADO",ProtocolosKL[[#This Row],[WAIVER]]=""),"Y","")</f>
        <v/>
      </c>
      <c r="U377" t="s">
        <v>2995</v>
      </c>
      <c r="V377" s="16" t="str">
        <f t="shared" si="6"/>
        <v>ECLFLJMORCHEL FILHO/EDUARDO</v>
      </c>
      <c r="W377">
        <v>695</v>
      </c>
    </row>
    <row r="378" spans="1:23" hidden="1">
      <c r="A378" s="1">
        <v>45741</v>
      </c>
      <c r="B378" t="s">
        <v>11</v>
      </c>
      <c r="C378" t="s">
        <v>2991</v>
      </c>
      <c r="D378" s="23" t="s">
        <v>2992</v>
      </c>
      <c r="E378" t="s">
        <v>512</v>
      </c>
      <c r="F378" s="19">
        <v>57564931</v>
      </c>
      <c r="G378" s="53">
        <v>742872575829</v>
      </c>
      <c r="H378" s="52">
        <v>324</v>
      </c>
      <c r="I378" s="5" t="s">
        <v>74</v>
      </c>
      <c r="J378" s="52" cm="1">
        <f t="array" ref="J37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324</v>
      </c>
      <c r="K378" s="15" t="s">
        <v>1007</v>
      </c>
      <c r="L378" s="54" t="s">
        <v>529</v>
      </c>
      <c r="M378" t="s">
        <v>43</v>
      </c>
      <c r="N378" s="15" t="s">
        <v>1458</v>
      </c>
      <c r="O378" s="5" t="s">
        <v>724</v>
      </c>
      <c r="P378" s="17" t="s">
        <v>69</v>
      </c>
      <c r="Q378" s="10" t="s">
        <v>2993</v>
      </c>
      <c r="R378" s="11">
        <v>45741</v>
      </c>
      <c r="S378" s="83" t="s">
        <v>2994</v>
      </c>
      <c r="T378" s="3" t="str">
        <f>IF(AND(ProtocolosKL[[#This Row],[STATUS]]="APROVADO",ProtocolosKL[[#This Row],[WAIVER]]=""),"Y","")</f>
        <v/>
      </c>
      <c r="U378" t="s">
        <v>2996</v>
      </c>
      <c r="V378" s="16" t="str">
        <f t="shared" si="6"/>
        <v>ECLFLJSTEFFEN BECKER/VICTOR CEZAR</v>
      </c>
      <c r="W378">
        <v>695</v>
      </c>
    </row>
    <row r="379" spans="1:23" hidden="1">
      <c r="A379" s="1">
        <v>45748</v>
      </c>
      <c r="B379" t="s">
        <v>14</v>
      </c>
      <c r="C379" t="s">
        <v>2997</v>
      </c>
      <c r="D379" s="23" t="s">
        <v>2998</v>
      </c>
      <c r="E379" t="s">
        <v>73</v>
      </c>
      <c r="F379" s="19">
        <v>57490484</v>
      </c>
      <c r="G379" s="53">
        <v>742872623643</v>
      </c>
      <c r="H379" s="52">
        <v>337.18</v>
      </c>
      <c r="I379" s="5" t="s">
        <v>74</v>
      </c>
      <c r="J379" s="52" cm="1">
        <f t="array" ref="J37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337.18</v>
      </c>
      <c r="K379" s="15" t="s">
        <v>1279</v>
      </c>
      <c r="L379" s="54" t="s">
        <v>172</v>
      </c>
      <c r="M379" t="s">
        <v>43</v>
      </c>
      <c r="N379" s="15" t="s">
        <v>1279</v>
      </c>
      <c r="O379" s="5" t="s">
        <v>436</v>
      </c>
      <c r="P379" s="17" t="s">
        <v>69</v>
      </c>
      <c r="Q379" s="10" t="s">
        <v>1711</v>
      </c>
      <c r="R379" s="11">
        <v>45749</v>
      </c>
      <c r="S379" s="83" t="s">
        <v>2999</v>
      </c>
      <c r="T379" s="3" t="str">
        <f>IF(AND(ProtocolosKL[[#This Row],[STATUS]]="APROVADO",ProtocolosKL[[#This Row],[WAIVER]]=""),"Y","")</f>
        <v/>
      </c>
      <c r="U379" t="s">
        <v>3000</v>
      </c>
      <c r="V379" s="16" t="str">
        <f t="shared" si="6"/>
        <v>LBDOWOBARRETO/RENATOMR</v>
      </c>
      <c r="W379">
        <v>697</v>
      </c>
    </row>
    <row r="380" spans="1:23" hidden="1">
      <c r="A380" s="1">
        <v>45748</v>
      </c>
      <c r="B380" t="s">
        <v>14</v>
      </c>
      <c r="C380" t="s">
        <v>2997</v>
      </c>
      <c r="D380" s="23" t="s">
        <v>2998</v>
      </c>
      <c r="E380" t="s">
        <v>73</v>
      </c>
      <c r="F380" s="19">
        <v>57490484</v>
      </c>
      <c r="G380" s="53">
        <v>742872623644</v>
      </c>
      <c r="H380" s="52">
        <v>337.18</v>
      </c>
      <c r="I380" s="5" t="s">
        <v>74</v>
      </c>
      <c r="J380" s="52" cm="1">
        <f t="array" ref="J38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337.18</v>
      </c>
      <c r="K380" s="15" t="s">
        <v>1279</v>
      </c>
      <c r="L380" s="54" t="s">
        <v>172</v>
      </c>
      <c r="M380" t="s">
        <v>43</v>
      </c>
      <c r="N380" s="15" t="s">
        <v>1279</v>
      </c>
      <c r="O380" s="5" t="s">
        <v>436</v>
      </c>
      <c r="P380" s="17" t="s">
        <v>69</v>
      </c>
      <c r="Q380" s="10" t="s">
        <v>1711</v>
      </c>
      <c r="R380" s="11">
        <v>45749</v>
      </c>
      <c r="S380" s="83" t="s">
        <v>2999</v>
      </c>
      <c r="T380" s="3" t="str">
        <f>IF(AND(ProtocolosKL[[#This Row],[STATUS]]="APROVADO",ProtocolosKL[[#This Row],[WAIVER]]=""),"Y","")</f>
        <v/>
      </c>
      <c r="U380" t="s">
        <v>3001</v>
      </c>
      <c r="V380" s="16" t="str">
        <f t="shared" si="6"/>
        <v>LBDOWOCHAGAS DA SILVA/ANA LUIZAMRS</v>
      </c>
      <c r="W380">
        <v>697</v>
      </c>
    </row>
    <row r="381" spans="1:23" hidden="1">
      <c r="A381" s="1">
        <v>45755</v>
      </c>
      <c r="B381" t="s">
        <v>13</v>
      </c>
      <c r="C381" t="s">
        <v>3002</v>
      </c>
      <c r="D381" s="23" t="s">
        <v>3002</v>
      </c>
      <c r="E381" t="s">
        <v>41</v>
      </c>
      <c r="F381" s="19"/>
      <c r="G381" s="53"/>
      <c r="H381" s="52">
        <v>3028</v>
      </c>
      <c r="I381" s="5">
        <v>0.08</v>
      </c>
      <c r="J381" s="52" t="str" cm="1">
        <f t="array" ref="J38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81" s="15" t="s">
        <v>1521</v>
      </c>
      <c r="L381" s="54" t="s">
        <v>66</v>
      </c>
      <c r="M381" t="s">
        <v>100</v>
      </c>
      <c r="N381" s="15" t="s">
        <v>1096</v>
      </c>
      <c r="O381" s="5" t="s">
        <v>164</v>
      </c>
      <c r="P381" s="17" t="s">
        <v>46</v>
      </c>
      <c r="Q381" s="10"/>
      <c r="R381" s="11"/>
      <c r="S381" s="83"/>
      <c r="T381" s="3" t="str">
        <f>IF(AND(ProtocolosKL[[#This Row],[STATUS]]="APROVADO",ProtocolosKL[[#This Row],[WAIVER]]=""),"Y","")</f>
        <v/>
      </c>
      <c r="U381" t="s">
        <v>3003</v>
      </c>
      <c r="V381" s="16" t="str">
        <f t="shared" si="6"/>
        <v>2OPVBKALVES PECANHA GROSSI/FABIANA APARECIDA</v>
      </c>
      <c r="W381">
        <v>703</v>
      </c>
    </row>
    <row r="382" spans="1:23" hidden="1">
      <c r="A382" s="1">
        <v>45755</v>
      </c>
      <c r="B382" t="s">
        <v>13</v>
      </c>
      <c r="C382" t="s">
        <v>3002</v>
      </c>
      <c r="D382" s="23" t="s">
        <v>3002</v>
      </c>
      <c r="E382" t="s">
        <v>41</v>
      </c>
      <c r="F382" s="19"/>
      <c r="G382" s="53"/>
      <c r="H382" s="52">
        <v>3028</v>
      </c>
      <c r="I382" s="5">
        <v>0.08</v>
      </c>
      <c r="J382" s="52" t="str" cm="1">
        <f t="array" ref="J38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82" s="15" t="s">
        <v>1521</v>
      </c>
      <c r="L382" s="54" t="s">
        <v>66</v>
      </c>
      <c r="M382" t="s">
        <v>100</v>
      </c>
      <c r="N382" s="15" t="s">
        <v>1096</v>
      </c>
      <c r="O382" s="5" t="s">
        <v>164</v>
      </c>
      <c r="P382" s="17" t="s">
        <v>46</v>
      </c>
      <c r="Q382" s="10"/>
      <c r="R382" s="11"/>
      <c r="S382" s="83"/>
      <c r="T382" s="3" t="str">
        <f>IF(AND(ProtocolosKL[[#This Row],[STATUS]]="APROVADO",ProtocolosKL[[#This Row],[WAIVER]]=""),"Y","")</f>
        <v/>
      </c>
      <c r="U382" t="s">
        <v>3004</v>
      </c>
      <c r="V382" s="16" t="str">
        <f t="shared" si="6"/>
        <v>2OPVBKDE SOUZA GROSSI/JOAO EDUARDO</v>
      </c>
      <c r="W382">
        <v>703</v>
      </c>
    </row>
    <row r="383" spans="1:23" hidden="1">
      <c r="A383" s="1">
        <v>45770</v>
      </c>
      <c r="B383" t="s">
        <v>16</v>
      </c>
      <c r="C383" t="s">
        <v>3005</v>
      </c>
      <c r="D383" s="23" t="s">
        <v>3006</v>
      </c>
      <c r="E383" t="s">
        <v>73</v>
      </c>
      <c r="F383" s="19">
        <v>57564931</v>
      </c>
      <c r="G383" s="53">
        <v>574216445565</v>
      </c>
      <c r="H383" s="52">
        <v>70</v>
      </c>
      <c r="I383" s="5" t="s">
        <v>74</v>
      </c>
      <c r="J383" s="52" cm="1">
        <f t="array" ref="J38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70</v>
      </c>
      <c r="K383" s="15" t="s">
        <v>1670</v>
      </c>
      <c r="L383" s="54" t="s">
        <v>172</v>
      </c>
      <c r="M383" t="s">
        <v>43</v>
      </c>
      <c r="N383" s="15" t="s">
        <v>1012</v>
      </c>
      <c r="O383" s="5" t="s">
        <v>436</v>
      </c>
      <c r="P383" s="17" t="s">
        <v>69</v>
      </c>
      <c r="Q383" s="10" t="s">
        <v>1711</v>
      </c>
      <c r="R383" s="11">
        <v>45771</v>
      </c>
      <c r="S383" s="83" t="s">
        <v>3007</v>
      </c>
      <c r="T383" s="3" t="str">
        <f>IF(AND(ProtocolosKL[[#This Row],[STATUS]]="APROVADO",ProtocolosKL[[#This Row],[WAIVER]]=""),"Y","")</f>
        <v/>
      </c>
      <c r="U383" t="s">
        <v>3008</v>
      </c>
      <c r="V383" s="16" t="str">
        <f t="shared" si="6"/>
        <v>4M7OTCGALVAO PHILETO/ANA CLARA</v>
      </c>
      <c r="W383">
        <v>708</v>
      </c>
    </row>
    <row r="384" spans="1:23" hidden="1">
      <c r="A384" s="1">
        <v>45770</v>
      </c>
      <c r="B384" t="s">
        <v>16</v>
      </c>
      <c r="C384" t="s">
        <v>3005</v>
      </c>
      <c r="D384" s="23" t="s">
        <v>3006</v>
      </c>
      <c r="E384" t="s">
        <v>73</v>
      </c>
      <c r="F384" s="19">
        <v>57564931</v>
      </c>
      <c r="G384" s="53">
        <v>574216445566</v>
      </c>
      <c r="H384" s="52">
        <v>70</v>
      </c>
      <c r="I384" s="5" t="s">
        <v>74</v>
      </c>
      <c r="J384" s="52" cm="1">
        <f t="array" ref="J38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70</v>
      </c>
      <c r="K384" s="15" t="s">
        <v>1670</v>
      </c>
      <c r="L384" s="54" t="s">
        <v>172</v>
      </c>
      <c r="M384" t="s">
        <v>43</v>
      </c>
      <c r="N384" s="15" t="s">
        <v>1012</v>
      </c>
      <c r="O384" s="5" t="s">
        <v>436</v>
      </c>
      <c r="P384" s="17" t="s">
        <v>69</v>
      </c>
      <c r="Q384" s="10" t="s">
        <v>1711</v>
      </c>
      <c r="R384" s="11">
        <v>45771</v>
      </c>
      <c r="S384" s="83" t="s">
        <v>3007</v>
      </c>
      <c r="T384" s="3" t="str">
        <f>IF(AND(ProtocolosKL[[#This Row],[STATUS]]="APROVADO",ProtocolosKL[[#This Row],[WAIVER]]=""),"Y","")</f>
        <v/>
      </c>
      <c r="U384" t="s">
        <v>3009</v>
      </c>
      <c r="V384" s="16" t="str">
        <f t="shared" si="6"/>
        <v>4M7OTCJESUS DOS SANTOS/TATIANA</v>
      </c>
      <c r="W384">
        <v>708</v>
      </c>
    </row>
    <row r="385" spans="1:23" hidden="1">
      <c r="A385" s="1">
        <v>45770</v>
      </c>
      <c r="B385" t="s">
        <v>16</v>
      </c>
      <c r="C385" t="s">
        <v>3005</v>
      </c>
      <c r="D385" s="23" t="s">
        <v>3006</v>
      </c>
      <c r="E385" t="s">
        <v>73</v>
      </c>
      <c r="F385" s="19">
        <v>57564931</v>
      </c>
      <c r="G385" s="53">
        <v>574216445567</v>
      </c>
      <c r="H385" s="52">
        <v>70</v>
      </c>
      <c r="I385" s="5" t="s">
        <v>74</v>
      </c>
      <c r="J385" s="52" cm="1">
        <f t="array" ref="J38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70</v>
      </c>
      <c r="K385" s="15" t="s">
        <v>1670</v>
      </c>
      <c r="L385" s="54" t="s">
        <v>172</v>
      </c>
      <c r="M385" t="s">
        <v>43</v>
      </c>
      <c r="N385" s="15" t="s">
        <v>1012</v>
      </c>
      <c r="O385" s="5" t="s">
        <v>436</v>
      </c>
      <c r="P385" s="17" t="s">
        <v>69</v>
      </c>
      <c r="Q385" s="10" t="s">
        <v>1711</v>
      </c>
      <c r="R385" s="11">
        <v>45771</v>
      </c>
      <c r="S385" s="83" t="s">
        <v>3007</v>
      </c>
      <c r="T385" s="3" t="str">
        <f>IF(AND(ProtocolosKL[[#This Row],[STATUS]]="APROVADO",ProtocolosKL[[#This Row],[WAIVER]]=""),"Y","")</f>
        <v/>
      </c>
      <c r="U385" t="s">
        <v>3010</v>
      </c>
      <c r="V385" s="16" t="str">
        <f t="shared" si="6"/>
        <v>4M7OTCREIS DOS SANTOS/ADAILTON</v>
      </c>
      <c r="W385">
        <v>708</v>
      </c>
    </row>
    <row r="386" spans="1:23" hidden="1">
      <c r="A386" s="1">
        <v>45770</v>
      </c>
      <c r="B386" t="s">
        <v>16</v>
      </c>
      <c r="C386" t="s">
        <v>3005</v>
      </c>
      <c r="D386" s="23" t="s">
        <v>3006</v>
      </c>
      <c r="E386" t="s">
        <v>73</v>
      </c>
      <c r="F386" s="19"/>
      <c r="G386" s="53"/>
      <c r="H386" s="52">
        <v>70</v>
      </c>
      <c r="I386" s="5" t="s">
        <v>74</v>
      </c>
      <c r="J386" s="52" t="str" cm="1">
        <f t="array" ref="J38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86" s="15" t="s">
        <v>1670</v>
      </c>
      <c r="L386" s="54" t="s">
        <v>172</v>
      </c>
      <c r="M386" t="s">
        <v>100</v>
      </c>
      <c r="N386" s="15" t="s">
        <v>1012</v>
      </c>
      <c r="O386" s="5" t="s">
        <v>436</v>
      </c>
      <c r="P386" s="17" t="s">
        <v>69</v>
      </c>
      <c r="Q386" s="10"/>
      <c r="R386" s="11"/>
      <c r="S386" s="83"/>
      <c r="T386" s="3" t="str">
        <f>IF(AND(ProtocolosKL[[#This Row],[STATUS]]="APROVADO",ProtocolosKL[[#This Row],[WAIVER]]=""),"Y","")</f>
        <v/>
      </c>
      <c r="U386" t="s">
        <v>3011</v>
      </c>
      <c r="V386" s="16" t="str">
        <f t="shared" si="6"/>
        <v>4M7OTCREIS DOS SANTOS/ANA BEATRIZ</v>
      </c>
      <c r="W386">
        <v>708</v>
      </c>
    </row>
    <row r="387" spans="1:23" hidden="1">
      <c r="A387" s="1">
        <v>45770</v>
      </c>
      <c r="B387" t="s">
        <v>16</v>
      </c>
      <c r="C387" t="s">
        <v>3005</v>
      </c>
      <c r="D387" s="23" t="s">
        <v>3006</v>
      </c>
      <c r="E387" t="s">
        <v>73</v>
      </c>
      <c r="F387" s="19">
        <v>57564931</v>
      </c>
      <c r="G387" s="53">
        <v>574216445569</v>
      </c>
      <c r="H387" s="52">
        <v>70</v>
      </c>
      <c r="I387" s="5" t="s">
        <v>74</v>
      </c>
      <c r="J387" s="52" cm="1">
        <f t="array" ref="J38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70</v>
      </c>
      <c r="K387" s="15" t="s">
        <v>1670</v>
      </c>
      <c r="L387" s="54" t="s">
        <v>172</v>
      </c>
      <c r="M387" t="s">
        <v>43</v>
      </c>
      <c r="N387" s="15" t="s">
        <v>1012</v>
      </c>
      <c r="O387" s="5" t="s">
        <v>436</v>
      </c>
      <c r="P387" s="17" t="s">
        <v>69</v>
      </c>
      <c r="Q387" s="10" t="s">
        <v>1711</v>
      </c>
      <c r="R387" s="11">
        <v>45771</v>
      </c>
      <c r="S387" s="83" t="s">
        <v>3007</v>
      </c>
      <c r="T387" s="3" t="str">
        <f>IF(AND(ProtocolosKL[[#This Row],[STATUS]]="APROVADO",ProtocolosKL[[#This Row],[WAIVER]]=""),"Y","")</f>
        <v/>
      </c>
      <c r="U387" t="s">
        <v>3012</v>
      </c>
      <c r="V387" s="16" t="str">
        <f t="shared" si="6"/>
        <v>4M7OTCREIS DOS SANTOS JUNIOR/ADAILTON</v>
      </c>
      <c r="W387">
        <v>708</v>
      </c>
    </row>
    <row r="388" spans="1:23" ht="15" hidden="1">
      <c r="A388" s="1">
        <v>45770</v>
      </c>
      <c r="B388" t="s">
        <v>16</v>
      </c>
      <c r="C388" t="s">
        <v>3005</v>
      </c>
      <c r="D388" s="23" t="s">
        <v>3006</v>
      </c>
      <c r="E388" t="s">
        <v>73</v>
      </c>
      <c r="F388" s="19">
        <v>57564931</v>
      </c>
      <c r="G388" s="53">
        <v>574216445572</v>
      </c>
      <c r="H388" s="52">
        <v>70</v>
      </c>
      <c r="I388" s="5" t="s">
        <v>74</v>
      </c>
      <c r="J388" s="52" cm="1">
        <f t="array" ref="J38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70</v>
      </c>
      <c r="K388" s="15" t="s">
        <v>1670</v>
      </c>
      <c r="L388" s="54" t="s">
        <v>172</v>
      </c>
      <c r="M388" t="s">
        <v>43</v>
      </c>
      <c r="N388" s="15" t="s">
        <v>1012</v>
      </c>
      <c r="O388" s="5" t="s">
        <v>436</v>
      </c>
      <c r="P388" s="17" t="s">
        <v>69</v>
      </c>
      <c r="Q388" s="10" t="s">
        <v>1711</v>
      </c>
      <c r="R388" s="11">
        <v>45771</v>
      </c>
      <c r="S388" s="83" t="s">
        <v>3013</v>
      </c>
      <c r="T388" s="3" t="str">
        <f>IF(AND(ProtocolosKL[[#This Row],[STATUS]]="APROVADO",ProtocolosKL[[#This Row],[WAIVER]]=""),"Y","")</f>
        <v/>
      </c>
      <c r="U388" t="s">
        <v>3008</v>
      </c>
      <c r="V388" s="16" t="str">
        <f t="shared" si="6"/>
        <v>4M7OTCGALVAO PHILETO/ANA CLARA</v>
      </c>
      <c r="W388">
        <v>709</v>
      </c>
    </row>
    <row r="389" spans="1:23" ht="15" hidden="1">
      <c r="A389" s="1">
        <v>45770</v>
      </c>
      <c r="B389" t="s">
        <v>16</v>
      </c>
      <c r="C389" t="s">
        <v>3005</v>
      </c>
      <c r="D389" s="23" t="s">
        <v>3006</v>
      </c>
      <c r="E389" t="s">
        <v>73</v>
      </c>
      <c r="F389" s="19">
        <v>57564931</v>
      </c>
      <c r="G389" s="53">
        <v>574216445573</v>
      </c>
      <c r="H389" s="52">
        <v>70</v>
      </c>
      <c r="I389" s="5" t="s">
        <v>74</v>
      </c>
      <c r="J389" s="52" cm="1">
        <f t="array" ref="J38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70</v>
      </c>
      <c r="K389" s="15" t="s">
        <v>1670</v>
      </c>
      <c r="L389" s="54" t="s">
        <v>172</v>
      </c>
      <c r="M389" t="s">
        <v>43</v>
      </c>
      <c r="N389" s="15" t="s">
        <v>1012</v>
      </c>
      <c r="O389" s="5" t="s">
        <v>436</v>
      </c>
      <c r="P389" s="17" t="s">
        <v>69</v>
      </c>
      <c r="Q389" s="10" t="s">
        <v>1711</v>
      </c>
      <c r="R389" s="11">
        <v>45771</v>
      </c>
      <c r="S389" s="83" t="s">
        <v>3013</v>
      </c>
      <c r="T389" s="3" t="str">
        <f>IF(AND(ProtocolosKL[[#This Row],[STATUS]]="APROVADO",ProtocolosKL[[#This Row],[WAIVER]]=""),"Y","")</f>
        <v/>
      </c>
      <c r="U389" t="s">
        <v>3009</v>
      </c>
      <c r="V389" s="16" t="str">
        <f t="shared" si="6"/>
        <v>4M7OTCJESUS DOS SANTOS/TATIANA</v>
      </c>
      <c r="W389">
        <v>709</v>
      </c>
    </row>
    <row r="390" spans="1:23" ht="15" hidden="1">
      <c r="A390" s="1">
        <v>45770</v>
      </c>
      <c r="B390" t="s">
        <v>16</v>
      </c>
      <c r="C390" t="s">
        <v>3005</v>
      </c>
      <c r="D390" s="23" t="s">
        <v>3006</v>
      </c>
      <c r="E390" t="s">
        <v>73</v>
      </c>
      <c r="F390" s="19">
        <v>57564931</v>
      </c>
      <c r="G390" s="53">
        <v>574216445574</v>
      </c>
      <c r="H390" s="52">
        <v>70</v>
      </c>
      <c r="I390" s="5" t="s">
        <v>74</v>
      </c>
      <c r="J390" s="52" cm="1">
        <f t="array" ref="J39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70</v>
      </c>
      <c r="K390" s="15" t="s">
        <v>1670</v>
      </c>
      <c r="L390" s="54" t="s">
        <v>172</v>
      </c>
      <c r="M390" t="s">
        <v>43</v>
      </c>
      <c r="N390" s="15" t="s">
        <v>1012</v>
      </c>
      <c r="O390" s="5" t="s">
        <v>436</v>
      </c>
      <c r="P390" s="17" t="s">
        <v>69</v>
      </c>
      <c r="Q390" s="10" t="s">
        <v>1711</v>
      </c>
      <c r="R390" s="11">
        <v>45771</v>
      </c>
      <c r="S390" s="83" t="s">
        <v>3013</v>
      </c>
      <c r="T390" s="3" t="str">
        <f>IF(AND(ProtocolosKL[[#This Row],[STATUS]]="APROVADO",ProtocolosKL[[#This Row],[WAIVER]]=""),"Y","")</f>
        <v/>
      </c>
      <c r="U390" t="s">
        <v>3010</v>
      </c>
      <c r="V390" s="16" t="str">
        <f t="shared" si="6"/>
        <v>4M7OTCREIS DOS SANTOS/ADAILTON</v>
      </c>
      <c r="W390">
        <v>709</v>
      </c>
    </row>
    <row r="391" spans="1:23" ht="15" hidden="1">
      <c r="A391" s="1">
        <v>45770</v>
      </c>
      <c r="B391" t="s">
        <v>16</v>
      </c>
      <c r="C391" t="s">
        <v>3005</v>
      </c>
      <c r="D391" s="23" t="s">
        <v>3006</v>
      </c>
      <c r="E391" t="s">
        <v>73</v>
      </c>
      <c r="F391" s="19"/>
      <c r="G391" s="53"/>
      <c r="H391" s="52">
        <v>70</v>
      </c>
      <c r="I391" s="5" t="s">
        <v>74</v>
      </c>
      <c r="J391" s="52" t="str" cm="1">
        <f t="array" ref="J39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391" s="15" t="s">
        <v>1670</v>
      </c>
      <c r="L391" s="54" t="s">
        <v>172</v>
      </c>
      <c r="M391" t="s">
        <v>100</v>
      </c>
      <c r="N391" s="15" t="s">
        <v>1012</v>
      </c>
      <c r="O391" s="5" t="s">
        <v>436</v>
      </c>
      <c r="P391" s="17" t="s">
        <v>69</v>
      </c>
      <c r="Q391" s="10"/>
      <c r="R391" s="11"/>
      <c r="S391" s="83"/>
      <c r="T391" s="3" t="str">
        <f>IF(AND(ProtocolosKL[[#This Row],[STATUS]]="APROVADO",ProtocolosKL[[#This Row],[WAIVER]]=""),"Y","")</f>
        <v/>
      </c>
      <c r="U391" t="s">
        <v>3011</v>
      </c>
      <c r="V391" s="16" t="str">
        <f t="shared" si="6"/>
        <v>4M7OTCREIS DOS SANTOS/ANA BEATRIZ</v>
      </c>
      <c r="W391">
        <v>709</v>
      </c>
    </row>
    <row r="392" spans="1:23" ht="15" hidden="1">
      <c r="A392" s="1">
        <v>45770</v>
      </c>
      <c r="B392" t="s">
        <v>16</v>
      </c>
      <c r="C392" t="s">
        <v>3005</v>
      </c>
      <c r="D392" s="23" t="s">
        <v>3006</v>
      </c>
      <c r="E392" t="s">
        <v>73</v>
      </c>
      <c r="F392" s="19">
        <v>57564931</v>
      </c>
      <c r="G392" s="53">
        <v>574216445575</v>
      </c>
      <c r="H392" s="52">
        <v>70</v>
      </c>
      <c r="I392" s="5" t="s">
        <v>74</v>
      </c>
      <c r="J392" s="52" cm="1">
        <f t="array" ref="J39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70</v>
      </c>
      <c r="K392" s="15" t="s">
        <v>1670</v>
      </c>
      <c r="L392" s="54" t="s">
        <v>172</v>
      </c>
      <c r="M392" t="s">
        <v>43</v>
      </c>
      <c r="N392" s="15" t="s">
        <v>1012</v>
      </c>
      <c r="O392" s="5" t="s">
        <v>436</v>
      </c>
      <c r="P392" s="17" t="s">
        <v>69</v>
      </c>
      <c r="Q392" s="10" t="s">
        <v>1711</v>
      </c>
      <c r="R392" s="11">
        <v>45771</v>
      </c>
      <c r="S392" s="83" t="s">
        <v>3013</v>
      </c>
      <c r="T392" s="3" t="str">
        <f>IF(AND(ProtocolosKL[[#This Row],[STATUS]]="APROVADO",ProtocolosKL[[#This Row],[WAIVER]]=""),"Y","")</f>
        <v/>
      </c>
      <c r="U392" t="s">
        <v>3012</v>
      </c>
      <c r="V392" s="16" t="str">
        <f t="shared" si="6"/>
        <v>4M7OTCREIS DOS SANTOS JUNIOR/ADAILTON</v>
      </c>
      <c r="W392">
        <v>709</v>
      </c>
    </row>
    <row r="393" spans="1:23" hidden="1">
      <c r="A393" s="1">
        <v>45784</v>
      </c>
      <c r="B393" t="s">
        <v>12</v>
      </c>
      <c r="C393" t="s">
        <v>3014</v>
      </c>
      <c r="D393" s="23" t="s">
        <v>3015</v>
      </c>
      <c r="E393" t="s">
        <v>512</v>
      </c>
      <c r="F393" s="19">
        <v>57564931</v>
      </c>
      <c r="G393" s="53">
        <v>742872823765</v>
      </c>
      <c r="H393" s="52">
        <v>398</v>
      </c>
      <c r="I393" s="5" t="s">
        <v>74</v>
      </c>
      <c r="J393" s="52" cm="1">
        <f t="array" ref="J39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398</v>
      </c>
      <c r="K393" s="15" t="s">
        <v>1779</v>
      </c>
      <c r="L393" s="54" t="s">
        <v>488</v>
      </c>
      <c r="M393" t="s">
        <v>43</v>
      </c>
      <c r="N393" s="15" t="s">
        <v>1552</v>
      </c>
      <c r="O393" s="5" t="s">
        <v>436</v>
      </c>
      <c r="P393" s="17" t="s">
        <v>46</v>
      </c>
      <c r="Q393" s="10" t="s">
        <v>291</v>
      </c>
      <c r="R393" s="11">
        <v>45790</v>
      </c>
      <c r="S393" s="10" t="s">
        <v>3016</v>
      </c>
      <c r="T393" s="3" t="str">
        <f>IF(AND(ProtocolosKL[[#This Row],[STATUS]]="APROVADO",ProtocolosKL[[#This Row],[WAIVER]]=""),"Y","")</f>
        <v/>
      </c>
      <c r="U393" t="s">
        <v>3017</v>
      </c>
      <c r="V393" s="16" t="str">
        <f>_xlfn.CONCAT(C393,U393)</f>
        <v>EJXXVLHERRERO GOMEZ/XAVIER MR</v>
      </c>
      <c r="W393">
        <v>718</v>
      </c>
    </row>
    <row r="394" spans="1:23" hidden="1">
      <c r="A394" s="1">
        <v>45789</v>
      </c>
      <c r="B394" t="s">
        <v>10</v>
      </c>
      <c r="C394" t="s">
        <v>3018</v>
      </c>
      <c r="D394" s="23" t="s">
        <v>3019</v>
      </c>
      <c r="E394" t="s">
        <v>512</v>
      </c>
      <c r="F394" s="19">
        <v>57564931</v>
      </c>
      <c r="G394" s="53">
        <v>742123331831</v>
      </c>
      <c r="H394" s="52">
        <v>397</v>
      </c>
      <c r="I394" s="5" t="s">
        <v>74</v>
      </c>
      <c r="J394" s="52" cm="1">
        <f t="array" ref="J39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397</v>
      </c>
      <c r="K394" s="15" t="s">
        <v>1129</v>
      </c>
      <c r="L394" s="54" t="s">
        <v>488</v>
      </c>
      <c r="M394" t="s">
        <v>43</v>
      </c>
      <c r="N394" s="15" t="s">
        <v>1129</v>
      </c>
      <c r="O394" s="5" t="s">
        <v>1861</v>
      </c>
      <c r="P394" s="17" t="s">
        <v>255</v>
      </c>
      <c r="Q394" s="10" t="s">
        <v>1473</v>
      </c>
      <c r="R394" s="11">
        <v>45790</v>
      </c>
      <c r="S394" s="10" t="s">
        <v>3020</v>
      </c>
      <c r="T394" s="3" t="str">
        <f>IF(AND(ProtocolosKL[[#This Row],[STATUS]]="APROVADO",ProtocolosKL[[#This Row],[WAIVER]]=""),"Y","")</f>
        <v/>
      </c>
      <c r="U394" t="s">
        <v>3021</v>
      </c>
      <c r="V394" s="16" t="str">
        <f>_xlfn.CONCAT(C394,U394)</f>
        <v>26VFG9DA COSTA FONSECA/DULCE ANTONIA</v>
      </c>
      <c r="W394">
        <v>719</v>
      </c>
    </row>
    <row r="395" spans="1:23" hidden="1">
      <c r="A395" s="1">
        <v>45789</v>
      </c>
      <c r="B395" t="s">
        <v>10</v>
      </c>
      <c r="C395" t="s">
        <v>3018</v>
      </c>
      <c r="D395" s="23" t="s">
        <v>3019</v>
      </c>
      <c r="E395" t="s">
        <v>512</v>
      </c>
      <c r="F395" s="19">
        <v>57564931</v>
      </c>
      <c r="G395" s="53">
        <v>742123331830</v>
      </c>
      <c r="H395" s="52">
        <v>397</v>
      </c>
      <c r="I395" s="5" t="s">
        <v>74</v>
      </c>
      <c r="J395" s="52" cm="1">
        <f t="array" ref="J39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397</v>
      </c>
      <c r="K395" s="15" t="s">
        <v>1129</v>
      </c>
      <c r="L395" s="54" t="s">
        <v>488</v>
      </c>
      <c r="M395" t="s">
        <v>43</v>
      </c>
      <c r="N395" s="15" t="s">
        <v>1129</v>
      </c>
      <c r="O395" s="5" t="s">
        <v>1861</v>
      </c>
      <c r="P395" s="17" t="s">
        <v>255</v>
      </c>
      <c r="Q395" s="10" t="s">
        <v>1473</v>
      </c>
      <c r="R395" s="11">
        <v>45790</v>
      </c>
      <c r="S395" s="10" t="s">
        <v>3020</v>
      </c>
      <c r="T395" s="3" t="str">
        <f>IF(AND(ProtocolosKL[[#This Row],[STATUS]]="APROVADO",ProtocolosKL[[#This Row],[WAIVER]]=""),"Y","")</f>
        <v/>
      </c>
      <c r="U395" t="s">
        <v>3022</v>
      </c>
      <c r="V395" s="16" t="str">
        <f t="shared" ref="V395:V398" si="7">_xlfn.CONCAT(C395,U395)</f>
        <v>26VFG9DA SILVA/LUANA</v>
      </c>
      <c r="W395">
        <v>720</v>
      </c>
    </row>
    <row r="396" spans="1:23" hidden="1">
      <c r="A396" s="1">
        <v>45789</v>
      </c>
      <c r="B396" t="s">
        <v>10</v>
      </c>
      <c r="C396" t="s">
        <v>3018</v>
      </c>
      <c r="D396" s="23" t="s">
        <v>3019</v>
      </c>
      <c r="E396" t="s">
        <v>512</v>
      </c>
      <c r="F396" s="19">
        <v>57564931</v>
      </c>
      <c r="G396" s="53">
        <v>742123331833</v>
      </c>
      <c r="H396" s="52">
        <v>397</v>
      </c>
      <c r="I396" s="5" t="s">
        <v>74</v>
      </c>
      <c r="J396" s="52" cm="1">
        <f t="array" ref="J39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397</v>
      </c>
      <c r="K396" s="15" t="s">
        <v>1129</v>
      </c>
      <c r="L396" s="54" t="s">
        <v>488</v>
      </c>
      <c r="M396" t="s">
        <v>43</v>
      </c>
      <c r="N396" s="15" t="s">
        <v>1129</v>
      </c>
      <c r="O396" s="5" t="s">
        <v>1861</v>
      </c>
      <c r="P396" s="17" t="s">
        <v>255</v>
      </c>
      <c r="Q396" s="10" t="s">
        <v>1473</v>
      </c>
      <c r="R396" s="11">
        <v>45790</v>
      </c>
      <c r="S396" s="10" t="s">
        <v>3020</v>
      </c>
      <c r="T396" s="3" t="str">
        <f>IF(AND(ProtocolosKL[[#This Row],[STATUS]]="APROVADO",ProtocolosKL[[#This Row],[WAIVER]]=""),"Y","")</f>
        <v/>
      </c>
      <c r="U396" t="s">
        <v>3023</v>
      </c>
      <c r="V396" s="16" t="str">
        <f t="shared" si="7"/>
        <v>26VFG9NETZ/GERSON EDUARDO</v>
      </c>
      <c r="W396">
        <v>721</v>
      </c>
    </row>
    <row r="397" spans="1:23" hidden="1">
      <c r="A397" s="1">
        <v>45789</v>
      </c>
      <c r="B397" t="s">
        <v>10</v>
      </c>
      <c r="C397" t="s">
        <v>3018</v>
      </c>
      <c r="D397" s="23" t="s">
        <v>3019</v>
      </c>
      <c r="E397" t="s">
        <v>512</v>
      </c>
      <c r="F397" s="19">
        <v>57564931</v>
      </c>
      <c r="G397" s="53">
        <v>742123331834</v>
      </c>
      <c r="H397" s="52">
        <v>397</v>
      </c>
      <c r="I397" s="5" t="s">
        <v>74</v>
      </c>
      <c r="J397" s="52" cm="1">
        <f t="array" ref="J39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397</v>
      </c>
      <c r="K397" s="15" t="s">
        <v>1129</v>
      </c>
      <c r="L397" s="54" t="s">
        <v>488</v>
      </c>
      <c r="M397" t="s">
        <v>43</v>
      </c>
      <c r="N397" s="15" t="s">
        <v>1129</v>
      </c>
      <c r="O397" s="5" t="s">
        <v>1861</v>
      </c>
      <c r="P397" s="17" t="s">
        <v>255</v>
      </c>
      <c r="Q397" s="10" t="s">
        <v>1473</v>
      </c>
      <c r="R397" s="11">
        <v>45790</v>
      </c>
      <c r="S397" s="10" t="s">
        <v>3020</v>
      </c>
      <c r="T397" s="3" t="str">
        <f>IF(AND(ProtocolosKL[[#This Row],[STATUS]]="APROVADO",ProtocolosKL[[#This Row],[WAIVER]]=""),"Y","")</f>
        <v/>
      </c>
      <c r="U397" t="s">
        <v>3024</v>
      </c>
      <c r="V397" s="16" t="str">
        <f t="shared" si="7"/>
        <v>26VFG9NETZ/LIVIA MARIA</v>
      </c>
      <c r="W397">
        <v>722</v>
      </c>
    </row>
    <row r="398" spans="1:23" hidden="1">
      <c r="A398" s="1">
        <v>45789</v>
      </c>
      <c r="B398" t="s">
        <v>10</v>
      </c>
      <c r="C398" t="s">
        <v>3018</v>
      </c>
      <c r="D398" s="23" t="s">
        <v>3019</v>
      </c>
      <c r="E398" t="s">
        <v>512</v>
      </c>
      <c r="F398" s="19">
        <v>57564931</v>
      </c>
      <c r="G398" s="53">
        <v>742123331832</v>
      </c>
      <c r="H398" s="52">
        <v>397</v>
      </c>
      <c r="I398" s="5" t="s">
        <v>74</v>
      </c>
      <c r="J398" s="52" cm="1">
        <f t="array" ref="J39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397</v>
      </c>
      <c r="K398" s="15" t="s">
        <v>1129</v>
      </c>
      <c r="L398" s="54" t="s">
        <v>488</v>
      </c>
      <c r="M398" t="s">
        <v>43</v>
      </c>
      <c r="N398" s="15" t="s">
        <v>1129</v>
      </c>
      <c r="O398" s="5" t="s">
        <v>1861</v>
      </c>
      <c r="P398" s="17" t="s">
        <v>255</v>
      </c>
      <c r="Q398" s="10" t="s">
        <v>1473</v>
      </c>
      <c r="R398" s="11">
        <v>45790</v>
      </c>
      <c r="S398" s="10" t="s">
        <v>3020</v>
      </c>
      <c r="T398" s="3" t="str">
        <f>IF(AND(ProtocolosKL[[#This Row],[STATUS]]="APROVADO",ProtocolosKL[[#This Row],[WAIVER]]=""),"Y","")</f>
        <v/>
      </c>
      <c r="U398" t="s">
        <v>3025</v>
      </c>
      <c r="V398" s="16" t="str">
        <f t="shared" si="7"/>
        <v>26VFG9SOARES JUNIOR/JAIR</v>
      </c>
      <c r="W398">
        <v>723</v>
      </c>
    </row>
    <row r="399" spans="1:23" hidden="1">
      <c r="A399" s="1">
        <v>45790</v>
      </c>
      <c r="B399" t="s">
        <v>14</v>
      </c>
      <c r="C399" t="s">
        <v>3026</v>
      </c>
      <c r="D399" s="23" t="s">
        <v>3026</v>
      </c>
      <c r="E399" t="s">
        <v>512</v>
      </c>
      <c r="F399" s="19">
        <v>57564931</v>
      </c>
      <c r="G399" s="53">
        <v>746373551762</v>
      </c>
      <c r="H399" s="52">
        <v>179</v>
      </c>
      <c r="I399" s="5" t="s">
        <v>74</v>
      </c>
      <c r="J399" s="52" cm="1">
        <f t="array" ref="J39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179</v>
      </c>
      <c r="K399" s="15" t="s">
        <v>1279</v>
      </c>
      <c r="L399" s="54" t="s">
        <v>172</v>
      </c>
      <c r="M399" t="s">
        <v>43</v>
      </c>
      <c r="N399" s="15" t="s">
        <v>1279</v>
      </c>
      <c r="O399" s="5" t="s">
        <v>134</v>
      </c>
      <c r="P399" s="17" t="s">
        <v>69</v>
      </c>
      <c r="Q399" s="10" t="s">
        <v>1473</v>
      </c>
      <c r="R399" s="11">
        <v>45791</v>
      </c>
      <c r="S399" s="10" t="s">
        <v>3027</v>
      </c>
      <c r="T399" s="3" t="str">
        <f>IF(AND(ProtocolosKL[[#This Row],[STATUS]]="APROVADO",ProtocolosKL[[#This Row],[WAIVER]]=""),"Y","")</f>
        <v/>
      </c>
      <c r="U399" t="s">
        <v>3028</v>
      </c>
      <c r="V399" s="16" t="str">
        <f>_xlfn.CONCAT(C399,U399)</f>
        <v>ASV5FNABREU DOS SANTOS/MARIA CLARA MRS</v>
      </c>
      <c r="W399">
        <v>725</v>
      </c>
    </row>
    <row r="400" spans="1:23" hidden="1">
      <c r="A400" s="1">
        <v>45790</v>
      </c>
      <c r="B400" t="s">
        <v>14</v>
      </c>
      <c r="C400" t="s">
        <v>3026</v>
      </c>
      <c r="D400" s="23" t="s">
        <v>3026</v>
      </c>
      <c r="E400" t="s">
        <v>512</v>
      </c>
      <c r="F400" s="19">
        <v>57564931</v>
      </c>
      <c r="G400" s="53">
        <v>746373551765</v>
      </c>
      <c r="H400" s="52">
        <v>179</v>
      </c>
      <c r="I400" s="5" t="s">
        <v>74</v>
      </c>
      <c r="J400" s="52" cm="1">
        <f t="array" ref="J40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179</v>
      </c>
      <c r="K400" s="15" t="s">
        <v>1279</v>
      </c>
      <c r="L400" s="54" t="s">
        <v>172</v>
      </c>
      <c r="M400" t="s">
        <v>43</v>
      </c>
      <c r="N400" s="15" t="s">
        <v>1279</v>
      </c>
      <c r="O400" s="5" t="s">
        <v>134</v>
      </c>
      <c r="P400" s="17" t="s">
        <v>69</v>
      </c>
      <c r="Q400" s="10" t="s">
        <v>1473</v>
      </c>
      <c r="R400" s="11">
        <v>45791</v>
      </c>
      <c r="S400" s="10" t="s">
        <v>3027</v>
      </c>
      <c r="T400" s="3" t="str">
        <f>IF(AND(ProtocolosKL[[#This Row],[STATUS]]="APROVADO",ProtocolosKL[[#This Row],[WAIVER]]=""),"Y","")</f>
        <v/>
      </c>
      <c r="U400" t="s">
        <v>3029</v>
      </c>
      <c r="V400" s="16" t="str">
        <f>_xlfn.CONCAT(C400,U400)</f>
        <v>ASV5FNFERREIRA MORAES/MARIA ALICE MRS</v>
      </c>
      <c r="W400">
        <v>725</v>
      </c>
    </row>
    <row r="401" spans="1:23" hidden="1">
      <c r="A401" s="1">
        <v>45790</v>
      </c>
      <c r="B401" t="s">
        <v>14</v>
      </c>
      <c r="C401" t="s">
        <v>3026</v>
      </c>
      <c r="D401" s="23" t="s">
        <v>3026</v>
      </c>
      <c r="E401" t="s">
        <v>512</v>
      </c>
      <c r="F401" s="19">
        <v>57564931</v>
      </c>
      <c r="G401" s="53">
        <v>746373551765</v>
      </c>
      <c r="H401" s="52">
        <v>179</v>
      </c>
      <c r="I401" s="5" t="s">
        <v>74</v>
      </c>
      <c r="J401" s="52" cm="1">
        <f t="array" ref="J40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179</v>
      </c>
      <c r="K401" s="15" t="s">
        <v>1279</v>
      </c>
      <c r="L401" s="54" t="s">
        <v>172</v>
      </c>
      <c r="M401" t="s">
        <v>43</v>
      </c>
      <c r="N401" s="15" t="s">
        <v>1279</v>
      </c>
      <c r="O401" s="5" t="s">
        <v>134</v>
      </c>
      <c r="P401" s="17" t="s">
        <v>69</v>
      </c>
      <c r="Q401" s="10" t="s">
        <v>1473</v>
      </c>
      <c r="R401" s="11">
        <v>45791</v>
      </c>
      <c r="S401" s="10" t="s">
        <v>3027</v>
      </c>
      <c r="T401" s="3" t="str">
        <f>IF(AND(ProtocolosKL[[#This Row],[STATUS]]="APROVADO",ProtocolosKL[[#This Row],[WAIVER]]=""),"Y","")</f>
        <v/>
      </c>
      <c r="U401" t="s">
        <v>3030</v>
      </c>
      <c r="V401" s="16" t="str">
        <f>_xlfn.CONCAT(C401,U401)</f>
        <v>ASV5FNPALLOTA ABREU DOS SANTOS/MARCELO MR</v>
      </c>
      <c r="W401">
        <v>725</v>
      </c>
    </row>
    <row r="402" spans="1:23" ht="15" hidden="1">
      <c r="A402" s="1">
        <v>45799</v>
      </c>
      <c r="B402" t="s">
        <v>14</v>
      </c>
      <c r="C402" t="s">
        <v>3031</v>
      </c>
      <c r="D402" s="23" t="s">
        <v>3031</v>
      </c>
      <c r="E402" t="s">
        <v>41</v>
      </c>
      <c r="F402" s="19">
        <v>57564931</v>
      </c>
      <c r="G402" s="53">
        <v>746373611192</v>
      </c>
      <c r="H402" s="52">
        <v>5609</v>
      </c>
      <c r="I402" s="5">
        <v>0.08</v>
      </c>
      <c r="J402" s="52" cm="1">
        <f t="array" ref="J40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449</v>
      </c>
      <c r="K402" s="15" t="s">
        <v>3032</v>
      </c>
      <c r="L402" s="54" t="s">
        <v>66</v>
      </c>
      <c r="M402" t="s">
        <v>43</v>
      </c>
      <c r="N402" s="15" t="s">
        <v>1279</v>
      </c>
      <c r="O402" s="5" t="s">
        <v>3033</v>
      </c>
      <c r="P402" s="17" t="s">
        <v>46</v>
      </c>
      <c r="Q402" s="83" t="s">
        <v>1756</v>
      </c>
      <c r="R402" s="11">
        <v>45800</v>
      </c>
      <c r="S402" s="10" t="s">
        <v>3034</v>
      </c>
      <c r="T402" s="3" t="str">
        <f>IF(AND(ProtocolosKL[[#This Row],[STATUS]]="APROVADO",ProtocolosKL[[#This Row],[WAIVER]]=""),"Y","")</f>
        <v/>
      </c>
      <c r="U402" t="s">
        <v>3035</v>
      </c>
      <c r="V402" s="16" t="str">
        <f>_xlfn.CONCAT(C402,U402)</f>
        <v>CZGFLRDOS REIS/LUIZ FERNANDO</v>
      </c>
      <c r="W402">
        <v>727</v>
      </c>
    </row>
    <row r="403" spans="1:23" ht="15" hidden="1">
      <c r="A403" s="1">
        <v>45799</v>
      </c>
      <c r="B403" t="s">
        <v>14</v>
      </c>
      <c r="C403" t="s">
        <v>3031</v>
      </c>
      <c r="D403" s="23" t="s">
        <v>3031</v>
      </c>
      <c r="E403" t="s">
        <v>41</v>
      </c>
      <c r="F403" s="19">
        <v>57564931</v>
      </c>
      <c r="G403" s="53">
        <v>746373611194</v>
      </c>
      <c r="H403" s="52">
        <v>5609</v>
      </c>
      <c r="I403" s="5">
        <v>0.08</v>
      </c>
      <c r="J403" s="52" cm="1">
        <f t="array" ref="J40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449</v>
      </c>
      <c r="K403" s="15" t="s">
        <v>3032</v>
      </c>
      <c r="L403" s="54" t="s">
        <v>66</v>
      </c>
      <c r="M403" t="s">
        <v>43</v>
      </c>
      <c r="N403" s="15" t="s">
        <v>1279</v>
      </c>
      <c r="O403" s="5" t="s">
        <v>3033</v>
      </c>
      <c r="P403" s="17" t="s">
        <v>46</v>
      </c>
      <c r="Q403" s="83" t="s">
        <v>1756</v>
      </c>
      <c r="R403" s="11">
        <v>45800</v>
      </c>
      <c r="S403" s="10" t="s">
        <v>3034</v>
      </c>
      <c r="T403" s="3" t="str">
        <f>IF(AND(ProtocolosKL[[#This Row],[STATUS]]="APROVADO",ProtocolosKL[[#This Row],[WAIVER]]=""),"Y","")</f>
        <v/>
      </c>
      <c r="U403" t="s">
        <v>3036</v>
      </c>
      <c r="V403" s="16" t="str">
        <f>_xlfn.CONCAT(C403,U403)</f>
        <v>CZGFLRFINOCCHIO MARTINS/PAULO GUSTAVO</v>
      </c>
      <c r="W403">
        <v>727</v>
      </c>
    </row>
    <row r="404" spans="1:23" ht="15" hidden="1">
      <c r="A404" s="1">
        <v>45799</v>
      </c>
      <c r="B404" t="s">
        <v>14</v>
      </c>
      <c r="C404" t="s">
        <v>3031</v>
      </c>
      <c r="D404" s="23" t="s">
        <v>3031</v>
      </c>
      <c r="E404" t="s">
        <v>41</v>
      </c>
      <c r="F404" s="19">
        <v>57564931</v>
      </c>
      <c r="G404" s="53">
        <v>746373611196</v>
      </c>
      <c r="H404" s="52">
        <v>5609</v>
      </c>
      <c r="I404" s="5">
        <v>0.08</v>
      </c>
      <c r="J404" s="52" cm="1">
        <f t="array" ref="J40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449</v>
      </c>
      <c r="K404" s="15" t="s">
        <v>3032</v>
      </c>
      <c r="L404" s="54" t="s">
        <v>66</v>
      </c>
      <c r="M404" t="s">
        <v>43</v>
      </c>
      <c r="N404" s="15" t="s">
        <v>1279</v>
      </c>
      <c r="O404" s="5" t="s">
        <v>3033</v>
      </c>
      <c r="P404" s="17" t="s">
        <v>46</v>
      </c>
      <c r="Q404" s="83" t="s">
        <v>1756</v>
      </c>
      <c r="R404" s="11">
        <v>45800</v>
      </c>
      <c r="S404" s="10" t="s">
        <v>3034</v>
      </c>
      <c r="T404" s="3" t="str">
        <f>IF(AND(ProtocolosKL[[#This Row],[STATUS]]="APROVADO",ProtocolosKL[[#This Row],[WAIVER]]=""),"Y","")</f>
        <v/>
      </c>
      <c r="U404" t="s">
        <v>3037</v>
      </c>
      <c r="V404" s="16" t="str">
        <f>_xlfn.CONCAT(C404,U404)</f>
        <v>CZGFLRSILVA LOPES/EVELYSE</v>
      </c>
      <c r="W404">
        <v>727</v>
      </c>
    </row>
    <row r="405" spans="1:23" ht="15" hidden="1">
      <c r="A405" s="1">
        <v>45869</v>
      </c>
      <c r="B405" t="s">
        <v>13</v>
      </c>
      <c r="C405" t="s">
        <v>3038</v>
      </c>
      <c r="D405" s="23" t="s">
        <v>3038</v>
      </c>
      <c r="E405" t="s">
        <v>207</v>
      </c>
      <c r="F405" s="19"/>
      <c r="G405" s="53"/>
      <c r="H405" s="52">
        <v>66</v>
      </c>
      <c r="I405" s="5" t="s">
        <v>74</v>
      </c>
      <c r="J405" s="52" t="str" cm="1">
        <f t="array" ref="J40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405" s="15" t="s">
        <v>1089</v>
      </c>
      <c r="L405" s="54" t="s">
        <v>529</v>
      </c>
      <c r="M405" t="s">
        <v>100</v>
      </c>
      <c r="N405" s="15" t="s">
        <v>1089</v>
      </c>
      <c r="O405" s="5" t="s">
        <v>1192</v>
      </c>
      <c r="P405" s="17" t="s">
        <v>146</v>
      </c>
      <c r="Q405" s="83"/>
      <c r="R405" s="11"/>
      <c r="S405" s="10"/>
      <c r="T405" s="3" t="str">
        <f>IF(AND(ProtocolosKL[[#This Row],[STATUS]]="APROVADO",ProtocolosKL[[#This Row],[WAIVER]]=""),"Y","")</f>
        <v/>
      </c>
      <c r="U405" t="s">
        <v>3039</v>
      </c>
      <c r="V405" s="16" t="str">
        <f>_xlfn.CONCAT(C405,U405)</f>
        <v>BTLXKG  CHIODI SILVA/MAICON FELIPE</v>
      </c>
      <c r="W405">
        <v>753</v>
      </c>
    </row>
    <row r="406" spans="1:23" ht="15" hidden="1">
      <c r="A406" s="1">
        <v>45873</v>
      </c>
      <c r="B406" t="s">
        <v>12</v>
      </c>
      <c r="C406" t="s">
        <v>3040</v>
      </c>
      <c r="D406" s="23" t="s">
        <v>3041</v>
      </c>
      <c r="E406" t="s">
        <v>73</v>
      </c>
      <c r="F406" s="19">
        <v>57564931</v>
      </c>
      <c r="G406" s="91" t="s">
        <v>3042</v>
      </c>
      <c r="H406" s="52">
        <v>212</v>
      </c>
      <c r="I406" s="5" t="s">
        <v>74</v>
      </c>
      <c r="J406" s="52" cm="1">
        <f t="array" ref="J40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212</v>
      </c>
      <c r="K406" s="15" t="s">
        <v>1603</v>
      </c>
      <c r="L406" s="54" t="s">
        <v>172</v>
      </c>
      <c r="M406" t="s">
        <v>43</v>
      </c>
      <c r="N406" s="15" t="s">
        <v>1552</v>
      </c>
      <c r="O406" s="5" t="s">
        <v>2290</v>
      </c>
      <c r="P406" s="17" t="s">
        <v>146</v>
      </c>
      <c r="Q406" s="83" t="s">
        <v>1819</v>
      </c>
      <c r="R406" s="11">
        <v>45897</v>
      </c>
      <c r="S406" s="10" t="s">
        <v>3043</v>
      </c>
      <c r="T406" s="3" t="str">
        <f>IF(AND(ProtocolosKL[[#This Row],[STATUS]]="APROVADO",ProtocolosKL[[#This Row],[WAIVER]]=""),"Y","")</f>
        <v/>
      </c>
      <c r="U406" t="s">
        <v>3044</v>
      </c>
      <c r="V406" s="16" t="str">
        <f>_xlfn.CONCAT(C406,U406)</f>
        <v xml:space="preserve"> BAD3DVTORRECILHAS BERTUCO/CESAR AUGUSTO</v>
      </c>
      <c r="W406">
        <v>756</v>
      </c>
    </row>
    <row r="407" spans="1:23" ht="15" hidden="1">
      <c r="A407" s="1">
        <v>45880</v>
      </c>
      <c r="B407" t="s">
        <v>11</v>
      </c>
      <c r="C407" t="s">
        <v>3045</v>
      </c>
      <c r="D407" s="23" t="s">
        <v>3045</v>
      </c>
      <c r="E407" t="s">
        <v>73</v>
      </c>
      <c r="F407" s="19"/>
      <c r="G407" s="53"/>
      <c r="H407" s="52">
        <v>470</v>
      </c>
      <c r="I407" s="5" t="s">
        <v>74</v>
      </c>
      <c r="J407" s="52" t="str" cm="1">
        <f t="array" ref="J40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407" s="15" t="s">
        <v>892</v>
      </c>
      <c r="L407" s="54" t="s">
        <v>529</v>
      </c>
      <c r="M407" t="s">
        <v>100</v>
      </c>
      <c r="N407" s="15" t="s">
        <v>1458</v>
      </c>
      <c r="O407" s="5" t="s">
        <v>436</v>
      </c>
      <c r="P407" s="17" t="s">
        <v>146</v>
      </c>
      <c r="Q407" s="83"/>
      <c r="R407" s="11"/>
      <c r="S407" s="10"/>
      <c r="T407" s="3" t="str">
        <f>IF(AND(ProtocolosKL[[#This Row],[STATUS]]="APROVADO",ProtocolosKL[[#This Row],[WAIVER]]=""),"Y","")</f>
        <v/>
      </c>
      <c r="U407" t="s">
        <v>3046</v>
      </c>
      <c r="V407" s="16" t="str">
        <f>_xlfn.CONCAT(C407,U407)</f>
        <v>C5NWNWHENRIQUES DIAS DA SILVA/MARIA ALICE</v>
      </c>
      <c r="W407">
        <v>757</v>
      </c>
    </row>
    <row r="408" spans="1:23" ht="15" hidden="1">
      <c r="A408" s="1">
        <v>45881</v>
      </c>
      <c r="B408" t="s">
        <v>13</v>
      </c>
      <c r="C408" t="s">
        <v>3047</v>
      </c>
      <c r="D408" s="23" t="s">
        <v>3048</v>
      </c>
      <c r="E408" t="s">
        <v>73</v>
      </c>
      <c r="F408" s="19">
        <v>57564931</v>
      </c>
      <c r="G408" s="53"/>
      <c r="H408" s="52">
        <v>150</v>
      </c>
      <c r="I408" s="5" t="s">
        <v>74</v>
      </c>
      <c r="J408" s="52" t="str" cm="1">
        <f t="array" ref="J40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408" s="15" t="s">
        <v>1089</v>
      </c>
      <c r="L408" s="54" t="s">
        <v>172</v>
      </c>
      <c r="M408" t="s">
        <v>100</v>
      </c>
      <c r="N408" s="15" t="s">
        <v>1089</v>
      </c>
      <c r="O408" s="5" t="s">
        <v>436</v>
      </c>
      <c r="P408" s="17" t="s">
        <v>46</v>
      </c>
      <c r="Q408" s="83"/>
      <c r="R408" s="11"/>
      <c r="S408" s="10" t="s">
        <v>3049</v>
      </c>
      <c r="T408" s="3" t="str">
        <f>IF(AND(ProtocolosKL[[#This Row],[STATUS]]="APROVADO",ProtocolosKL[[#This Row],[WAIVER]]=""),"Y","")</f>
        <v/>
      </c>
      <c r="U408" t="s">
        <v>3050</v>
      </c>
      <c r="V408" s="16" t="str">
        <f>_xlfn.CONCAT(C408,U408)</f>
        <v>C5HMWISAMMARONE/MALVINA JANE</v>
      </c>
      <c r="W408">
        <v>758</v>
      </c>
    </row>
    <row r="409" spans="1:23" ht="15" hidden="1">
      <c r="A409" s="1">
        <v>45930</v>
      </c>
      <c r="B409" t="s">
        <v>14</v>
      </c>
      <c r="C409" t="s">
        <v>3051</v>
      </c>
      <c r="D409" s="23" t="s">
        <v>3052</v>
      </c>
      <c r="E409" t="s">
        <v>512</v>
      </c>
      <c r="F409" s="19">
        <v>57564931</v>
      </c>
      <c r="G409" s="53">
        <v>742953156928</v>
      </c>
      <c r="H409" s="52">
        <v>171</v>
      </c>
      <c r="I409" s="5" t="s">
        <v>74</v>
      </c>
      <c r="J409" s="52" cm="1">
        <f t="array" ref="J40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171</v>
      </c>
      <c r="K409" s="15" t="s">
        <v>1911</v>
      </c>
      <c r="L409" s="54" t="s">
        <v>172</v>
      </c>
      <c r="M409" t="s">
        <v>43</v>
      </c>
      <c r="N409" s="15" t="s">
        <v>1096</v>
      </c>
      <c r="O409" s="5" t="s">
        <v>436</v>
      </c>
      <c r="P409" s="17" t="s">
        <v>146</v>
      </c>
      <c r="Q409" s="83" t="s">
        <v>3053</v>
      </c>
      <c r="R409" s="11">
        <v>45930</v>
      </c>
      <c r="S409" s="10" t="s">
        <v>3054</v>
      </c>
      <c r="T409" s="3" t="str">
        <f>IF(AND(ProtocolosKL[[#This Row],[STATUS]]="APROVADO",ProtocolosKL[[#This Row],[WAIVER]]=""),"Y","")</f>
        <v/>
      </c>
      <c r="U409" t="s">
        <v>3055</v>
      </c>
      <c r="V409" s="16" t="str">
        <f>_xlfn.CONCAT(C409,U409)</f>
        <v>EVLUTMZAIA SANCHES/ADRIANA MARIA</v>
      </c>
      <c r="W409">
        <v>771</v>
      </c>
    </row>
    <row r="410" spans="1:23" ht="15" hidden="1">
      <c r="A410" s="1">
        <v>45951</v>
      </c>
      <c r="B410" t="s">
        <v>10</v>
      </c>
      <c r="C410" t="s">
        <v>3056</v>
      </c>
      <c r="D410" s="23" t="s">
        <v>3057</v>
      </c>
      <c r="E410" t="s">
        <v>512</v>
      </c>
      <c r="F410" s="19">
        <v>57564931</v>
      </c>
      <c r="G410" s="92">
        <v>742953287047</v>
      </c>
      <c r="H410" s="89">
        <v>172</v>
      </c>
      <c r="I410" s="3" t="s">
        <v>74</v>
      </c>
      <c r="J410" s="89" cm="1">
        <f t="array" ref="J41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172</v>
      </c>
      <c r="K410" s="15" t="s">
        <v>1939</v>
      </c>
      <c r="L410" s="90" t="s">
        <v>172</v>
      </c>
      <c r="M410" t="s">
        <v>43</v>
      </c>
      <c r="N410" s="15" t="s">
        <v>1129</v>
      </c>
      <c r="O410" s="3" t="s">
        <v>948</v>
      </c>
      <c r="P410" s="3" t="s">
        <v>69</v>
      </c>
      <c r="Q410" s="10" t="s">
        <v>222</v>
      </c>
      <c r="R410" s="11">
        <v>45951</v>
      </c>
      <c r="S410" s="10" t="s">
        <v>1970</v>
      </c>
      <c r="T410" s="3" t="str">
        <f>IF(AND(ProtocolosKL[[#This Row],[STATUS]]="APROVADO",ProtocolosKL[[#This Row],[WAIVER]]=""),"Y","")</f>
        <v/>
      </c>
      <c r="U410" t="s">
        <v>3058</v>
      </c>
      <c r="V410" s="16" t="str">
        <f>_xlfn.CONCAT(C410,U410)</f>
        <v>NZKIGRMACEDO FARIAS/JOEDSON MR</v>
      </c>
    </row>
    <row r="411" spans="1:23" ht="15" hidden="1">
      <c r="A411" s="1">
        <v>45964</v>
      </c>
      <c r="B411" t="s">
        <v>13</v>
      </c>
      <c r="C411" t="s">
        <v>3059</v>
      </c>
      <c r="D411" s="23" t="s">
        <v>3059</v>
      </c>
      <c r="E411" t="s">
        <v>512</v>
      </c>
      <c r="F411" s="19">
        <v>57564931</v>
      </c>
      <c r="G411" s="92">
        <v>746055601470</v>
      </c>
      <c r="H411" s="89">
        <v>150</v>
      </c>
      <c r="I411" s="3" t="s">
        <v>74</v>
      </c>
      <c r="J411" s="89" cm="1">
        <f t="array" ref="J41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150</v>
      </c>
      <c r="K411" s="15" t="s">
        <v>1089</v>
      </c>
      <c r="L411" s="90" t="s">
        <v>3060</v>
      </c>
      <c r="M411" t="s">
        <v>43</v>
      </c>
      <c r="N411" s="15" t="s">
        <v>1089</v>
      </c>
      <c r="O411" s="3" t="s">
        <v>711</v>
      </c>
      <c r="P411" s="3" t="s">
        <v>69</v>
      </c>
      <c r="Q411" s="10" t="s">
        <v>1678</v>
      </c>
      <c r="R411" s="11">
        <v>45966</v>
      </c>
      <c r="S411" s="10" t="s">
        <v>3061</v>
      </c>
      <c r="T411" s="3" t="str">
        <f>IF(AND(ProtocolosKL[[#This Row],[STATUS]]="APROVADO",ProtocolosKL[[#This Row],[WAIVER]]=""),"Y","")</f>
        <v/>
      </c>
      <c r="U411" t="s">
        <v>3062</v>
      </c>
      <c r="V411" s="16" t="str">
        <f>_xlfn.CONCAT(C411,U411)</f>
        <v>AQVDHPAMIEIRO/CAROLINA</v>
      </c>
      <c r="W411">
        <v>785</v>
      </c>
    </row>
    <row r="412" spans="1:23" ht="15" hidden="1">
      <c r="A412" s="1">
        <v>45980</v>
      </c>
      <c r="B412" t="s">
        <v>10</v>
      </c>
      <c r="C412" t="s">
        <v>3063</v>
      </c>
      <c r="D412" s="23" t="s">
        <v>3063</v>
      </c>
      <c r="E412" t="s">
        <v>512</v>
      </c>
      <c r="F412" s="19">
        <v>57564931</v>
      </c>
      <c r="G412" s="92">
        <v>746055693728</v>
      </c>
      <c r="H412" s="89">
        <v>130</v>
      </c>
      <c r="I412" s="3" t="s">
        <v>74</v>
      </c>
      <c r="J412" s="89" cm="1">
        <f t="array" ref="J41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130</v>
      </c>
      <c r="K412" s="15" t="s">
        <v>1939</v>
      </c>
      <c r="L412" s="90" t="s">
        <v>76</v>
      </c>
      <c r="M412" t="s">
        <v>43</v>
      </c>
      <c r="N412" s="15" t="s">
        <v>65</v>
      </c>
      <c r="O412" s="3" t="s">
        <v>2276</v>
      </c>
      <c r="P412" s="3" t="s">
        <v>146</v>
      </c>
      <c r="Q412" s="10" t="s">
        <v>1325</v>
      </c>
      <c r="R412" s="11">
        <v>45980</v>
      </c>
      <c r="S412" s="10" t="s">
        <v>3064</v>
      </c>
      <c r="T412" s="3" t="str">
        <f>IF(AND(ProtocolosKL[[#This Row],[STATUS]]="APROVADO",ProtocolosKL[[#This Row],[WAIVER]]=""),"Y","")</f>
        <v/>
      </c>
      <c r="U412" t="s">
        <v>3065</v>
      </c>
      <c r="V412" s="16" t="str">
        <f>_xlfn.CONCAT(C412,U412)</f>
        <v>AO8GQ7KERESTES DE FARIA/RAFAEL MR</v>
      </c>
      <c r="W412">
        <v>792</v>
      </c>
    </row>
    <row r="413" spans="1:23" ht="15" hidden="1">
      <c r="A413" s="1">
        <v>45980</v>
      </c>
      <c r="B413" t="s">
        <v>10</v>
      </c>
      <c r="C413" t="s">
        <v>3066</v>
      </c>
      <c r="D413" s="23" t="s">
        <v>3067</v>
      </c>
      <c r="E413" t="s">
        <v>512</v>
      </c>
      <c r="F413" s="19">
        <v>57564931</v>
      </c>
      <c r="G413" s="92">
        <v>745580643399</v>
      </c>
      <c r="H413" s="89">
        <v>173</v>
      </c>
      <c r="I413" s="3" t="s">
        <v>74</v>
      </c>
      <c r="J413" s="89" cm="1">
        <f t="array" ref="J41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173</v>
      </c>
      <c r="K413" s="15" t="s">
        <v>1939</v>
      </c>
      <c r="L413" s="90" t="s">
        <v>76</v>
      </c>
      <c r="M413" t="s">
        <v>43</v>
      </c>
      <c r="N413" s="15" t="s">
        <v>1129</v>
      </c>
      <c r="O413" s="3" t="s">
        <v>3068</v>
      </c>
      <c r="P413" s="3" t="s">
        <v>146</v>
      </c>
      <c r="Q413" s="10" t="s">
        <v>1325</v>
      </c>
      <c r="R413" s="11">
        <v>45980</v>
      </c>
      <c r="S413" s="10" t="s">
        <v>3069</v>
      </c>
      <c r="T413" s="3" t="str">
        <f>IF(AND(ProtocolosKL[[#This Row],[STATUS]]="APROVADO",ProtocolosKL[[#This Row],[WAIVER]]=""),"Y","")</f>
        <v/>
      </c>
      <c r="U413" t="s">
        <v>3070</v>
      </c>
      <c r="V413" s="16" t="str">
        <f>_xlfn.CONCAT(C413,U413)</f>
        <v>EFYDEKCASTRO CALDERON/MARIA FERNANDA</v>
      </c>
      <c r="W413">
        <v>793</v>
      </c>
    </row>
    <row r="414" spans="1:23" hidden="1">
      <c r="A414" s="1">
        <v>46092</v>
      </c>
      <c r="B414" t="s">
        <v>13</v>
      </c>
      <c r="C414" t="s">
        <v>3071</v>
      </c>
      <c r="D414" s="23" t="s">
        <v>3071</v>
      </c>
      <c r="E414" t="s">
        <v>512</v>
      </c>
      <c r="F414" s="19"/>
      <c r="G414" s="92"/>
      <c r="H414" s="89">
        <v>260</v>
      </c>
      <c r="I414" s="3" t="s">
        <v>74</v>
      </c>
      <c r="J414" s="89" t="str" cm="1">
        <f t="array" ref="J41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414" s="15" t="s">
        <v>2934</v>
      </c>
      <c r="L414" s="90" t="s">
        <v>529</v>
      </c>
      <c r="M414" t="s">
        <v>100</v>
      </c>
      <c r="N414" s="15" t="s">
        <v>1089</v>
      </c>
      <c r="O414" s="3" t="s">
        <v>1065</v>
      </c>
      <c r="P414" s="3" t="s">
        <v>146</v>
      </c>
      <c r="Q414" s="10"/>
      <c r="R414" s="11"/>
      <c r="S414" s="10"/>
      <c r="T414" s="3" t="str">
        <f>IF(AND(ProtocolosKL[[#This Row],[STATUS]]="APROVADO",ProtocolosKL[[#This Row],[WAIVER]]=""),"Y","")</f>
        <v/>
      </c>
      <c r="U414" t="s">
        <v>3072</v>
      </c>
      <c r="V414" s="16" t="str">
        <f>_xlfn.CONCAT(C414,U414)</f>
        <v>B5U4WMSCARPI/CECILIA</v>
      </c>
      <c r="W414">
        <v>803</v>
      </c>
    </row>
    <row r="415" spans="1:23" ht="15" hidden="1">
      <c r="A415" s="1">
        <v>46094</v>
      </c>
      <c r="B415" t="s">
        <v>10</v>
      </c>
      <c r="C415" t="s">
        <v>3073</v>
      </c>
      <c r="D415" s="23" t="s">
        <v>3074</v>
      </c>
      <c r="E415" t="s">
        <v>73</v>
      </c>
      <c r="F415" s="19">
        <v>57564931</v>
      </c>
      <c r="G415" s="92">
        <v>744129288697</v>
      </c>
      <c r="H415" s="89">
        <v>200</v>
      </c>
      <c r="I415" s="3" t="s">
        <v>74</v>
      </c>
      <c r="J415" s="89" cm="1">
        <f t="array" ref="J41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200</v>
      </c>
      <c r="K415" s="15" t="s">
        <v>189</v>
      </c>
      <c r="L415" s="90" t="s">
        <v>172</v>
      </c>
      <c r="M415" t="s">
        <v>43</v>
      </c>
      <c r="N415" s="15" t="s">
        <v>1129</v>
      </c>
      <c r="O415" s="3" t="s">
        <v>3075</v>
      </c>
      <c r="P415" s="3" t="s">
        <v>146</v>
      </c>
      <c r="Q415" s="11" t="s">
        <v>1630</v>
      </c>
      <c r="R415" s="11">
        <v>46097</v>
      </c>
      <c r="S415" s="10" t="s">
        <v>3076</v>
      </c>
      <c r="T415" s="3" t="str">
        <f>IF(AND(ProtocolosKL[[#This Row],[STATUS]]="APROVADO",ProtocolosKL[[#This Row],[WAIVER]]=""),"Y","")</f>
        <v/>
      </c>
      <c r="U415" t="s">
        <v>3077</v>
      </c>
      <c r="V415" s="16" t="str">
        <f>_xlfn.CONCAT(C415,U415)</f>
        <v>AQTBRVALMEIDA ARIANE/JESSIKA LAYANE MRS</v>
      </c>
      <c r="W415">
        <v>804</v>
      </c>
    </row>
    <row r="416" spans="1:23" hidden="1">
      <c r="A416" s="1">
        <v>46094</v>
      </c>
      <c r="B416" t="s">
        <v>10</v>
      </c>
      <c r="C416" t="s">
        <v>3073</v>
      </c>
      <c r="D416" s="23" t="s">
        <v>3074</v>
      </c>
      <c r="E416" t="s">
        <v>73</v>
      </c>
      <c r="F416" s="19"/>
      <c r="G416" s="92"/>
      <c r="H416" s="89">
        <v>200</v>
      </c>
      <c r="I416" s="3" t="s">
        <v>74</v>
      </c>
      <c r="J416" s="89" t="str" cm="1">
        <f t="array" ref="J41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416" s="15" t="s">
        <v>189</v>
      </c>
      <c r="L416" s="90" t="s">
        <v>172</v>
      </c>
      <c r="M416" t="s">
        <v>100</v>
      </c>
      <c r="N416" s="15" t="s">
        <v>1129</v>
      </c>
      <c r="O416" s="3" t="s">
        <v>3075</v>
      </c>
      <c r="P416" s="3" t="s">
        <v>146</v>
      </c>
      <c r="Q416" s="10"/>
      <c r="R416" s="11"/>
      <c r="S416" s="10"/>
      <c r="T416" s="3" t="str">
        <f>IF(AND(ProtocolosKL[[#This Row],[STATUS]]="APROVADO",ProtocolosKL[[#This Row],[WAIVER]]=""),"Y","")</f>
        <v/>
      </c>
      <c r="U416" t="s">
        <v>3078</v>
      </c>
      <c r="V416" s="16" t="str">
        <f>_xlfn.CONCAT(C416,U416)</f>
        <v>AQTBRVARIANE DE PAULA/TOMAS BRENER MSTR</v>
      </c>
      <c r="W416">
        <v>804</v>
      </c>
    </row>
    <row r="417" spans="1:23" ht="15" hidden="1">
      <c r="A417" s="1">
        <v>46097</v>
      </c>
      <c r="B417" t="s">
        <v>10</v>
      </c>
      <c r="C417" t="s">
        <v>3079</v>
      </c>
      <c r="D417" s="23" t="s">
        <v>3079</v>
      </c>
      <c r="E417" t="s">
        <v>73</v>
      </c>
      <c r="F417" s="19">
        <v>57564931</v>
      </c>
      <c r="G417" s="92">
        <v>744129288754</v>
      </c>
      <c r="H417" s="89">
        <v>100</v>
      </c>
      <c r="I417" s="3" t="s">
        <v>74</v>
      </c>
      <c r="J417" s="89" cm="1">
        <f t="array" ref="J41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100</v>
      </c>
      <c r="K417" s="15" t="s">
        <v>189</v>
      </c>
      <c r="L417" s="90" t="s">
        <v>172</v>
      </c>
      <c r="M417" t="s">
        <v>43</v>
      </c>
      <c r="N417" s="15" t="s">
        <v>1129</v>
      </c>
      <c r="O417" s="3" t="s">
        <v>2351</v>
      </c>
      <c r="P417" s="3" t="s">
        <v>146</v>
      </c>
      <c r="Q417" s="10" t="s">
        <v>1630</v>
      </c>
      <c r="R417" s="11">
        <v>46099</v>
      </c>
      <c r="S417" s="10" t="s">
        <v>3080</v>
      </c>
      <c r="T417" s="3" t="str">
        <f>IF(AND(ProtocolosKL[[#This Row],[STATUS]]="APROVADO",ProtocolosKL[[#This Row],[WAIVER]]=""),"Y","")</f>
        <v/>
      </c>
      <c r="U417" t="s">
        <v>3081</v>
      </c>
      <c r="V417" s="16" t="str">
        <f>_xlfn.CONCAT(C417,U417)</f>
        <v>C5XDUGMONTEIRO NETO/CARLOS EDISON</v>
      </c>
      <c r="W417">
        <v>806</v>
      </c>
    </row>
    <row r="418" spans="1:23" ht="15" hidden="1">
      <c r="A418" s="1">
        <v>46112</v>
      </c>
      <c r="B418" t="s">
        <v>11</v>
      </c>
      <c r="C418" t="s">
        <v>3082</v>
      </c>
      <c r="D418" s="23" t="s">
        <v>3082</v>
      </c>
      <c r="E418" t="s">
        <v>73</v>
      </c>
      <c r="F418" s="19">
        <v>57490484</v>
      </c>
      <c r="G418" s="92" t="s">
        <v>3083</v>
      </c>
      <c r="H418" s="89">
        <v>280</v>
      </c>
      <c r="I418" s="3" t="s">
        <v>74</v>
      </c>
      <c r="J418" s="89" cm="1">
        <f t="array" ref="J41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280</v>
      </c>
      <c r="K418" s="15" t="s">
        <v>1688</v>
      </c>
      <c r="L418" s="90" t="s">
        <v>172</v>
      </c>
      <c r="M418" t="s">
        <v>43</v>
      </c>
      <c r="N418" s="15" t="s">
        <v>1458</v>
      </c>
      <c r="O418" s="3" t="s">
        <v>724</v>
      </c>
      <c r="P418" s="3" t="s">
        <v>146</v>
      </c>
      <c r="Q418" s="10" t="s">
        <v>1630</v>
      </c>
      <c r="R418" s="11">
        <v>46114</v>
      </c>
      <c r="S418" s="10" t="s">
        <v>3084</v>
      </c>
      <c r="T418" s="3" t="str">
        <f>IF(AND(ProtocolosKL[[#This Row],[STATUS]]="APROVADO",ProtocolosKL[[#This Row],[WAIVER]]=""),"Y","")</f>
        <v/>
      </c>
      <c r="U418" t="s">
        <v>3085</v>
      </c>
      <c r="V418" s="16" t="str">
        <f>_xlfn.CONCAT(C418,U418)</f>
        <v>AOOY2PANDRADE MATOS/VINICIUS</v>
      </c>
      <c r="W418">
        <v>811</v>
      </c>
    </row>
    <row r="419" spans="1:23" hidden="1">
      <c r="A419" s="1">
        <v>46112</v>
      </c>
      <c r="B419" t="s">
        <v>11</v>
      </c>
      <c r="C419" t="s">
        <v>3082</v>
      </c>
      <c r="D419" s="23" t="s">
        <v>3082</v>
      </c>
      <c r="E419" t="s">
        <v>73</v>
      </c>
      <c r="F419" s="19">
        <v>57490484</v>
      </c>
      <c r="G419" s="92" t="s">
        <v>3086</v>
      </c>
      <c r="H419" s="89">
        <v>280</v>
      </c>
      <c r="I419" s="3" t="s">
        <v>74</v>
      </c>
      <c r="J419" s="89" cm="1">
        <f t="array" ref="J41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280</v>
      </c>
      <c r="K419" s="15" t="s">
        <v>1688</v>
      </c>
      <c r="L419" s="90" t="s">
        <v>172</v>
      </c>
      <c r="M419" t="s">
        <v>43</v>
      </c>
      <c r="N419" s="15" t="s">
        <v>1458</v>
      </c>
      <c r="O419" s="3" t="s">
        <v>724</v>
      </c>
      <c r="P419" s="3" t="s">
        <v>146</v>
      </c>
      <c r="Q419" s="10" t="s">
        <v>1630</v>
      </c>
      <c r="R419" s="11">
        <v>46114</v>
      </c>
      <c r="S419" s="10" t="s">
        <v>3084</v>
      </c>
      <c r="T419" s="3" t="str">
        <f>IF(AND(ProtocolosKL[[#This Row],[STATUS]]="APROVADO",ProtocolosKL[[#This Row],[WAIVER]]=""),"Y","")</f>
        <v/>
      </c>
      <c r="U419" t="s">
        <v>3087</v>
      </c>
      <c r="V419" s="16" t="str">
        <f>_xlfn.CONCAT(C419,U419)</f>
        <v>AOOY2PGALVAO/MURILLO CESAR</v>
      </c>
      <c r="W419">
        <v>811</v>
      </c>
    </row>
    <row r="420" spans="1:23" hidden="1">
      <c r="A420" s="1">
        <v>46112</v>
      </c>
      <c r="B420" t="s">
        <v>11</v>
      </c>
      <c r="C420" t="s">
        <v>3082</v>
      </c>
      <c r="D420" s="23" t="s">
        <v>3082</v>
      </c>
      <c r="E420" t="s">
        <v>73</v>
      </c>
      <c r="F420" s="19">
        <v>57490484</v>
      </c>
      <c r="G420" s="92" t="s">
        <v>3088</v>
      </c>
      <c r="H420" s="89">
        <v>280</v>
      </c>
      <c r="I420" s="3" t="s">
        <v>74</v>
      </c>
      <c r="J420" s="89" cm="1">
        <f t="array" ref="J42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280</v>
      </c>
      <c r="K420" s="15" t="s">
        <v>1688</v>
      </c>
      <c r="L420" s="90" t="s">
        <v>172</v>
      </c>
      <c r="M420" t="s">
        <v>43</v>
      </c>
      <c r="N420" s="15" t="s">
        <v>1458</v>
      </c>
      <c r="O420" s="3" t="s">
        <v>724</v>
      </c>
      <c r="P420" s="3" t="s">
        <v>146</v>
      </c>
      <c r="Q420" s="10" t="s">
        <v>1630</v>
      </c>
      <c r="R420" s="11">
        <v>46114</v>
      </c>
      <c r="S420" s="10" t="s">
        <v>3084</v>
      </c>
      <c r="T420" s="3" t="str">
        <f>IF(AND(ProtocolosKL[[#This Row],[STATUS]]="APROVADO",ProtocolosKL[[#This Row],[WAIVER]]=""),"Y","")</f>
        <v/>
      </c>
      <c r="U420" t="s">
        <v>3089</v>
      </c>
      <c r="V420" s="16" t="str">
        <f>_xlfn.CONCAT(C420,U420)</f>
        <v>AOOY2PMARTINES FURLAN/JULIANA</v>
      </c>
      <c r="W420">
        <v>811</v>
      </c>
    </row>
    <row r="421" spans="1:23" ht="15" hidden="1">
      <c r="A421" s="1">
        <v>46114</v>
      </c>
      <c r="B421" t="s">
        <v>14</v>
      </c>
      <c r="C421" t="s">
        <v>3090</v>
      </c>
      <c r="D421" s="23" t="s">
        <v>3090</v>
      </c>
      <c r="E421" t="s">
        <v>41</v>
      </c>
      <c r="F421" s="19"/>
      <c r="G421" s="92"/>
      <c r="H421" s="89">
        <v>13409</v>
      </c>
      <c r="I421" s="93">
        <v>0.1</v>
      </c>
      <c r="J421" s="89" t="str" cm="1">
        <f t="array" ref="J42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421" s="15" t="s">
        <v>2028</v>
      </c>
      <c r="L421" s="90" t="s">
        <v>76</v>
      </c>
      <c r="M421" t="s">
        <v>217</v>
      </c>
      <c r="N421" s="15" t="s">
        <v>1279</v>
      </c>
      <c r="O421" s="3" t="s">
        <v>3091</v>
      </c>
      <c r="P421" s="3" t="s">
        <v>146</v>
      </c>
      <c r="Q421" s="10"/>
      <c r="R421" s="11"/>
      <c r="S421" s="10"/>
      <c r="T421" s="3" t="str">
        <f>IF(AND(ProtocolosKL[[#This Row],[STATUS]]="APROVADO",ProtocolosKL[[#This Row],[WAIVER]]=""),"Y","")</f>
        <v/>
      </c>
      <c r="U421" t="s">
        <v>3092</v>
      </c>
      <c r="V421" s="16" t="str">
        <f>_xlfn.CONCAT(C421,U421)</f>
        <v>BN6U3YGOMES DA SILVA FERREIRA/GUILHERME AUGUSTO</v>
      </c>
      <c r="W421">
        <v>812</v>
      </c>
    </row>
    <row r="422" spans="1:23" hidden="1">
      <c r="A422" s="1">
        <v>46114</v>
      </c>
      <c r="B422" t="s">
        <v>14</v>
      </c>
      <c r="C422" t="s">
        <v>3090</v>
      </c>
      <c r="D422" s="23" t="s">
        <v>3090</v>
      </c>
      <c r="E422" t="s">
        <v>41</v>
      </c>
      <c r="F422" s="19"/>
      <c r="G422" s="92"/>
      <c r="H422" s="89">
        <v>13409</v>
      </c>
      <c r="I422" s="93">
        <v>0.1</v>
      </c>
      <c r="J422" s="89" t="str" cm="1">
        <f t="array" ref="J42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422" s="15" t="s">
        <v>2028</v>
      </c>
      <c r="L422" s="90" t="s">
        <v>76</v>
      </c>
      <c r="M422" t="s">
        <v>217</v>
      </c>
      <c r="N422" s="15" t="s">
        <v>1279</v>
      </c>
      <c r="O422" s="3" t="s">
        <v>3091</v>
      </c>
      <c r="P422" s="3" t="s">
        <v>146</v>
      </c>
      <c r="Q422" s="10"/>
      <c r="R422" s="11"/>
      <c r="S422" s="10"/>
      <c r="T422" s="3" t="str">
        <f>IF(AND(ProtocolosKL[[#This Row],[STATUS]]="APROVADO",ProtocolosKL[[#This Row],[WAIVER]]=""),"Y","")</f>
        <v/>
      </c>
      <c r="U422" t="s">
        <v>3093</v>
      </c>
      <c r="V422" s="16" t="str">
        <f>_xlfn.CONCAT(C422,U422)</f>
        <v>BN6U3YGOMES DA SILVA FERREIRA/MURILLO</v>
      </c>
      <c r="W422">
        <v>812</v>
      </c>
    </row>
    <row r="423" spans="1:23" hidden="1">
      <c r="A423" s="1">
        <v>46127</v>
      </c>
      <c r="B423" t="s">
        <v>11</v>
      </c>
      <c r="C423" t="s">
        <v>3082</v>
      </c>
      <c r="D423" s="23" t="s">
        <v>3082</v>
      </c>
      <c r="E423" t="s">
        <v>73</v>
      </c>
      <c r="F423" s="19">
        <v>57994602</v>
      </c>
      <c r="G423" s="92">
        <v>744216446274</v>
      </c>
      <c r="H423" s="89">
        <v>98</v>
      </c>
      <c r="I423" s="93" t="s">
        <v>74</v>
      </c>
      <c r="J423" s="89" cm="1">
        <f t="array" ref="J42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98</v>
      </c>
      <c r="K423" s="15" t="s">
        <v>1007</v>
      </c>
      <c r="L423" s="90" t="s">
        <v>172</v>
      </c>
      <c r="M423" t="s">
        <v>43</v>
      </c>
      <c r="N423" s="15" t="s">
        <v>1458</v>
      </c>
      <c r="O423" s="3" t="s">
        <v>3094</v>
      </c>
      <c r="P423" s="3" t="s">
        <v>146</v>
      </c>
      <c r="Q423" s="10" t="s">
        <v>1630</v>
      </c>
      <c r="R423" s="11">
        <v>46128</v>
      </c>
      <c r="S423" s="10" t="s">
        <v>3095</v>
      </c>
      <c r="T423" s="3" t="str">
        <f>IF(AND(ProtocolosKL[[#This Row],[STATUS]]="APROVADO",ProtocolosKL[[#This Row],[WAIVER]]=""),"Y","")</f>
        <v/>
      </c>
      <c r="U423" t="s">
        <v>3085</v>
      </c>
      <c r="V423" s="16" t="str">
        <f>_xlfn.CONCAT(C423,U423)</f>
        <v>AOOY2PANDRADE MATOS/VINICIUS</v>
      </c>
      <c r="W423">
        <v>815</v>
      </c>
    </row>
    <row r="424" spans="1:23" hidden="1">
      <c r="A424" s="1">
        <v>46127</v>
      </c>
      <c r="B424" t="s">
        <v>11</v>
      </c>
      <c r="C424" t="s">
        <v>3082</v>
      </c>
      <c r="D424" s="23" t="s">
        <v>3082</v>
      </c>
      <c r="E424" t="s">
        <v>73</v>
      </c>
      <c r="F424" s="19">
        <v>57994602</v>
      </c>
      <c r="G424" s="92">
        <v>744216446275</v>
      </c>
      <c r="H424" s="89">
        <v>98</v>
      </c>
      <c r="I424" s="93" t="s">
        <v>74</v>
      </c>
      <c r="J424" s="89" cm="1">
        <f t="array" ref="J42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98</v>
      </c>
      <c r="K424" s="15" t="s">
        <v>1007</v>
      </c>
      <c r="L424" s="90" t="s">
        <v>172</v>
      </c>
      <c r="M424" t="s">
        <v>43</v>
      </c>
      <c r="N424" s="15" t="s">
        <v>1458</v>
      </c>
      <c r="O424" s="3" t="s">
        <v>3094</v>
      </c>
      <c r="P424" s="3" t="s">
        <v>146</v>
      </c>
      <c r="Q424" s="10" t="s">
        <v>1630</v>
      </c>
      <c r="R424" s="11">
        <v>46128</v>
      </c>
      <c r="S424" s="10" t="s">
        <v>3095</v>
      </c>
      <c r="T424" s="3" t="str">
        <f>IF(AND(ProtocolosKL[[#This Row],[STATUS]]="APROVADO",ProtocolosKL[[#This Row],[WAIVER]]=""),"Y","")</f>
        <v/>
      </c>
      <c r="U424" t="s">
        <v>3087</v>
      </c>
      <c r="V424" s="16" t="str">
        <f>_xlfn.CONCAT(C424,U424)</f>
        <v>AOOY2PGALVAO/MURILLO CESAR</v>
      </c>
      <c r="W424">
        <v>815</v>
      </c>
    </row>
    <row r="425" spans="1:23" hidden="1">
      <c r="A425" s="1">
        <v>46127</v>
      </c>
      <c r="B425" t="s">
        <v>11</v>
      </c>
      <c r="C425" t="s">
        <v>3082</v>
      </c>
      <c r="D425" s="23" t="s">
        <v>3082</v>
      </c>
      <c r="E425" t="s">
        <v>73</v>
      </c>
      <c r="F425" s="19">
        <v>57994602</v>
      </c>
      <c r="G425" s="92">
        <v>744216446276</v>
      </c>
      <c r="H425" s="89">
        <v>98</v>
      </c>
      <c r="I425" s="93" t="s">
        <v>74</v>
      </c>
      <c r="J425" s="89" cm="1">
        <f t="array" ref="J42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98</v>
      </c>
      <c r="K425" s="15" t="s">
        <v>1007</v>
      </c>
      <c r="L425" s="90" t="s">
        <v>172</v>
      </c>
      <c r="M425" t="s">
        <v>43</v>
      </c>
      <c r="N425" s="15" t="s">
        <v>1458</v>
      </c>
      <c r="O425" s="3" t="s">
        <v>3094</v>
      </c>
      <c r="P425" s="3" t="s">
        <v>146</v>
      </c>
      <c r="Q425" s="10" t="s">
        <v>1630</v>
      </c>
      <c r="R425" s="11">
        <v>46128</v>
      </c>
      <c r="S425" s="10" t="s">
        <v>3095</v>
      </c>
      <c r="T425" s="3" t="str">
        <f>IF(AND(ProtocolosKL[[#This Row],[STATUS]]="APROVADO",ProtocolosKL[[#This Row],[WAIVER]]=""),"Y","")</f>
        <v/>
      </c>
      <c r="U425" t="s">
        <v>3089</v>
      </c>
      <c r="V425" s="16" t="str">
        <f>_xlfn.CONCAT(C425,U425)</f>
        <v>AOOY2PMARTINES FURLAN/JULIANA</v>
      </c>
      <c r="W425">
        <v>815</v>
      </c>
    </row>
    <row r="426" spans="1:23" ht="15" hidden="1">
      <c r="A426" s="1">
        <v>46156</v>
      </c>
      <c r="B426" t="s">
        <v>12</v>
      </c>
      <c r="C426" t="s">
        <v>3096</v>
      </c>
      <c r="D426" s="23" t="s">
        <v>3096</v>
      </c>
      <c r="E426" t="s">
        <v>512</v>
      </c>
      <c r="F426" s="19">
        <v>57564931</v>
      </c>
      <c r="G426" s="92">
        <v>749293345197</v>
      </c>
      <c r="H426" s="89">
        <v>1112</v>
      </c>
      <c r="I426" s="93" t="s">
        <v>74</v>
      </c>
      <c r="J426" s="89" cm="1">
        <f t="array" ref="J42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1112</v>
      </c>
      <c r="K426" s="15" t="s">
        <v>1682</v>
      </c>
      <c r="L426" s="90" t="s">
        <v>529</v>
      </c>
      <c r="M426" t="s">
        <v>43</v>
      </c>
      <c r="N426" s="15" t="s">
        <v>1552</v>
      </c>
      <c r="O426" s="3" t="s">
        <v>3097</v>
      </c>
      <c r="P426" s="3" t="s">
        <v>46</v>
      </c>
      <c r="Q426" s="10" t="s">
        <v>3098</v>
      </c>
      <c r="R426" s="11">
        <v>46160</v>
      </c>
      <c r="S426" s="10" t="s">
        <v>3099</v>
      </c>
      <c r="T426" s="3" t="str">
        <f>IF(AND(ProtocolosKL[[#This Row],[STATUS]]="APROVADO",ProtocolosKL[[#This Row],[WAIVER]]=""),"Y","")</f>
        <v/>
      </c>
      <c r="U426" t="s">
        <v>3100</v>
      </c>
      <c r="V426" s="16" t="str">
        <f>_xlfn.CONCAT(C426,U426)</f>
        <v>AOYBNOPAPA/JOSE NETO</v>
      </c>
      <c r="W426">
        <v>823</v>
      </c>
    </row>
    <row r="427" spans="1:23" ht="15" hidden="1">
      <c r="A427" s="1">
        <v>46188</v>
      </c>
      <c r="B427" t="s">
        <v>10</v>
      </c>
      <c r="C427" t="s">
        <v>3101</v>
      </c>
      <c r="D427" s="23" t="s">
        <v>3101</v>
      </c>
      <c r="E427" t="s">
        <v>207</v>
      </c>
      <c r="F427" s="19">
        <v>5799110</v>
      </c>
      <c r="G427" s="92">
        <v>574226709481</v>
      </c>
      <c r="H427" s="89">
        <v>95</v>
      </c>
      <c r="I427" s="93" t="s">
        <v>74</v>
      </c>
      <c r="J427" s="89" cm="1">
        <f t="array" ref="J427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95</v>
      </c>
      <c r="K427" s="15" t="s">
        <v>1129</v>
      </c>
      <c r="L427" s="90" t="s">
        <v>172</v>
      </c>
      <c r="M427" t="s">
        <v>43</v>
      </c>
      <c r="N427" s="15" t="s">
        <v>1129</v>
      </c>
      <c r="O427" s="3" t="s">
        <v>436</v>
      </c>
      <c r="P427" s="3" t="s">
        <v>69</v>
      </c>
      <c r="Q427" s="10" t="s">
        <v>222</v>
      </c>
      <c r="R427" s="11">
        <v>46191</v>
      </c>
      <c r="S427" s="10" t="s">
        <v>3102</v>
      </c>
      <c r="T427" s="3" t="str">
        <f>IF(AND(ProtocolosKL[[#This Row],[STATUS]]="APROVADO",ProtocolosKL[[#This Row],[WAIVER]]=""),"Y","")</f>
        <v/>
      </c>
      <c r="U427" t="s">
        <v>3103</v>
      </c>
      <c r="V427" s="16" t="str">
        <f>_xlfn.CONCAT(C427,U427)</f>
        <v>AH8G5JCARVALHO DE CAMARGO/CAROLINA</v>
      </c>
      <c r="W427">
        <v>832</v>
      </c>
    </row>
    <row r="428" spans="1:23" hidden="1">
      <c r="A428" s="1">
        <v>46189</v>
      </c>
      <c r="B428" t="s">
        <v>11</v>
      </c>
      <c r="C428" t="s">
        <v>3104</v>
      </c>
      <c r="D428" s="23" t="s">
        <v>3104</v>
      </c>
      <c r="E428" t="s">
        <v>73</v>
      </c>
      <c r="F428" s="19"/>
      <c r="G428" s="92"/>
      <c r="H428" s="89">
        <v>356</v>
      </c>
      <c r="I428" s="93" t="s">
        <v>74</v>
      </c>
      <c r="J428" s="89" t="str" cm="1">
        <f t="array" ref="J428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-</v>
      </c>
      <c r="K428" s="15" t="s">
        <v>1710</v>
      </c>
      <c r="L428" s="90" t="s">
        <v>172</v>
      </c>
      <c r="M428" t="s">
        <v>217</v>
      </c>
      <c r="N428" s="15" t="s">
        <v>1458</v>
      </c>
      <c r="O428" s="3" t="s">
        <v>3105</v>
      </c>
      <c r="P428" s="3" t="s">
        <v>69</v>
      </c>
      <c r="Q428" s="10"/>
      <c r="R428" s="11"/>
      <c r="S428" s="10"/>
      <c r="T428" s="3" t="str">
        <f>IF(AND(ProtocolosKL[[#This Row],[STATUS]]="APROVADO",ProtocolosKL[[#This Row],[WAIVER]]=""),"Y","")</f>
        <v/>
      </c>
      <c r="U428" t="s">
        <v>3106</v>
      </c>
      <c r="V428" s="16" t="str">
        <f>_xlfn.CONCAT(C428,U428)</f>
        <v>A7CYBWDE OLIVEIRA CACHAFEIRO/MARIANA</v>
      </c>
      <c r="W428">
        <v>833</v>
      </c>
    </row>
    <row r="429" spans="1:23" ht="15" hidden="1">
      <c r="A429" s="1">
        <v>46189</v>
      </c>
      <c r="B429" t="s">
        <v>12</v>
      </c>
      <c r="C429" t="s">
        <v>3107</v>
      </c>
      <c r="D429" s="23" t="s">
        <v>3108</v>
      </c>
      <c r="E429" t="s">
        <v>512</v>
      </c>
      <c r="F429" s="19">
        <v>57564931</v>
      </c>
      <c r="G429" s="92">
        <v>572359843449</v>
      </c>
      <c r="H429" s="89">
        <v>216</v>
      </c>
      <c r="I429" s="93" t="s">
        <v>74</v>
      </c>
      <c r="J429" s="89" cm="1">
        <f t="array" ref="J429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216</v>
      </c>
      <c r="K429" s="15" t="s">
        <v>3109</v>
      </c>
      <c r="L429" s="90" t="s">
        <v>3110</v>
      </c>
      <c r="M429" t="s">
        <v>43</v>
      </c>
      <c r="N429" s="15" t="s">
        <v>1552</v>
      </c>
      <c r="O429" s="3" t="s">
        <v>436</v>
      </c>
      <c r="P429" s="3" t="s">
        <v>69</v>
      </c>
      <c r="Q429" s="10" t="s">
        <v>1630</v>
      </c>
      <c r="R429" s="11">
        <v>46192</v>
      </c>
      <c r="S429" s="10" t="s">
        <v>3111</v>
      </c>
      <c r="T429" s="3" t="str">
        <f>IF(AND(ProtocolosKL[[#This Row],[STATUS]]="APROVADO",ProtocolosKL[[#This Row],[WAIVER]]=""),"Y","")</f>
        <v/>
      </c>
      <c r="U429" t="s">
        <v>3112</v>
      </c>
      <c r="V429" s="16" t="str">
        <f>_xlfn.CONCAT(C429,U429)</f>
        <v>BANWAADIAS/GISELA</v>
      </c>
      <c r="W429">
        <v>834</v>
      </c>
    </row>
    <row r="430" spans="1:23" hidden="1">
      <c r="A430" s="1">
        <v>46197</v>
      </c>
      <c r="B430" t="s">
        <v>11</v>
      </c>
      <c r="C430" t="s">
        <v>3113</v>
      </c>
      <c r="D430" s="23" t="s">
        <v>3114</v>
      </c>
      <c r="E430" t="s">
        <v>512</v>
      </c>
      <c r="F430" s="19">
        <v>57564931</v>
      </c>
      <c r="G430" s="92">
        <v>745232172392</v>
      </c>
      <c r="H430" s="89">
        <v>131</v>
      </c>
      <c r="I430" s="93" t="s">
        <v>74</v>
      </c>
      <c r="J430" s="89" cm="1">
        <f t="array" ref="J430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131</v>
      </c>
      <c r="K430" s="15" t="s">
        <v>1007</v>
      </c>
      <c r="L430" s="90" t="s">
        <v>172</v>
      </c>
      <c r="M430" t="s">
        <v>43</v>
      </c>
      <c r="N430" s="15" t="s">
        <v>1458</v>
      </c>
      <c r="O430" s="3" t="s">
        <v>750</v>
      </c>
      <c r="P430" s="3" t="s">
        <v>46</v>
      </c>
      <c r="Q430" s="10" t="s">
        <v>1473</v>
      </c>
      <c r="R430" s="11">
        <v>46198</v>
      </c>
      <c r="S430" s="10" t="s">
        <v>3115</v>
      </c>
      <c r="T430" s="3" t="str">
        <f>IF(AND(ProtocolosKL[[#This Row],[STATUS]]="APROVADO",ProtocolosKL[[#This Row],[WAIVER]]=""),"Y","")</f>
        <v/>
      </c>
      <c r="U430" t="s">
        <v>3116</v>
      </c>
      <c r="V430" s="16" t="str">
        <f>_xlfn.CONCAT(C430,U430)</f>
        <v>LKRLHOAGRA DA SILVA/ELISA MRS</v>
      </c>
      <c r="W430">
        <v>837</v>
      </c>
    </row>
    <row r="431" spans="1:23" hidden="1">
      <c r="A431" s="1">
        <v>46197</v>
      </c>
      <c r="B431" t="s">
        <v>11</v>
      </c>
      <c r="C431" t="s">
        <v>3113</v>
      </c>
      <c r="D431" s="23" t="s">
        <v>3114</v>
      </c>
      <c r="E431" t="s">
        <v>512</v>
      </c>
      <c r="F431" s="19">
        <v>57564931</v>
      </c>
      <c r="G431" s="92">
        <v>745232172393</v>
      </c>
      <c r="H431" s="89">
        <v>131</v>
      </c>
      <c r="I431" s="93" t="s">
        <v>74</v>
      </c>
      <c r="J431" s="89" cm="1">
        <f t="array" ref="J431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131</v>
      </c>
      <c r="K431" s="15" t="s">
        <v>1007</v>
      </c>
      <c r="L431" s="90" t="s">
        <v>172</v>
      </c>
      <c r="M431" t="s">
        <v>43</v>
      </c>
      <c r="N431" s="15" t="s">
        <v>1458</v>
      </c>
      <c r="O431" s="3" t="s">
        <v>750</v>
      </c>
      <c r="P431" s="3" t="s">
        <v>46</v>
      </c>
      <c r="Q431" s="10" t="s">
        <v>1473</v>
      </c>
      <c r="R431" s="11">
        <v>46198</v>
      </c>
      <c r="S431" s="10" t="s">
        <v>3115</v>
      </c>
      <c r="T431" s="3" t="str">
        <f>IF(AND(ProtocolosKL[[#This Row],[STATUS]]="APROVADO",ProtocolosKL[[#This Row],[WAIVER]]=""),"Y","")</f>
        <v/>
      </c>
      <c r="U431" t="s">
        <v>3117</v>
      </c>
      <c r="V431" s="16" t="str">
        <f>_xlfn.CONCAT(C431,U431)</f>
        <v>LKRLHOSILVA/DALTON JOSE MR</v>
      </c>
      <c r="W431">
        <v>837</v>
      </c>
    </row>
    <row r="432" spans="1:23">
      <c r="A432" s="1">
        <v>46238</v>
      </c>
      <c r="B432" t="s">
        <v>10</v>
      </c>
      <c r="C432" t="s">
        <v>3118</v>
      </c>
      <c r="D432" s="23" t="s">
        <v>3118</v>
      </c>
      <c r="E432" t="s">
        <v>512</v>
      </c>
      <c r="F432" s="19">
        <v>57564931</v>
      </c>
      <c r="G432" s="92">
        <v>749293489996</v>
      </c>
      <c r="H432" s="89">
        <v>70</v>
      </c>
      <c r="I432" s="93" t="s">
        <v>74</v>
      </c>
      <c r="J432" s="89" cm="1">
        <f t="array" ref="J432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70</v>
      </c>
      <c r="K432" s="15" t="s">
        <v>2114</v>
      </c>
      <c r="L432" s="90" t="s">
        <v>172</v>
      </c>
      <c r="M432" t="s">
        <v>43</v>
      </c>
      <c r="N432" s="15" t="s">
        <v>1552</v>
      </c>
      <c r="O432" s="3" t="s">
        <v>1715</v>
      </c>
      <c r="P432" s="3" t="s">
        <v>69</v>
      </c>
      <c r="Q432" s="10" t="s">
        <v>3119</v>
      </c>
      <c r="R432" s="11">
        <v>46274</v>
      </c>
      <c r="S432" s="10" t="s">
        <v>3120</v>
      </c>
      <c r="T432" s="3" t="str">
        <f>IF(AND(ProtocolosKL[[#This Row],[STATUS]]="APROVADO",ProtocolosKL[[#This Row],[WAIVER]]=""),"Y","")</f>
        <v/>
      </c>
      <c r="U432" t="s">
        <v>3121</v>
      </c>
      <c r="V432" s="16" t="str">
        <f>_xlfn.CONCAT(C432,U432)</f>
        <v>AAWE7IARAUJO CARDOSO GONTIJO/BRUNA</v>
      </c>
      <c r="W432">
        <v>846</v>
      </c>
    </row>
    <row r="433" spans="1:23" ht="15">
      <c r="A433" s="1">
        <v>46266</v>
      </c>
      <c r="B433" t="s">
        <v>13</v>
      </c>
      <c r="C433" t="s">
        <v>3122</v>
      </c>
      <c r="D433" s="23" t="s">
        <v>3122</v>
      </c>
      <c r="E433" t="s">
        <v>41</v>
      </c>
      <c r="F433" s="19">
        <v>57564931</v>
      </c>
      <c r="G433" s="92">
        <v>744894419067</v>
      </c>
      <c r="H433" s="89">
        <v>573</v>
      </c>
      <c r="I433" s="93">
        <v>0.16</v>
      </c>
      <c r="J433" s="89" cm="1">
        <f t="array" ref="J433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92</v>
      </c>
      <c r="K433" s="15" t="s">
        <v>1355</v>
      </c>
      <c r="L433" s="90" t="s">
        <v>66</v>
      </c>
      <c r="M433" t="s">
        <v>43</v>
      </c>
      <c r="N433" s="15" t="s">
        <v>1089</v>
      </c>
      <c r="O433" s="3" t="s">
        <v>68</v>
      </c>
      <c r="P433" s="3" t="s">
        <v>69</v>
      </c>
      <c r="Q433" s="10" t="s">
        <v>3119</v>
      </c>
      <c r="R433" s="11">
        <v>46274</v>
      </c>
      <c r="S433" s="10" t="s">
        <v>3120</v>
      </c>
      <c r="T433" s="3" t="str">
        <f>IF(AND(ProtocolosKL[[#This Row],[STATUS]]="APROVADO",ProtocolosKL[[#This Row],[WAIVER]]=""),"Y","")</f>
        <v/>
      </c>
      <c r="U433" t="s">
        <v>3123</v>
      </c>
      <c r="V433" s="16" t="str">
        <f>_xlfn.CONCAT(C433,U433)</f>
        <v>ACZ7VHPAUNOVIC/DAVI</v>
      </c>
      <c r="W433">
        <v>851</v>
      </c>
    </row>
    <row r="434" spans="1:23" ht="15">
      <c r="A434" s="1">
        <v>46303</v>
      </c>
      <c r="B434" t="s">
        <v>14</v>
      </c>
      <c r="C434" t="s">
        <v>3124</v>
      </c>
      <c r="D434" s="23" t="s">
        <v>3125</v>
      </c>
      <c r="E434" t="s">
        <v>73</v>
      </c>
      <c r="F434" s="94">
        <v>57997424</v>
      </c>
      <c r="G434" s="92">
        <v>744136346898</v>
      </c>
      <c r="H434" s="89">
        <v>151</v>
      </c>
      <c r="I434" s="93" t="s">
        <v>74</v>
      </c>
      <c r="J434" s="89" cm="1">
        <f t="array" ref="J434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151</v>
      </c>
      <c r="K434" s="15" t="s">
        <v>1279</v>
      </c>
      <c r="L434" s="90" t="s">
        <v>76</v>
      </c>
      <c r="M434" t="s">
        <v>43</v>
      </c>
      <c r="N434" s="15" t="s">
        <v>1096</v>
      </c>
      <c r="O434" s="3" t="s">
        <v>160</v>
      </c>
      <c r="P434" s="3" t="s">
        <v>46</v>
      </c>
      <c r="Q434" s="10" t="s">
        <v>1711</v>
      </c>
      <c r="R434" s="11">
        <v>46303</v>
      </c>
      <c r="S434" s="10" t="s">
        <v>3126</v>
      </c>
      <c r="T434" s="3" t="str">
        <f>IF(AND(ProtocolosKL[[#This Row],[STATUS]]="APROVADO",ProtocolosKL[[#This Row],[WAIVER]]=""),"Y","")</f>
        <v/>
      </c>
      <c r="U434" t="s">
        <v>2010</v>
      </c>
      <c r="V434" s="16" t="str">
        <f>_xlfn.CONCAT(C434,U434)</f>
        <v>CHAMQPCUOGHI PACINI/EDUARDO</v>
      </c>
      <c r="W434">
        <v>860</v>
      </c>
    </row>
    <row r="435" spans="1:23" ht="15">
      <c r="A435" s="1">
        <v>46303</v>
      </c>
      <c r="B435" t="s">
        <v>14</v>
      </c>
      <c r="C435" t="s">
        <v>3124</v>
      </c>
      <c r="D435" s="23" t="s">
        <v>3125</v>
      </c>
      <c r="E435" t="s">
        <v>73</v>
      </c>
      <c r="F435" s="94">
        <v>57997424</v>
      </c>
      <c r="G435" s="92">
        <v>744136346899</v>
      </c>
      <c r="H435" s="89">
        <v>124</v>
      </c>
      <c r="I435" s="93" t="s">
        <v>74</v>
      </c>
      <c r="J435" s="89" cm="1">
        <f t="array" ref="J435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124</v>
      </c>
      <c r="K435" s="15" t="s">
        <v>1279</v>
      </c>
      <c r="L435" s="90" t="s">
        <v>76</v>
      </c>
      <c r="M435" t="s">
        <v>43</v>
      </c>
      <c r="N435" s="15" t="s">
        <v>1096</v>
      </c>
      <c r="O435" s="3" t="s">
        <v>160</v>
      </c>
      <c r="P435" s="3" t="s">
        <v>46</v>
      </c>
      <c r="Q435" s="10" t="s">
        <v>1711</v>
      </c>
      <c r="R435" s="11">
        <v>46303</v>
      </c>
      <c r="S435" s="10" t="s">
        <v>3126</v>
      </c>
      <c r="T435" s="3" t="str">
        <f>IF(AND(ProtocolosKL[[#This Row],[STATUS]]="APROVADO",ProtocolosKL[[#This Row],[WAIVER]]=""),"Y","")</f>
        <v/>
      </c>
      <c r="U435" t="s">
        <v>3127</v>
      </c>
      <c r="V435" s="16" t="str">
        <f>_xlfn.CONCAT(C435,U435)</f>
        <v>CHAMQPCUOGHI PACINI/VALENTINA</v>
      </c>
      <c r="W435">
        <v>860</v>
      </c>
    </row>
    <row r="436" spans="1:23" ht="15">
      <c r="A436" s="1">
        <v>46303</v>
      </c>
      <c r="B436" t="s">
        <v>14</v>
      </c>
      <c r="C436" t="s">
        <v>3124</v>
      </c>
      <c r="D436" s="23" t="s">
        <v>3125</v>
      </c>
      <c r="E436" t="s">
        <v>73</v>
      </c>
      <c r="F436" s="94">
        <v>57997424</v>
      </c>
      <c r="G436" s="92">
        <v>744136346900</v>
      </c>
      <c r="H436" s="89">
        <v>124</v>
      </c>
      <c r="I436" s="93" t="s">
        <v>74</v>
      </c>
      <c r="J436" s="89" cm="1">
        <f t="array" ref="J436">IFERROR(_xlfn.IFS(AND(ProtocolosKL[[#This Row],[STATUS]]&lt;&gt;"APROVADO",ProtocolosKL[[#This Row],[STATUS]]&lt;&gt;"STANDBY",ProtocolosKL[[#This Row],[STATUS]]&lt;&gt;""),"-",ProtocolosKL[[#This Row],[% DESC]]&lt;&gt;"",ROUNDUP(ProtocolosKL[[#This Row],[% DESC]]*ProtocolosKL[[#This Row],[TARIFA ORIG MULTA SERVIÇO EUR]],0)),ProtocolosKL[[#This Row],[TARIFA ORIG MULTA SERVIÇO EUR]])</f>
        <v>124</v>
      </c>
      <c r="K436" s="15" t="s">
        <v>1279</v>
      </c>
      <c r="L436" s="90" t="s">
        <v>76</v>
      </c>
      <c r="M436" t="s">
        <v>43</v>
      </c>
      <c r="N436" s="15" t="s">
        <v>1096</v>
      </c>
      <c r="O436" s="3" t="s">
        <v>160</v>
      </c>
      <c r="P436" s="3" t="s">
        <v>46</v>
      </c>
      <c r="Q436" s="10" t="s">
        <v>1711</v>
      </c>
      <c r="R436" s="11">
        <v>46303</v>
      </c>
      <c r="S436" s="10" t="s">
        <v>3126</v>
      </c>
      <c r="T436" s="3" t="str">
        <f>IF(AND(ProtocolosKL[[#This Row],[STATUS]]="APROVADO",ProtocolosKL[[#This Row],[WAIVER]]=""),"Y","")</f>
        <v/>
      </c>
      <c r="U436" t="s">
        <v>2011</v>
      </c>
      <c r="V436" s="16" t="str">
        <f>_xlfn.CONCAT(C436,U436)</f>
        <v>CHAMQPCUOGHI PRIETO/CYBELLE</v>
      </c>
      <c r="W436">
        <v>860</v>
      </c>
    </row>
  </sheetData>
  <sheetProtection insertRows="0"/>
  <mergeCells count="1">
    <mergeCell ref="F1:G1"/>
  </mergeCells>
  <conditionalFormatting sqref="A16:W433 A434:E436 G434:W436">
    <cfRule type="expression" dxfId="39" priority="76">
      <formula>$M16="STANDBY"</formula>
    </cfRule>
  </conditionalFormatting>
  <conditionalFormatting sqref="D2:D13">
    <cfRule type="expression" dxfId="38" priority="86">
      <formula>D2&lt;0</formula>
    </cfRule>
    <cfRule type="expression" dxfId="37" priority="88">
      <formula>D2&lt;B2*0.1</formula>
    </cfRule>
    <cfRule type="expression" dxfId="36" priority="89">
      <formula>D2&lt;B2*0.3</formula>
    </cfRule>
  </conditionalFormatting>
  <conditionalFormatting sqref="F3:F10 I3:I10">
    <cfRule type="notContainsBlanks" dxfId="35" priority="91">
      <formula>LEN(TRIM(F3))&gt;0</formula>
    </cfRule>
  </conditionalFormatting>
  <conditionalFormatting sqref="F16:F433">
    <cfRule type="expression" dxfId="34" priority="90">
      <formula>IF(AND(M16="APROVADO"),F16="")</formula>
    </cfRule>
  </conditionalFormatting>
  <conditionalFormatting sqref="G16:G436">
    <cfRule type="expression" dxfId="33" priority="85">
      <formula>IF(AND(M16="APROVADO"),G16="")</formula>
    </cfRule>
  </conditionalFormatting>
  <conditionalFormatting sqref="H3:H10"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{26447921-0CA8-4418-9280-F3F5D98EFCC8}</x14:id>
        </ext>
      </extLst>
    </cfRule>
  </conditionalFormatting>
  <conditionalFormatting sqref="M16:M436">
    <cfRule type="expression" dxfId="32" priority="84">
      <formula>IF(AND(G16&lt;&gt;""),M16&lt;&gt;"APROVADO")</formula>
    </cfRule>
  </conditionalFormatting>
  <conditionalFormatting sqref="Q16:Q436">
    <cfRule type="expression" dxfId="31" priority="93">
      <formula>IF(AND(G16&lt;&gt;"",M16="APROVADO"),S16="")</formula>
    </cfRule>
  </conditionalFormatting>
  <conditionalFormatting sqref="R16:R436">
    <cfRule type="expression" dxfId="30" priority="94">
      <formula>IF(AND(G16&lt;&gt;"",M16="APROVADO"),S16="")</formula>
    </cfRule>
  </conditionalFormatting>
  <conditionalFormatting sqref="S16:S436">
    <cfRule type="expression" dxfId="29" priority="92">
      <formula>IF(AND(G16&lt;&gt;"",M16="APROVADO"),S16="")</formula>
    </cfRule>
  </conditionalFormatting>
  <dataValidations count="6">
    <dataValidation type="list" allowBlank="1" showInputMessage="1" showErrorMessage="1" sqref="H1" xr:uid="{6A29E2D1-E18C-49A0-8CE2-C20D0CFD9A96}">
      <formula1>$A$2:$A$13</formula1>
    </dataValidation>
    <dataValidation type="list" allowBlank="1" showInputMessage="1" showErrorMessage="1" sqref="M16:M436" xr:uid="{9ECD46E4-21A0-460C-BE64-7ABCCCC71DBA}">
      <formula1>"APROVADO,STANDBY,REJEITADO,NÃO UTILIZADO"</formula1>
    </dataValidation>
    <dataValidation type="list" allowBlank="1" showInputMessage="1" showErrorMessage="1" sqref="E16:E436" xr:uid="{98D11E24-DF44-423B-8F75-147E483B1A7D}">
      <formula1>"FARE MATCH,MULTA REEMISSÃO,MULTA REEMBOLSO,1st BAG,ASSENTO,EXP FARE"</formula1>
    </dataValidation>
    <dataValidation type="list" allowBlank="1" showInputMessage="1" showErrorMessage="1" sqref="B16:B436" xr:uid="{4AC8F82F-5F4B-4C9C-A15F-F88C4DFBF149}">
      <formula1>"LOT,CONCIERGE,EXCLUSIVO,SUL,SAO,SPI,BR1,BR2"</formula1>
    </dataValidation>
    <dataValidation type="custom" allowBlank="1" showInputMessage="1" showErrorMessage="1" errorTitle="E-TICKET JÁ CADASTRADO" error="Este número de e-ticket já foi cadastrado" sqref="G16:G82" xr:uid="{1969738D-20D5-4324-B40A-DA15AD385479}">
      <formula1>COUNTIF(G:G,G16)&lt;=1</formula1>
    </dataValidation>
    <dataValidation type="custom" allowBlank="1" showInputMessage="1" showErrorMessage="1" errorTitle="E-TICKET JÁ CADASTRADO" error="Este número de e-ticket já foi cadastrado" sqref="F16:F91 F93 F95:F121" xr:uid="{8E63157B-5855-4A22-8DF0-D97871FB0979}">
      <formula1>COUNTIF(E:E,F16)&lt;=1</formula1>
    </dataValidation>
  </dataValidations>
  <hyperlinks>
    <hyperlink ref="N370" r:id="rId1" xr:uid="{FBBDDE74-4AAE-4D5A-91DC-290D5BAF530D}"/>
  </hyperlinks>
  <pageMargins left="0.511811024" right="0.511811024" top="0.78740157499999996" bottom="0.78740157499999996" header="0.31496062000000002" footer="0.31496062000000002"/>
  <pageSetup paperSize="9" orientation="portrait"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447921-0CA8-4418-9280-F3F5D98EFC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H3:H10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8D00-97BE-4ED0-937D-17FC1952D31F}">
  <dimension ref="A1:H20"/>
  <sheetViews>
    <sheetView showGridLines="0" zoomScaleNormal="100" workbookViewId="0">
      <selection sqref="A1:C1"/>
    </sheetView>
  </sheetViews>
  <sheetFormatPr defaultRowHeight="14.45"/>
  <cols>
    <col min="1" max="3" width="35.5703125" style="3" customWidth="1"/>
    <col min="5" max="5" width="17.7109375" customWidth="1"/>
    <col min="6" max="6" width="40.28515625" customWidth="1"/>
    <col min="8" max="8" width="70.140625" customWidth="1"/>
    <col min="10" max="10" width="56.140625" customWidth="1"/>
  </cols>
  <sheetData>
    <row r="1" spans="1:8" ht="21">
      <c r="A1" s="116" t="s">
        <v>3128</v>
      </c>
      <c r="B1" s="116"/>
      <c r="C1" s="116"/>
      <c r="E1" s="117" t="s">
        <v>3129</v>
      </c>
      <c r="F1" s="118"/>
      <c r="H1" s="25" t="s">
        <v>3130</v>
      </c>
    </row>
    <row r="2" spans="1:8" ht="38.25" customHeight="1">
      <c r="A2" s="26"/>
      <c r="B2" s="27" t="s">
        <v>3131</v>
      </c>
      <c r="C2" s="27" t="s">
        <v>3132</v>
      </c>
      <c r="E2" s="119" t="s">
        <v>3133</v>
      </c>
      <c r="F2" s="100"/>
      <c r="H2" s="57" t="s">
        <v>3134</v>
      </c>
    </row>
    <row r="3" spans="1:8" ht="30" customHeight="1">
      <c r="A3" s="26"/>
      <c r="B3" s="26"/>
      <c r="C3" s="26"/>
      <c r="E3" s="120" t="s">
        <v>3135</v>
      </c>
      <c r="F3" s="121"/>
      <c r="H3" s="28" t="s">
        <v>3136</v>
      </c>
    </row>
    <row r="4" spans="1:8" ht="21">
      <c r="A4" s="24" t="s">
        <v>3137</v>
      </c>
      <c r="B4" s="29"/>
      <c r="C4" s="29"/>
      <c r="E4" s="30" t="s">
        <v>3138</v>
      </c>
      <c r="F4" s="31" t="s">
        <v>3139</v>
      </c>
      <c r="H4" s="32" t="s">
        <v>3140</v>
      </c>
    </row>
    <row r="5" spans="1:8" ht="21">
      <c r="A5" s="26"/>
      <c r="B5" s="26"/>
      <c r="C5" s="26"/>
      <c r="E5" s="33"/>
      <c r="F5" s="34" t="s">
        <v>3141</v>
      </c>
      <c r="H5" s="32" t="s">
        <v>3142</v>
      </c>
    </row>
    <row r="6" spans="1:8" ht="21">
      <c r="A6" s="122" t="s">
        <v>3143</v>
      </c>
      <c r="B6" s="35" t="s">
        <v>3144</v>
      </c>
      <c r="C6" s="35" t="s">
        <v>3144</v>
      </c>
      <c r="E6" s="36" t="s">
        <v>3145</v>
      </c>
      <c r="F6" s="37"/>
      <c r="H6" s="38" t="s">
        <v>3146</v>
      </c>
    </row>
    <row r="7" spans="1:8" ht="21">
      <c r="A7" s="123"/>
      <c r="B7" s="39" t="s">
        <v>3147</v>
      </c>
      <c r="C7" s="39" t="s">
        <v>3148</v>
      </c>
      <c r="E7" s="40" t="s">
        <v>3149</v>
      </c>
      <c r="F7" s="41"/>
      <c r="H7" s="38" t="s">
        <v>3150</v>
      </c>
    </row>
    <row r="8" spans="1:8" ht="21" customHeight="1">
      <c r="A8" s="123"/>
      <c r="B8" s="26"/>
      <c r="C8" s="42"/>
      <c r="E8" s="33" t="s">
        <v>3151</v>
      </c>
      <c r="F8" s="43"/>
      <c r="H8" s="129" t="s">
        <v>3152</v>
      </c>
    </row>
    <row r="9" spans="1:8" ht="24.75" customHeight="1">
      <c r="A9" s="123"/>
      <c r="B9" s="35" t="s">
        <v>1517</v>
      </c>
      <c r="C9" s="35" t="s">
        <v>1517</v>
      </c>
      <c r="E9" s="125" t="s">
        <v>3153</v>
      </c>
      <c r="F9" s="126"/>
      <c r="H9" s="82" t="s">
        <v>3154</v>
      </c>
    </row>
    <row r="10" spans="1:8" ht="24.75" customHeight="1">
      <c r="A10" s="123"/>
      <c r="B10" s="39" t="s">
        <v>3155</v>
      </c>
      <c r="C10" s="39" t="s">
        <v>3155</v>
      </c>
      <c r="E10" s="127"/>
      <c r="F10" s="128"/>
      <c r="H10" s="105" t="s">
        <v>3156</v>
      </c>
    </row>
    <row r="11" spans="1:8">
      <c r="A11" s="123"/>
      <c r="C11" s="44"/>
      <c r="E11" s="106" t="s">
        <v>3157</v>
      </c>
      <c r="F11" s="107"/>
      <c r="H11" s="105"/>
    </row>
    <row r="12" spans="1:8" ht="21" customHeight="1">
      <c r="A12" s="123"/>
      <c r="B12" s="45" t="s">
        <v>1143</v>
      </c>
      <c r="C12" s="46" t="s">
        <v>1143</v>
      </c>
      <c r="E12" s="75" t="s">
        <v>3158</v>
      </c>
      <c r="F12" s="47"/>
      <c r="H12" s="108" t="s">
        <v>3159</v>
      </c>
    </row>
    <row r="13" spans="1:8" ht="21">
      <c r="A13" s="124"/>
      <c r="B13" s="48" t="s">
        <v>3160</v>
      </c>
      <c r="C13" s="49" t="s">
        <v>3160</v>
      </c>
      <c r="E13" s="110" t="s">
        <v>3161</v>
      </c>
      <c r="F13" s="111"/>
      <c r="H13" s="108"/>
    </row>
    <row r="14" spans="1:8">
      <c r="E14" s="112" t="s">
        <v>3162</v>
      </c>
      <c r="F14" s="113"/>
      <c r="H14" s="108"/>
    </row>
    <row r="15" spans="1:8" ht="21.6" thickBot="1">
      <c r="A15" s="50" t="s">
        <v>3163</v>
      </c>
      <c r="B15" s="51" t="s">
        <v>3164</v>
      </c>
      <c r="C15" s="24" t="s">
        <v>3164</v>
      </c>
      <c r="E15" s="114" t="s">
        <v>3165</v>
      </c>
      <c r="F15" s="115"/>
      <c r="H15" s="109"/>
    </row>
    <row r="16" spans="1:8">
      <c r="E16" s="96" t="s">
        <v>3166</v>
      </c>
      <c r="F16" s="97"/>
    </row>
    <row r="17" spans="1:6" ht="18.600000000000001">
      <c r="A17" s="98" t="s">
        <v>3167</v>
      </c>
      <c r="B17" s="98"/>
      <c r="C17" s="98"/>
      <c r="E17" s="40" t="s">
        <v>3168</v>
      </c>
      <c r="F17" s="41"/>
    </row>
    <row r="18" spans="1:6" ht="18.600000000000001">
      <c r="A18" s="98" t="s">
        <v>3169</v>
      </c>
      <c r="B18" s="98"/>
      <c r="C18" s="98"/>
      <c r="E18" s="99" t="s">
        <v>3170</v>
      </c>
      <c r="F18" s="100"/>
    </row>
    <row r="19" spans="1:6" ht="18.600000000000001">
      <c r="A19" s="98" t="s">
        <v>3171</v>
      </c>
      <c r="B19" s="98"/>
      <c r="C19" s="98"/>
      <c r="E19" s="101"/>
      <c r="F19" s="102"/>
    </row>
    <row r="20" spans="1:6" ht="18.95" thickBot="1">
      <c r="A20" s="98" t="s">
        <v>3172</v>
      </c>
      <c r="B20" s="98"/>
      <c r="C20" s="98"/>
      <c r="E20" s="103"/>
      <c r="F20" s="104"/>
    </row>
  </sheetData>
  <mergeCells count="18">
    <mergeCell ref="A1:C1"/>
    <mergeCell ref="E1:F1"/>
    <mergeCell ref="E2:F2"/>
    <mergeCell ref="E3:F3"/>
    <mergeCell ref="A6:A13"/>
    <mergeCell ref="E9:F10"/>
    <mergeCell ref="H10:H11"/>
    <mergeCell ref="E11:F11"/>
    <mergeCell ref="H12:H15"/>
    <mergeCell ref="E13:F13"/>
    <mergeCell ref="E14:F14"/>
    <mergeCell ref="E15:F15"/>
    <mergeCell ref="E16:F16"/>
    <mergeCell ref="A17:C17"/>
    <mergeCell ref="A18:C18"/>
    <mergeCell ref="E18:F20"/>
    <mergeCell ref="A19:C19"/>
    <mergeCell ref="A20:C2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2F2DA4-5BA3-48D6-9993-1579B8197A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Thereziano</dc:creator>
  <cp:keywords/>
  <dc:description/>
  <cp:lastModifiedBy>Alan Diego Scardovelli Avelhan</cp:lastModifiedBy>
  <cp:revision/>
  <dcterms:created xsi:type="dcterms:W3CDTF">2021-04-18T02:10:39Z</dcterms:created>
  <dcterms:modified xsi:type="dcterms:W3CDTF">2026-10-15T17:34:16Z</dcterms:modified>
  <cp:category/>
  <cp:contentStatus/>
</cp:coreProperties>
</file>